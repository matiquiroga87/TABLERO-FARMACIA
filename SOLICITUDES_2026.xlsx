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macia14\OneDrive\Gestión y Depósito\2026\"/>
    </mc:Choice>
  </mc:AlternateContent>
  <bookViews>
    <workbookView xWindow="-105" yWindow="-105" windowWidth="21795" windowHeight="12975" tabRatio="846" firstSheet="12" activeTab="14"/>
  </bookViews>
  <sheets>
    <sheet name="LISTADO CC (2)" sheetId="1" r:id="rId1"/>
    <sheet name="SEGUNDO SEMESTRE" sheetId="22" r:id="rId2"/>
    <sheet name="DESIERTOS" sheetId="2" r:id="rId3"/>
    <sheet name="ESTERILIZACION DESIERTOS" sheetId="3" r:id="rId4"/>
    <sheet name="ESTERILIZACION" sheetId="4" r:id="rId5"/>
    <sheet name="UTI" sheetId="5" r:id="rId6"/>
    <sheet name="ANESTESICOS" sheetId="6" r:id="rId7"/>
    <sheet name="COMPRIMIDOS" sheetId="7" r:id="rId8"/>
    <sheet name="ANTIBIOTICOS" sheetId="8" r:id="rId9"/>
    <sheet name="PSICOTROPICOS" sheetId="9" r:id="rId10"/>
    <sheet name="AMPOLLAS" sheetId="10" r:id="rId11"/>
    <sheet name="SUEROS" sheetId="11" r:id="rId12"/>
    <sheet name="DROGAS Y LIQUIDOS" sheetId="12" r:id="rId13"/>
    <sheet name="ALIMENTACION" sheetId="13" r:id="rId14"/>
    <sheet name="SIES SAT URS" sheetId="14" r:id="rId15"/>
    <sheet name="BAJO COSTO" sheetId="15" r:id="rId16"/>
    <sheet name="CREMAS GOTAS AEROSOLES" sheetId="16" r:id="rId17"/>
    <sheet name="DIALISIS" sheetId="17" r:id="rId18"/>
    <sheet name="RAYOS" sheetId="18" r:id="rId19"/>
    <sheet name="FORMULACION Y SEDRONAR" sheetId="19" r:id="rId20"/>
    <sheet name="VARIOS" sheetId="20" r:id="rId21"/>
    <sheet name="SALDO FINAL" sheetId="21" r:id="rId22"/>
  </sheets>
  <externalReferences>
    <externalReference r:id="rId23"/>
  </externalReferences>
  <definedNames>
    <definedName name="_xlnm._FilterDatabase" localSheetId="13" hidden="1">ALIMENTACION!$A$2:$AB$12</definedName>
    <definedName name="_xlnm._FilterDatabase" localSheetId="10" hidden="1">AMPOLLAS!$A$1:$AB$2</definedName>
    <definedName name="_xlnm._FilterDatabase" localSheetId="6" hidden="1">ANESTESICOS!$A$2:$AB$10</definedName>
    <definedName name="_xlnm._FilterDatabase" localSheetId="8" hidden="1">ANTIBIOTICOS!$A$2:$AB$22</definedName>
    <definedName name="_xlnm._FilterDatabase" localSheetId="15" hidden="1">'BAJO COSTO'!$A$2:$AB$54</definedName>
    <definedName name="_xlnm._FilterDatabase" localSheetId="7" hidden="1">COMPRIMIDOS!$A$2:$AB$67</definedName>
    <definedName name="_xlnm._FilterDatabase" localSheetId="16" hidden="1">'CREMAS GOTAS AEROSOLES'!$A$2:$AB$55</definedName>
    <definedName name="_xlnm._FilterDatabase" localSheetId="2" hidden="1">DESIERTOS!$A$2:$AB$6</definedName>
    <definedName name="_xlnm._FilterDatabase" localSheetId="17" hidden="1">DIALISIS!$A$2:$AB$8</definedName>
    <definedName name="_xlnm._FilterDatabase" localSheetId="12" hidden="1">'DROGAS Y LIQUIDOS'!$A$2:$AB$31</definedName>
    <definedName name="_xlnm._FilterDatabase" localSheetId="4" hidden="1">ESTERILIZACION!$A$2:$AA$13</definedName>
    <definedName name="_xlnm._FilterDatabase" localSheetId="3" hidden="1">'ESTERILIZACION DESIERTOS'!$A$2:$AA$5</definedName>
    <definedName name="_xlnm._FilterDatabase" localSheetId="19" hidden="1">'FORMULACION Y SEDRONAR'!$A$2:$AA$3</definedName>
    <definedName name="_xlnm._FilterDatabase" localSheetId="0" hidden="1">'LISTADO CC (2)'!$A$1</definedName>
    <definedName name="_xlnm._FilterDatabase" localSheetId="9" hidden="1">PSICOTROPICOS!$A$2:$AB$56</definedName>
    <definedName name="_xlnm._FilterDatabase" localSheetId="18" hidden="1">RAYOS!$A$2:$AB$17</definedName>
    <definedName name="_xlnm._FilterDatabase" localSheetId="21" hidden="1">'SALDO FINAL'!$A$1:$D$1</definedName>
    <definedName name="_xlnm._FilterDatabase" localSheetId="1" hidden="1">'SEGUNDO SEMESTRE'!$A$2:$AB$2</definedName>
    <definedName name="_xlnm._FilterDatabase" localSheetId="14" hidden="1">'SIES SAT URS'!$A$2:$AB$35</definedName>
    <definedName name="_xlnm._FilterDatabase" localSheetId="11" hidden="1">SUEROS!$A$2:$AB$23</definedName>
    <definedName name="_xlnm._FilterDatabase" localSheetId="5" hidden="1">UTI!$A$2:$AB$35</definedName>
    <definedName name="_xlnm._FilterDatabase" localSheetId="20" hidden="1">VARIOS!$A$2:$AA$5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34" i="22" l="1"/>
  <c r="W134" i="22"/>
  <c r="AA134" i="22" s="1"/>
  <c r="Z111" i="22" l="1"/>
  <c r="W111" i="22"/>
  <c r="AA111" i="22" s="1"/>
  <c r="Z110" i="22"/>
  <c r="W110" i="22"/>
  <c r="AA110" i="22" s="1"/>
  <c r="Z109" i="22"/>
  <c r="W109" i="22"/>
  <c r="AA109" i="22" s="1"/>
  <c r="Z108" i="22"/>
  <c r="W108" i="22"/>
  <c r="AA108" i="22" s="1"/>
  <c r="Z113" i="22" l="1"/>
  <c r="AA113" i="22"/>
  <c r="Z98" i="22" l="1"/>
  <c r="W98" i="22"/>
  <c r="AA98" i="22" s="1"/>
  <c r="G98" i="22"/>
  <c r="Z100" i="22"/>
  <c r="Z101" i="22"/>
  <c r="Z102" i="22"/>
  <c r="Z103" i="22"/>
  <c r="Z104" i="22"/>
  <c r="Z105" i="22"/>
  <c r="Z106" i="22"/>
  <c r="Z99" i="22"/>
  <c r="W102" i="22"/>
  <c r="AA102" i="22" s="1"/>
  <c r="W101" i="22"/>
  <c r="AA101" i="22" s="1"/>
  <c r="W100" i="22"/>
  <c r="AA100" i="22" s="1"/>
  <c r="W104" i="22"/>
  <c r="AA104" i="22" s="1"/>
  <c r="W99" i="22"/>
  <c r="AA99" i="22" s="1"/>
  <c r="W103" i="22"/>
  <c r="AA103" i="22" s="1"/>
  <c r="Z137" i="22" l="1"/>
  <c r="Z39" i="22"/>
  <c r="Z35" i="22"/>
  <c r="Z34" i="22"/>
  <c r="Z44" i="22" l="1"/>
  <c r="W44" i="22"/>
  <c r="AA44" i="22" s="1"/>
  <c r="W106" i="22" l="1"/>
  <c r="AA106" i="22" s="1"/>
  <c r="G106" i="22"/>
  <c r="W105" i="22"/>
  <c r="AA105" i="22" s="1"/>
  <c r="Z133" i="22" l="1"/>
  <c r="W133" i="22"/>
  <c r="AA133" i="22" s="1"/>
  <c r="G133" i="22"/>
  <c r="Z132" i="22"/>
  <c r="W132" i="22"/>
  <c r="AA132" i="22" s="1"/>
  <c r="G132" i="22"/>
  <c r="Z131" i="22"/>
  <c r="W131" i="22"/>
  <c r="AA131" i="22" s="1"/>
  <c r="Z130" i="22"/>
  <c r="W130" i="22"/>
  <c r="AA130" i="22" s="1"/>
  <c r="G130" i="22"/>
  <c r="Z129" i="22"/>
  <c r="W129" i="22"/>
  <c r="AA129" i="22" s="1"/>
  <c r="G129" i="22"/>
  <c r="Z128" i="22"/>
  <c r="W128" i="22"/>
  <c r="AA128" i="22" s="1"/>
  <c r="G128" i="22"/>
  <c r="W127" i="22"/>
  <c r="AA127" i="22" s="1"/>
  <c r="R127" i="22"/>
  <c r="Z127" i="22" s="1"/>
  <c r="Z126" i="22"/>
  <c r="W126" i="22"/>
  <c r="AA126" i="22" s="1"/>
  <c r="G126" i="22"/>
  <c r="Z125" i="22"/>
  <c r="W125" i="22"/>
  <c r="AA125" i="22" s="1"/>
  <c r="G125" i="22"/>
  <c r="W124" i="22"/>
  <c r="AA124" i="22" s="1"/>
  <c r="G124" i="22"/>
  <c r="R124" i="22" s="1"/>
  <c r="Z124" i="22" s="1"/>
  <c r="Z123" i="22"/>
  <c r="W123" i="22"/>
  <c r="AA123" i="22" s="1"/>
  <c r="G123" i="22"/>
  <c r="Z122" i="22"/>
  <c r="W122" i="22"/>
  <c r="AA122" i="22" s="1"/>
  <c r="G122" i="22"/>
  <c r="Z121" i="22"/>
  <c r="W121" i="22"/>
  <c r="AA121" i="22" s="1"/>
  <c r="Z120" i="22"/>
  <c r="W120" i="22"/>
  <c r="AA120" i="22" s="1"/>
  <c r="G120" i="22"/>
  <c r="Z119" i="22"/>
  <c r="W119" i="22"/>
  <c r="AA119" i="22" s="1"/>
  <c r="Z118" i="22" l="1"/>
  <c r="W118" i="22"/>
  <c r="AA118" i="22" s="1"/>
  <c r="G118" i="22"/>
  <c r="Z117" i="22"/>
  <c r="W117" i="22"/>
  <c r="AA117" i="22" s="1"/>
  <c r="G117" i="22"/>
  <c r="W9" i="22" l="1"/>
  <c r="AA9" i="22" s="1"/>
  <c r="W10" i="22"/>
  <c r="AA10" i="22" s="1"/>
  <c r="W34" i="22"/>
  <c r="W35" i="22"/>
  <c r="W39" i="22"/>
  <c r="AA39" i="22" s="1"/>
  <c r="Z38" i="22"/>
  <c r="W38" i="22"/>
  <c r="AA38" i="22" s="1"/>
  <c r="Z37" i="22"/>
  <c r="W37" i="22"/>
  <c r="AA37" i="22" s="1"/>
  <c r="Z36" i="22"/>
  <c r="W36" i="22"/>
  <c r="AA36" i="22" s="1"/>
  <c r="Z48" i="22"/>
  <c r="W48" i="22"/>
  <c r="AA48" i="22" s="1"/>
  <c r="Z47" i="22"/>
  <c r="W47" i="22"/>
  <c r="AA47" i="22" s="1"/>
  <c r="G47" i="22"/>
  <c r="Z96" i="22"/>
  <c r="W96" i="22"/>
  <c r="AA96" i="22" s="1"/>
  <c r="G96" i="22"/>
  <c r="Z46" i="22"/>
  <c r="W46" i="22"/>
  <c r="AA46" i="22" s="1"/>
  <c r="G46" i="22"/>
  <c r="Z45" i="22"/>
  <c r="W45" i="22"/>
  <c r="AA45" i="22" s="1"/>
  <c r="Z116" i="22"/>
  <c r="W116" i="22"/>
  <c r="AA116" i="22" s="1"/>
  <c r="Z115" i="22"/>
  <c r="W115" i="22"/>
  <c r="AA115" i="22" s="1"/>
  <c r="Z95" i="22"/>
  <c r="W95" i="22"/>
  <c r="AA95" i="22" s="1"/>
  <c r="W41" i="22"/>
  <c r="AA41" i="22" s="1"/>
  <c r="R41" i="22"/>
  <c r="Z41" i="22" s="1"/>
  <c r="Z40" i="22" l="1"/>
  <c r="W40" i="22"/>
  <c r="AA40" i="22" s="1"/>
  <c r="G40" i="22"/>
  <c r="W83" i="22" l="1"/>
  <c r="AA83" i="22" s="1"/>
  <c r="G83" i="22"/>
  <c r="Z83" i="22" s="1"/>
  <c r="Z7" i="22" l="1"/>
  <c r="W7" i="22"/>
  <c r="AA7" i="22" s="1"/>
  <c r="Z91" i="22" l="1"/>
  <c r="W91" i="22"/>
  <c r="AA91" i="22" s="1"/>
  <c r="Z90" i="22"/>
  <c r="W90" i="22"/>
  <c r="AA90" i="22" s="1"/>
  <c r="Z89" i="22"/>
  <c r="W89" i="22"/>
  <c r="AA89" i="22" s="1"/>
  <c r="W74" i="22" l="1"/>
  <c r="AA74" i="22" s="1"/>
  <c r="Z74" i="22"/>
  <c r="W14" i="22"/>
  <c r="W71" i="22"/>
  <c r="W62" i="22"/>
  <c r="W49" i="22"/>
  <c r="W51" i="22"/>
  <c r="W50" i="22"/>
  <c r="W54" i="22"/>
  <c r="W25" i="22"/>
  <c r="W72" i="22"/>
  <c r="AA72" i="22" s="1"/>
  <c r="W79" i="22"/>
  <c r="W75" i="22"/>
  <c r="W80" i="22"/>
  <c r="W76" i="22"/>
  <c r="W78" i="22"/>
  <c r="W82" i="22"/>
  <c r="W31" i="22"/>
  <c r="W18" i="22"/>
  <c r="W73" i="22"/>
  <c r="W56" i="22"/>
  <c r="W59" i="22"/>
  <c r="W65" i="22"/>
  <c r="W28" i="22"/>
  <c r="W29" i="22"/>
  <c r="W30" i="22"/>
  <c r="W21" i="22"/>
  <c r="W24" i="22"/>
  <c r="W32" i="22"/>
  <c r="W57" i="22"/>
  <c r="W60" i="22"/>
  <c r="W63" i="22"/>
  <c r="W66" i="22"/>
  <c r="W67" i="22"/>
  <c r="W64" i="22"/>
  <c r="W68" i="22"/>
  <c r="W85" i="22"/>
  <c r="AA85" i="22" s="1"/>
  <c r="W87" i="22"/>
  <c r="W88" i="22"/>
  <c r="W86" i="22"/>
  <c r="W19" i="22"/>
  <c r="W58" i="22"/>
  <c r="W20" i="22"/>
  <c r="W12" i="22"/>
  <c r="W22" i="22"/>
  <c r="W23" i="22"/>
  <c r="W27" i="22"/>
  <c r="W52" i="22"/>
  <c r="W61" i="22"/>
  <c r="W53" i="22"/>
  <c r="W81" i="22"/>
  <c r="W92" i="22"/>
  <c r="W70" i="22"/>
  <c r="W8" i="22"/>
  <c r="W93" i="22"/>
  <c r="Z72" i="22"/>
  <c r="Z85" i="22"/>
  <c r="Z3" i="22"/>
  <c r="W3" i="22"/>
  <c r="AA3" i="22" s="1"/>
  <c r="Z81" i="22" l="1"/>
  <c r="AA81" i="22"/>
  <c r="Z49" i="22" l="1"/>
  <c r="Z25" i="22"/>
  <c r="AA25" i="22"/>
  <c r="Z79" i="22"/>
  <c r="AA79" i="22"/>
  <c r="Z75" i="22"/>
  <c r="AA75" i="22"/>
  <c r="Z80" i="22"/>
  <c r="AA80" i="22"/>
  <c r="Z76" i="22"/>
  <c r="AA76" i="22"/>
  <c r="Z78" i="22"/>
  <c r="AA78" i="22"/>
  <c r="Z82" i="22"/>
  <c r="AA82" i="22"/>
  <c r="Z31" i="22"/>
  <c r="AA31" i="22"/>
  <c r="Z18" i="22"/>
  <c r="AA18" i="22"/>
  <c r="Z73" i="22"/>
  <c r="AA73" i="22"/>
  <c r="Z56" i="22"/>
  <c r="AA56" i="22"/>
  <c r="Z59" i="22"/>
  <c r="AA59" i="22"/>
  <c r="Z65" i="22"/>
  <c r="AA65" i="22"/>
  <c r="Z28" i="22"/>
  <c r="AA28" i="22"/>
  <c r="Z29" i="22"/>
  <c r="AA29" i="22"/>
  <c r="Z30" i="22"/>
  <c r="AA30" i="22"/>
  <c r="Z21" i="22"/>
  <c r="AA21" i="22"/>
  <c r="Z24" i="22"/>
  <c r="AA24" i="22"/>
  <c r="Z32" i="22"/>
  <c r="AA32" i="22"/>
  <c r="Z57" i="22"/>
  <c r="AA57" i="22"/>
  <c r="Z60" i="22"/>
  <c r="AA60" i="22"/>
  <c r="Z63" i="22"/>
  <c r="AA63" i="22"/>
  <c r="Z66" i="22"/>
  <c r="AA66" i="22"/>
  <c r="Z67" i="22"/>
  <c r="AA67" i="22"/>
  <c r="Z64" i="22"/>
  <c r="AA64" i="22"/>
  <c r="Z68" i="22"/>
  <c r="AA68" i="22"/>
  <c r="Z87" i="22"/>
  <c r="AA87" i="22"/>
  <c r="Z88" i="22"/>
  <c r="AA88" i="22"/>
  <c r="Z86" i="22"/>
  <c r="AA86" i="22"/>
  <c r="Z51" i="22"/>
  <c r="AA51" i="22"/>
  <c r="Z17" i="22"/>
  <c r="AA17" i="22"/>
  <c r="Z26" i="22"/>
  <c r="AA26" i="22"/>
  <c r="Z16" i="22"/>
  <c r="AA16" i="22"/>
  <c r="Z50" i="22"/>
  <c r="AA50" i="22"/>
  <c r="Z54" i="22"/>
  <c r="AA54" i="22"/>
  <c r="Z19" i="22"/>
  <c r="AA19" i="22"/>
  <c r="Z58" i="22"/>
  <c r="AA58" i="22"/>
  <c r="Z20" i="22"/>
  <c r="AA20" i="22"/>
  <c r="Z12" i="22"/>
  <c r="AA12" i="22"/>
  <c r="Z22" i="22"/>
  <c r="AA22" i="22"/>
  <c r="Z23" i="22"/>
  <c r="AA23" i="22"/>
  <c r="Z27" i="22"/>
  <c r="AA27" i="22"/>
  <c r="Z52" i="22"/>
  <c r="AA52" i="22"/>
  <c r="Z61" i="22"/>
  <c r="AA61" i="22"/>
  <c r="Z53" i="22"/>
  <c r="AA53" i="22"/>
  <c r="AA93" i="22"/>
  <c r="Z93" i="22"/>
  <c r="Z92" i="22"/>
  <c r="AA92" i="22"/>
  <c r="Z8" i="22"/>
  <c r="AA8" i="22"/>
  <c r="Z33" i="22"/>
  <c r="W33" i="22"/>
  <c r="AA33" i="22" s="1"/>
  <c r="Z11" i="22"/>
  <c r="W11" i="22"/>
  <c r="AA11" i="22" s="1"/>
  <c r="AA70" i="22"/>
  <c r="G70" i="22"/>
  <c r="R70" i="22" s="1"/>
  <c r="Z70" i="22" s="1"/>
  <c r="W13" i="3" l="1"/>
  <c r="AA49" i="22"/>
  <c r="Z6" i="22"/>
  <c r="W6" i="22"/>
  <c r="AA6" i="22" s="1"/>
  <c r="Z5" i="22"/>
  <c r="W5" i="22"/>
  <c r="AA5" i="22" s="1"/>
  <c r="Z4" i="22"/>
  <c r="W4" i="22"/>
  <c r="AA4" i="22" s="1"/>
  <c r="Z71" i="22" l="1"/>
  <c r="AA71" i="22"/>
  <c r="Z14" i="22" l="1"/>
  <c r="AA14" i="22"/>
  <c r="W69" i="22"/>
  <c r="AA69" i="22" s="1"/>
  <c r="G69" i="22"/>
  <c r="Z69" i="22" s="1"/>
  <c r="Z84" i="22"/>
  <c r="W84" i="22"/>
  <c r="AA84" i="22" s="1"/>
  <c r="Z77" i="22"/>
  <c r="W77" i="22"/>
  <c r="AA77" i="22" s="1"/>
  <c r="Z13" i="22"/>
  <c r="W13" i="22"/>
  <c r="AA13" i="22" s="1"/>
  <c r="AA62" i="22"/>
  <c r="G62" i="22"/>
  <c r="Z62" i="22" s="1"/>
  <c r="Z55" i="22"/>
  <c r="W55" i="22"/>
  <c r="AA55" i="22" s="1"/>
  <c r="G55" i="22"/>
  <c r="Z15" i="22"/>
  <c r="W15" i="22"/>
  <c r="AA15" i="22" s="1"/>
  <c r="Z94" i="22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8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70" i="10"/>
  <c r="G71" i="10"/>
  <c r="G72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3" i="10"/>
  <c r="G95" i="10"/>
  <c r="G100" i="10"/>
  <c r="G101" i="10"/>
  <c r="G102" i="10"/>
  <c r="G103" i="10"/>
  <c r="G104" i="10"/>
  <c r="G105" i="10"/>
  <c r="G106" i="10"/>
  <c r="Z189" i="2"/>
  <c r="W189" i="2"/>
  <c r="W188" i="2"/>
  <c r="R188" i="2"/>
  <c r="W186" i="2"/>
  <c r="G186" i="2"/>
  <c r="Z185" i="2"/>
  <c r="W185" i="2"/>
  <c r="Z184" i="2"/>
  <c r="W184" i="2"/>
  <c r="Z183" i="2"/>
  <c r="W183" i="2"/>
  <c r="Z182" i="2"/>
  <c r="W182" i="2"/>
  <c r="G182" i="2"/>
  <c r="Z181" i="2"/>
  <c r="W181" i="2"/>
  <c r="G181" i="2"/>
  <c r="Z180" i="2"/>
  <c r="W180" i="2"/>
  <c r="G180" i="2"/>
  <c r="Z179" i="2"/>
  <c r="W179" i="2"/>
  <c r="G179" i="2"/>
  <c r="Z178" i="2"/>
  <c r="W178" i="2"/>
  <c r="G178" i="2"/>
  <c r="AA6" i="3"/>
  <c r="AA7" i="3"/>
  <c r="AA10" i="3"/>
  <c r="AA11" i="3"/>
  <c r="D21" i="21"/>
  <c r="C21" i="21"/>
  <c r="Y5" i="20"/>
  <c r="V5" i="20"/>
  <c r="Y4" i="20"/>
  <c r="V4" i="20"/>
  <c r="Y3" i="20"/>
  <c r="V3" i="20"/>
  <c r="Z25" i="19"/>
  <c r="W25" i="19"/>
  <c r="G25" i="19"/>
  <c r="Z24" i="19"/>
  <c r="W24" i="19"/>
  <c r="G24" i="19"/>
  <c r="Z23" i="19"/>
  <c r="W23" i="19"/>
  <c r="G23" i="19"/>
  <c r="W22" i="19"/>
  <c r="G22" i="19"/>
  <c r="Z21" i="19"/>
  <c r="W21" i="19"/>
  <c r="G21" i="19"/>
  <c r="Z20" i="19"/>
  <c r="W20" i="19"/>
  <c r="G20" i="19"/>
  <c r="Z19" i="19"/>
  <c r="W19" i="19"/>
  <c r="G19" i="19"/>
  <c r="Z18" i="19"/>
  <c r="W18" i="19"/>
  <c r="G18" i="19"/>
  <c r="Z17" i="19"/>
  <c r="W17" i="19"/>
  <c r="G17" i="19"/>
  <c r="Z16" i="19"/>
  <c r="W16" i="19"/>
  <c r="G16" i="19"/>
  <c r="Z15" i="19"/>
  <c r="W15" i="19"/>
  <c r="G15" i="19"/>
  <c r="Z14" i="19"/>
  <c r="W14" i="19"/>
  <c r="G14" i="19"/>
  <c r="W13" i="19"/>
  <c r="G13" i="19"/>
  <c r="Z12" i="19"/>
  <c r="W12" i="19"/>
  <c r="G12" i="19"/>
  <c r="Z11" i="19"/>
  <c r="W11" i="19"/>
  <c r="G11" i="19"/>
  <c r="Z10" i="19"/>
  <c r="W10" i="19"/>
  <c r="G10" i="19"/>
  <c r="Z9" i="19"/>
  <c r="W9" i="19"/>
  <c r="G9" i="19"/>
  <c r="Z8" i="19"/>
  <c r="W8" i="19"/>
  <c r="G8" i="19"/>
  <c r="Z7" i="19"/>
  <c r="W7" i="19"/>
  <c r="G7" i="19"/>
  <c r="Z6" i="19"/>
  <c r="W6" i="19"/>
  <c r="G6" i="19"/>
  <c r="Z5" i="19"/>
  <c r="W5" i="19"/>
  <c r="G5" i="19"/>
  <c r="Z4" i="19"/>
  <c r="W4" i="19"/>
  <c r="G4" i="19"/>
  <c r="Z3" i="19"/>
  <c r="W3" i="19"/>
  <c r="G3" i="19"/>
  <c r="W16" i="18"/>
  <c r="G16" i="18"/>
  <c r="Z15" i="18"/>
  <c r="W15" i="18"/>
  <c r="G15" i="18"/>
  <c r="Z14" i="18"/>
  <c r="W14" i="18"/>
  <c r="G14" i="18"/>
  <c r="Z13" i="18"/>
  <c r="W13" i="18"/>
  <c r="G13" i="18"/>
  <c r="W12" i="18"/>
  <c r="G12" i="18"/>
  <c r="Z11" i="18"/>
  <c r="W11" i="18"/>
  <c r="Z10" i="18"/>
  <c r="W10" i="18"/>
  <c r="G10" i="18"/>
  <c r="Z9" i="18"/>
  <c r="W9" i="18"/>
  <c r="G9" i="18"/>
  <c r="Z8" i="18"/>
  <c r="W8" i="18"/>
  <c r="G8" i="18"/>
  <c r="Z7" i="18"/>
  <c r="W7" i="18"/>
  <c r="G7" i="18"/>
  <c r="Z6" i="18"/>
  <c r="W6" i="18"/>
  <c r="G6" i="18"/>
  <c r="Z5" i="18"/>
  <c r="W5" i="18"/>
  <c r="G5" i="18"/>
  <c r="W4" i="18"/>
  <c r="R4" i="18"/>
  <c r="Z3" i="18"/>
  <c r="W3" i="18"/>
  <c r="AA9" i="17"/>
  <c r="R9" i="17"/>
  <c r="Z8" i="17"/>
  <c r="W8" i="17"/>
  <c r="G8" i="17"/>
  <c r="Z7" i="17"/>
  <c r="W7" i="17"/>
  <c r="G7" i="17"/>
  <c r="Z6" i="17"/>
  <c r="W6" i="17"/>
  <c r="Z5" i="17"/>
  <c r="W5" i="17"/>
  <c r="Z4" i="17"/>
  <c r="W4" i="17"/>
  <c r="Z3" i="17"/>
  <c r="W3" i="17"/>
  <c r="Z68" i="16"/>
  <c r="W68" i="16"/>
  <c r="G68" i="16"/>
  <c r="W67" i="16"/>
  <c r="G67" i="16"/>
  <c r="W66" i="16"/>
  <c r="G66" i="16"/>
  <c r="Z65" i="16"/>
  <c r="W65" i="16"/>
  <c r="G65" i="16"/>
  <c r="W64" i="16"/>
  <c r="R64" i="16"/>
  <c r="W63" i="16"/>
  <c r="G63" i="16"/>
  <c r="Z62" i="16"/>
  <c r="W62" i="16"/>
  <c r="G62" i="16"/>
  <c r="W61" i="16"/>
  <c r="R61" i="16"/>
  <c r="W60" i="16"/>
  <c r="G60" i="16"/>
  <c r="W59" i="16"/>
  <c r="G59" i="16"/>
  <c r="W58" i="16"/>
  <c r="G58" i="16"/>
  <c r="Z57" i="16"/>
  <c r="W57" i="16"/>
  <c r="G57" i="16"/>
  <c r="Z56" i="16"/>
  <c r="W56" i="16"/>
  <c r="Z55" i="16"/>
  <c r="W55" i="16"/>
  <c r="G55" i="16"/>
  <c r="W54" i="16"/>
  <c r="R54" i="16"/>
  <c r="Z53" i="16"/>
  <c r="W53" i="16"/>
  <c r="G53" i="16"/>
  <c r="W52" i="16"/>
  <c r="R52" i="16"/>
  <c r="W51" i="16"/>
  <c r="G51" i="16"/>
  <c r="Z50" i="16"/>
  <c r="W50" i="16"/>
  <c r="G50" i="16"/>
  <c r="Z49" i="16"/>
  <c r="W49" i="16"/>
  <c r="G49" i="16"/>
  <c r="W48" i="16"/>
  <c r="G48" i="16"/>
  <c r="W47" i="16"/>
  <c r="R47" i="16"/>
  <c r="W46" i="16"/>
  <c r="R46" i="16"/>
  <c r="W45" i="16"/>
  <c r="G45" i="16"/>
  <c r="W44" i="16"/>
  <c r="R44" i="16"/>
  <c r="Z43" i="16"/>
  <c r="W43" i="16"/>
  <c r="G43" i="16"/>
  <c r="W42" i="16"/>
  <c r="R42" i="16"/>
  <c r="Z41" i="16"/>
  <c r="W41" i="16"/>
  <c r="W40" i="16"/>
  <c r="G40" i="16"/>
  <c r="W39" i="16"/>
  <c r="G39" i="16"/>
  <c r="Z38" i="16"/>
  <c r="W38" i="16"/>
  <c r="G38" i="16"/>
  <c r="W37" i="16"/>
  <c r="G37" i="16"/>
  <c r="Z36" i="16"/>
  <c r="W36" i="16"/>
  <c r="G36" i="16"/>
  <c r="Z35" i="16"/>
  <c r="W35" i="16"/>
  <c r="W34" i="16"/>
  <c r="G34" i="16"/>
  <c r="Z33" i="16"/>
  <c r="W33" i="16"/>
  <c r="G33" i="16"/>
  <c r="W32" i="16"/>
  <c r="G32" i="16"/>
  <c r="Z31" i="16"/>
  <c r="W31" i="16"/>
  <c r="G31" i="16"/>
  <c r="W30" i="16"/>
  <c r="G30" i="16"/>
  <c r="Z29" i="16"/>
  <c r="W29" i="16"/>
  <c r="Z28" i="16"/>
  <c r="W28" i="16"/>
  <c r="G28" i="16"/>
  <c r="W27" i="16"/>
  <c r="G27" i="16"/>
  <c r="W26" i="16"/>
  <c r="G26" i="16"/>
  <c r="Z25" i="16"/>
  <c r="W25" i="16"/>
  <c r="Z24" i="16"/>
  <c r="W24" i="16"/>
  <c r="G24" i="16"/>
  <c r="W23" i="16"/>
  <c r="G23" i="16"/>
  <c r="Z22" i="16"/>
  <c r="W22" i="16"/>
  <c r="G22" i="16"/>
  <c r="Z21" i="16"/>
  <c r="W21" i="16"/>
  <c r="G21" i="16"/>
  <c r="Z20" i="16"/>
  <c r="W20" i="16"/>
  <c r="G20" i="16"/>
  <c r="W19" i="16"/>
  <c r="G19" i="16"/>
  <c r="Z18" i="16"/>
  <c r="W18" i="16"/>
  <c r="Z17" i="16"/>
  <c r="W17" i="16"/>
  <c r="G17" i="16"/>
  <c r="Z16" i="16"/>
  <c r="W16" i="16"/>
  <c r="G16" i="16"/>
  <c r="Z15" i="16"/>
  <c r="W15" i="16"/>
  <c r="G15" i="16"/>
  <c r="Z14" i="16"/>
  <c r="W14" i="16"/>
  <c r="Z13" i="16"/>
  <c r="W13" i="16"/>
  <c r="G13" i="16"/>
  <c r="W12" i="16"/>
  <c r="G12" i="16"/>
  <c r="Z11" i="16"/>
  <c r="W11" i="16"/>
  <c r="G11" i="16"/>
  <c r="W10" i="16"/>
  <c r="R10" i="16"/>
  <c r="W9" i="16"/>
  <c r="G9" i="16"/>
  <c r="Z8" i="16"/>
  <c r="W8" i="16"/>
  <c r="G8" i="16"/>
  <c r="Z7" i="16"/>
  <c r="W7" i="16"/>
  <c r="Z6" i="16"/>
  <c r="W6" i="16"/>
  <c r="G6" i="16"/>
  <c r="Z5" i="16"/>
  <c r="W5" i="16"/>
  <c r="G5" i="16"/>
  <c r="W4" i="16"/>
  <c r="G4" i="16"/>
  <c r="Z3" i="16"/>
  <c r="W3" i="16"/>
  <c r="Z88" i="15"/>
  <c r="W88" i="15"/>
  <c r="G88" i="15"/>
  <c r="Z87" i="15"/>
  <c r="W87" i="15"/>
  <c r="G87" i="15"/>
  <c r="Z86" i="15"/>
  <c r="W86" i="15"/>
  <c r="G86" i="15"/>
  <c r="Z85" i="15"/>
  <c r="W85" i="15"/>
  <c r="G85" i="15"/>
  <c r="Z84" i="15"/>
  <c r="W84" i="15"/>
  <c r="G84" i="15"/>
  <c r="Z83" i="15"/>
  <c r="W83" i="15"/>
  <c r="G83" i="15"/>
  <c r="Z82" i="15"/>
  <c r="W82" i="15"/>
  <c r="G82" i="15"/>
  <c r="Z81" i="15"/>
  <c r="W81" i="15"/>
  <c r="G81" i="15"/>
  <c r="Z80" i="15"/>
  <c r="W80" i="15"/>
  <c r="G80" i="15"/>
  <c r="Z78" i="15"/>
  <c r="W78" i="15"/>
  <c r="G78" i="15"/>
  <c r="Z77" i="15"/>
  <c r="W77" i="15"/>
  <c r="Z76" i="15"/>
  <c r="W76" i="15"/>
  <c r="G76" i="15"/>
  <c r="Z75" i="15"/>
  <c r="W75" i="15"/>
  <c r="G75" i="15"/>
  <c r="Z74" i="15"/>
  <c r="W74" i="15"/>
  <c r="G74" i="15"/>
  <c r="Z73" i="15"/>
  <c r="W73" i="15"/>
  <c r="G73" i="15"/>
  <c r="Z71" i="15"/>
  <c r="W71" i="15"/>
  <c r="Z70" i="15"/>
  <c r="W70" i="15"/>
  <c r="G70" i="15"/>
  <c r="Z69" i="15"/>
  <c r="W69" i="15"/>
  <c r="G69" i="15"/>
  <c r="Z68" i="15"/>
  <c r="W68" i="15"/>
  <c r="G68" i="15"/>
  <c r="Z67" i="15"/>
  <c r="W67" i="15"/>
  <c r="G67" i="15"/>
  <c r="Z66" i="15"/>
  <c r="W66" i="15"/>
  <c r="G66" i="15"/>
  <c r="Z65" i="15"/>
  <c r="W65" i="15"/>
  <c r="G65" i="15"/>
  <c r="Z64" i="15"/>
  <c r="W64" i="15"/>
  <c r="G64" i="15"/>
  <c r="Z63" i="15"/>
  <c r="W63" i="15"/>
  <c r="G63" i="15"/>
  <c r="Z62" i="15"/>
  <c r="W62" i="15"/>
  <c r="G62" i="15"/>
  <c r="Z61" i="15"/>
  <c r="W61" i="15"/>
  <c r="G61" i="15"/>
  <c r="Z60" i="15"/>
  <c r="W60" i="15"/>
  <c r="G60" i="15"/>
  <c r="Z59" i="15"/>
  <c r="W59" i="15"/>
  <c r="G59" i="15"/>
  <c r="Z58" i="15"/>
  <c r="W58" i="15"/>
  <c r="G58" i="15"/>
  <c r="Z57" i="15"/>
  <c r="W57" i="15"/>
  <c r="G57" i="15"/>
  <c r="Z56" i="15"/>
  <c r="W56" i="15"/>
  <c r="G56" i="15"/>
  <c r="Z55" i="15"/>
  <c r="W55" i="15"/>
  <c r="G55" i="15"/>
  <c r="Z54" i="15"/>
  <c r="W54" i="15"/>
  <c r="G54" i="15"/>
  <c r="Z53" i="15"/>
  <c r="W53" i="15"/>
  <c r="G53" i="15"/>
  <c r="Z52" i="15"/>
  <c r="W52" i="15"/>
  <c r="G52" i="15"/>
  <c r="Z51" i="15"/>
  <c r="W51" i="15"/>
  <c r="G51" i="15"/>
  <c r="Z50" i="15"/>
  <c r="W50" i="15"/>
  <c r="G50" i="15"/>
  <c r="Z49" i="15"/>
  <c r="W49" i="15"/>
  <c r="G49" i="15"/>
  <c r="Z48" i="15"/>
  <c r="W48" i="15"/>
  <c r="G48" i="15"/>
  <c r="Z47" i="15"/>
  <c r="W47" i="15"/>
  <c r="G47" i="15"/>
  <c r="Z46" i="15"/>
  <c r="W46" i="15"/>
  <c r="G46" i="15"/>
  <c r="Z45" i="15"/>
  <c r="W45" i="15"/>
  <c r="G45" i="15"/>
  <c r="Z44" i="15"/>
  <c r="W44" i="15"/>
  <c r="G44" i="15"/>
  <c r="Z43" i="15"/>
  <c r="W43" i="15"/>
  <c r="G43" i="15"/>
  <c r="Z42" i="15"/>
  <c r="W42" i="15"/>
  <c r="G42" i="15"/>
  <c r="Z41" i="15"/>
  <c r="W41" i="15"/>
  <c r="G41" i="15"/>
  <c r="Z40" i="15"/>
  <c r="W40" i="15"/>
  <c r="G40" i="15"/>
  <c r="Z39" i="15"/>
  <c r="W39" i="15"/>
  <c r="G39" i="15"/>
  <c r="W38" i="15"/>
  <c r="G38" i="15"/>
  <c r="Z37" i="15"/>
  <c r="W37" i="15"/>
  <c r="G37" i="15"/>
  <c r="Z36" i="15"/>
  <c r="W36" i="15"/>
  <c r="G36" i="15"/>
  <c r="Z35" i="15"/>
  <c r="W35" i="15"/>
  <c r="G35" i="15"/>
  <c r="Z34" i="15"/>
  <c r="W34" i="15"/>
  <c r="G34" i="15"/>
  <c r="Z33" i="15"/>
  <c r="W33" i="15"/>
  <c r="G33" i="15"/>
  <c r="Z32" i="15"/>
  <c r="W32" i="15"/>
  <c r="G32" i="15"/>
  <c r="Z31" i="15"/>
  <c r="W31" i="15"/>
  <c r="G31" i="15"/>
  <c r="Z30" i="15"/>
  <c r="W30" i="15"/>
  <c r="G30" i="15"/>
  <c r="Z29" i="15"/>
  <c r="W29" i="15"/>
  <c r="G29" i="15"/>
  <c r="Z28" i="15"/>
  <c r="W28" i="15"/>
  <c r="G28" i="15"/>
  <c r="Z27" i="15"/>
  <c r="W27" i="15"/>
  <c r="G27" i="15"/>
  <c r="Z26" i="15"/>
  <c r="W26" i="15"/>
  <c r="G26" i="15"/>
  <c r="Z25" i="15"/>
  <c r="W25" i="15"/>
  <c r="G25" i="15"/>
  <c r="Z24" i="15"/>
  <c r="W24" i="15"/>
  <c r="G24" i="15"/>
  <c r="Z23" i="15"/>
  <c r="W23" i="15"/>
  <c r="G23" i="15"/>
  <c r="Z22" i="15"/>
  <c r="W22" i="15"/>
  <c r="G22" i="15"/>
  <c r="Z21" i="15"/>
  <c r="W21" i="15"/>
  <c r="G21" i="15"/>
  <c r="Z20" i="15"/>
  <c r="W20" i="15"/>
  <c r="G20" i="15"/>
  <c r="Z19" i="15"/>
  <c r="W19" i="15"/>
  <c r="G19" i="15"/>
  <c r="Z18" i="15"/>
  <c r="W18" i="15"/>
  <c r="G18" i="15"/>
  <c r="Z17" i="15"/>
  <c r="W17" i="15"/>
  <c r="G17" i="15"/>
  <c r="Z16" i="15"/>
  <c r="W16" i="15"/>
  <c r="G16" i="15"/>
  <c r="Z15" i="15"/>
  <c r="W15" i="15"/>
  <c r="G15" i="15"/>
  <c r="Z14" i="15"/>
  <c r="W14" i="15"/>
  <c r="G14" i="15"/>
  <c r="Z13" i="15"/>
  <c r="W13" i="15"/>
  <c r="G13" i="15"/>
  <c r="Z12" i="15"/>
  <c r="W12" i="15"/>
  <c r="G12" i="15"/>
  <c r="Z11" i="15"/>
  <c r="W11" i="15"/>
  <c r="Z10" i="15"/>
  <c r="W10" i="15"/>
  <c r="G10" i="15"/>
  <c r="Z9" i="15"/>
  <c r="W9" i="15"/>
  <c r="G9" i="15"/>
  <c r="Z8" i="15"/>
  <c r="W8" i="15"/>
  <c r="G8" i="15"/>
  <c r="Z7" i="15"/>
  <c r="W7" i="15"/>
  <c r="G7" i="15"/>
  <c r="Z6" i="15"/>
  <c r="W6" i="15"/>
  <c r="G6" i="15"/>
  <c r="Z5" i="15"/>
  <c r="W5" i="15"/>
  <c r="G5" i="15"/>
  <c r="Z4" i="15"/>
  <c r="W4" i="15"/>
  <c r="G4" i="15"/>
  <c r="Z3" i="15"/>
  <c r="W3" i="15"/>
  <c r="G3" i="15"/>
  <c r="W26" i="13"/>
  <c r="R26" i="13"/>
  <c r="W25" i="13"/>
  <c r="R25" i="13"/>
  <c r="W24" i="13"/>
  <c r="G24" i="13"/>
  <c r="W23" i="13"/>
  <c r="G23" i="13"/>
  <c r="W22" i="13"/>
  <c r="R22" i="13"/>
  <c r="Z21" i="13"/>
  <c r="W21" i="13"/>
  <c r="G21" i="13"/>
  <c r="W20" i="13"/>
  <c r="G20" i="13"/>
  <c r="Z19" i="13"/>
  <c r="W19" i="13"/>
  <c r="G19" i="13"/>
  <c r="W18" i="13"/>
  <c r="G18" i="13"/>
  <c r="W17" i="13"/>
  <c r="R17" i="13"/>
  <c r="W16" i="13"/>
  <c r="R16" i="13"/>
  <c r="W15" i="13"/>
  <c r="G15" i="13"/>
  <c r="W14" i="13"/>
  <c r="Z13" i="13"/>
  <c r="W13" i="13"/>
  <c r="W12" i="13"/>
  <c r="G12" i="13"/>
  <c r="Z11" i="13"/>
  <c r="W11" i="13"/>
  <c r="G11" i="13"/>
  <c r="Z10" i="13"/>
  <c r="W10" i="13"/>
  <c r="G10" i="13"/>
  <c r="Z9" i="13"/>
  <c r="W9" i="13"/>
  <c r="G9" i="13"/>
  <c r="Z8" i="13"/>
  <c r="W8" i="13"/>
  <c r="Z7" i="13"/>
  <c r="W7" i="13"/>
  <c r="Z6" i="13"/>
  <c r="W6" i="13"/>
  <c r="Z5" i="13"/>
  <c r="W5" i="13"/>
  <c r="Z4" i="13"/>
  <c r="W4" i="13"/>
  <c r="G4" i="13"/>
  <c r="Z3" i="13"/>
  <c r="W3" i="13"/>
  <c r="G3" i="13"/>
  <c r="Z38" i="12"/>
  <c r="W38" i="12"/>
  <c r="Z37" i="12"/>
  <c r="W37" i="12"/>
  <c r="Z36" i="12"/>
  <c r="W36" i="12"/>
  <c r="W35" i="12"/>
  <c r="G35" i="12"/>
  <c r="W34" i="12"/>
  <c r="R34" i="12"/>
  <c r="W33" i="12"/>
  <c r="G33" i="12"/>
  <c r="W32" i="12"/>
  <c r="G32" i="12"/>
  <c r="Z31" i="12"/>
  <c r="W31" i="12"/>
  <c r="G31" i="12"/>
  <c r="W30" i="12"/>
  <c r="G30" i="12"/>
  <c r="W29" i="12"/>
  <c r="G29" i="12"/>
  <c r="W28" i="12"/>
  <c r="G28" i="12"/>
  <c r="W27" i="12"/>
  <c r="G27" i="12"/>
  <c r="Z26" i="12"/>
  <c r="W26" i="12"/>
  <c r="W25" i="12"/>
  <c r="R25" i="12"/>
  <c r="W24" i="12"/>
  <c r="G24" i="12"/>
  <c r="W23" i="12"/>
  <c r="G23" i="12"/>
  <c r="Z22" i="12"/>
  <c r="W22" i="12"/>
  <c r="G22" i="12"/>
  <c r="Z21" i="12"/>
  <c r="W21" i="12"/>
  <c r="G21" i="12"/>
  <c r="Z20" i="12"/>
  <c r="W20" i="12"/>
  <c r="Z19" i="12"/>
  <c r="W19" i="12"/>
  <c r="Z18" i="12"/>
  <c r="W18" i="12"/>
  <c r="G18" i="12"/>
  <c r="Z17" i="12"/>
  <c r="W17" i="12"/>
  <c r="Z16" i="12"/>
  <c r="W16" i="12"/>
  <c r="G16" i="12"/>
  <c r="Z15" i="12"/>
  <c r="W15" i="12"/>
  <c r="Z14" i="12"/>
  <c r="W14" i="12"/>
  <c r="Z13" i="12"/>
  <c r="W13" i="12"/>
  <c r="G13" i="12"/>
  <c r="AA12" i="12"/>
  <c r="Z12" i="12"/>
  <c r="W12" i="12"/>
  <c r="Z11" i="12"/>
  <c r="W11" i="12"/>
  <c r="G11" i="12"/>
  <c r="Z10" i="12"/>
  <c r="W10" i="12"/>
  <c r="Z9" i="12"/>
  <c r="W9" i="12"/>
  <c r="G9" i="12"/>
  <c r="Z8" i="12"/>
  <c r="W8" i="12"/>
  <c r="G8" i="12"/>
  <c r="W7" i="12"/>
  <c r="G7" i="12"/>
  <c r="W6" i="12"/>
  <c r="G6" i="12"/>
  <c r="Z5" i="12"/>
  <c r="W5" i="12"/>
  <c r="G5" i="12"/>
  <c r="W4" i="12"/>
  <c r="G4" i="12"/>
  <c r="Z3" i="12"/>
  <c r="W3" i="12"/>
  <c r="W23" i="11"/>
  <c r="R23" i="11"/>
  <c r="W22" i="11"/>
  <c r="R22" i="11"/>
  <c r="W21" i="11"/>
  <c r="G21" i="11"/>
  <c r="W20" i="11"/>
  <c r="G20" i="11"/>
  <c r="W19" i="11"/>
  <c r="G19" i="11"/>
  <c r="W18" i="11"/>
  <c r="G18" i="11"/>
  <c r="W17" i="11"/>
  <c r="R17" i="11"/>
  <c r="Z16" i="11"/>
  <c r="W16" i="11"/>
  <c r="Z15" i="11"/>
  <c r="W15" i="11"/>
  <c r="W14" i="11"/>
  <c r="R14" i="11"/>
  <c r="W13" i="11"/>
  <c r="R13" i="11"/>
  <c r="W12" i="11"/>
  <c r="R12" i="11"/>
  <c r="Z11" i="11"/>
  <c r="W11" i="11"/>
  <c r="Z10" i="11"/>
  <c r="W10" i="11"/>
  <c r="Z9" i="11"/>
  <c r="W9" i="11"/>
  <c r="AA8" i="11"/>
  <c r="Z8" i="11"/>
  <c r="W8" i="11"/>
  <c r="Z7" i="11"/>
  <c r="W7" i="11"/>
  <c r="Z6" i="11"/>
  <c r="W6" i="11"/>
  <c r="W5" i="11"/>
  <c r="R5" i="11"/>
  <c r="Z4" i="11"/>
  <c r="W4" i="11"/>
  <c r="G4" i="11"/>
  <c r="W3" i="11"/>
  <c r="R3" i="11"/>
  <c r="H3" i="11"/>
  <c r="Z106" i="10"/>
  <c r="W106" i="10"/>
  <c r="Z105" i="10"/>
  <c r="W105" i="10"/>
  <c r="W104" i="10"/>
  <c r="W103" i="10"/>
  <c r="Z102" i="10"/>
  <c r="W102" i="10"/>
  <c r="W101" i="10"/>
  <c r="Z100" i="10"/>
  <c r="W100" i="10"/>
  <c r="W99" i="10"/>
  <c r="R99" i="10"/>
  <c r="W98" i="10"/>
  <c r="R98" i="10"/>
  <c r="W97" i="10"/>
  <c r="R97" i="10"/>
  <c r="W96" i="10"/>
  <c r="R96" i="10"/>
  <c r="W95" i="10"/>
  <c r="W94" i="10"/>
  <c r="R94" i="10"/>
  <c r="W93" i="10"/>
  <c r="W92" i="10"/>
  <c r="R92" i="10"/>
  <c r="Z91" i="10"/>
  <c r="W91" i="10"/>
  <c r="W90" i="10"/>
  <c r="W89" i="10"/>
  <c r="Z88" i="10"/>
  <c r="W88" i="10"/>
  <c r="Z87" i="10"/>
  <c r="W87" i="10"/>
  <c r="Z86" i="10"/>
  <c r="W86" i="10"/>
  <c r="Z85" i="10"/>
  <c r="W85" i="10"/>
  <c r="Z84" i="10"/>
  <c r="W84" i="10"/>
  <c r="Z83" i="10"/>
  <c r="W83" i="10"/>
  <c r="Z82" i="10"/>
  <c r="W82" i="10"/>
  <c r="Z81" i="10"/>
  <c r="W81" i="10"/>
  <c r="Z80" i="10"/>
  <c r="W80" i="10"/>
  <c r="Z79" i="10"/>
  <c r="W79" i="10"/>
  <c r="Z78" i="10"/>
  <c r="W78" i="10"/>
  <c r="Z77" i="10"/>
  <c r="W77" i="10"/>
  <c r="Z76" i="10"/>
  <c r="W76" i="10"/>
  <c r="Z75" i="10"/>
  <c r="W75" i="10"/>
  <c r="Z74" i="10"/>
  <c r="W74" i="10"/>
  <c r="Z73" i="10"/>
  <c r="W73" i="10"/>
  <c r="Z72" i="10"/>
  <c r="W72" i="10"/>
  <c r="Z71" i="10"/>
  <c r="W71" i="10"/>
  <c r="Z70" i="10"/>
  <c r="W70" i="10"/>
  <c r="Z69" i="10"/>
  <c r="W69" i="10"/>
  <c r="W68" i="10"/>
  <c r="R68" i="10"/>
  <c r="Z67" i="10"/>
  <c r="W67" i="10"/>
  <c r="Z66" i="10"/>
  <c r="W66" i="10"/>
  <c r="Z65" i="10"/>
  <c r="W65" i="10"/>
  <c r="Z64" i="10"/>
  <c r="W64" i="10"/>
  <c r="Z63" i="10"/>
  <c r="W63" i="10"/>
  <c r="Z62" i="10"/>
  <c r="W62" i="10"/>
  <c r="Z61" i="10"/>
  <c r="W61" i="10"/>
  <c r="Z60" i="10"/>
  <c r="W60" i="10"/>
  <c r="Z59" i="10"/>
  <c r="W59" i="10"/>
  <c r="Z58" i="10"/>
  <c r="W58" i="10"/>
  <c r="Z57" i="10"/>
  <c r="W57" i="10"/>
  <c r="W56" i="10"/>
  <c r="Z55" i="10"/>
  <c r="W55" i="10"/>
  <c r="Z54" i="10"/>
  <c r="W54" i="10"/>
  <c r="Z53" i="10"/>
  <c r="W53" i="10"/>
  <c r="W52" i="10"/>
  <c r="Z51" i="10"/>
  <c r="W51" i="10"/>
  <c r="Z50" i="10"/>
  <c r="W50" i="10"/>
  <c r="Z49" i="10"/>
  <c r="W49" i="10"/>
  <c r="W48" i="10"/>
  <c r="Z47" i="10"/>
  <c r="W47" i="10"/>
  <c r="Z46" i="10"/>
  <c r="W46" i="10"/>
  <c r="Z45" i="10"/>
  <c r="W45" i="10"/>
  <c r="Z44" i="10"/>
  <c r="W44" i="10"/>
  <c r="Z43" i="10"/>
  <c r="W43" i="10"/>
  <c r="W42" i="10"/>
  <c r="Z41" i="10"/>
  <c r="W41" i="10"/>
  <c r="Z40" i="10"/>
  <c r="W40" i="10"/>
  <c r="Z39" i="10"/>
  <c r="W39" i="10"/>
  <c r="Z38" i="10"/>
  <c r="W38" i="10"/>
  <c r="W37" i="10"/>
  <c r="Z36" i="10"/>
  <c r="W36" i="10"/>
  <c r="Z35" i="10"/>
  <c r="W35" i="10"/>
  <c r="Z34" i="10"/>
  <c r="W34" i="10"/>
  <c r="Z33" i="10"/>
  <c r="W33" i="10"/>
  <c r="W32" i="10"/>
  <c r="Z31" i="10"/>
  <c r="W31" i="10"/>
  <c r="Z30" i="10"/>
  <c r="W30" i="10"/>
  <c r="Z29" i="10"/>
  <c r="W29" i="10"/>
  <c r="Z28" i="10"/>
  <c r="W28" i="10"/>
  <c r="Z27" i="10"/>
  <c r="W27" i="10"/>
  <c r="Z26" i="10"/>
  <c r="W26" i="10"/>
  <c r="Z25" i="10"/>
  <c r="W25" i="10"/>
  <c r="Z24" i="10"/>
  <c r="W24" i="10"/>
  <c r="W23" i="10"/>
  <c r="Z22" i="10"/>
  <c r="W22" i="10"/>
  <c r="Z21" i="10"/>
  <c r="W21" i="10"/>
  <c r="Z20" i="10"/>
  <c r="W20" i="10"/>
  <c r="Z19" i="10"/>
  <c r="W19" i="10"/>
  <c r="Z18" i="10"/>
  <c r="W18" i="10"/>
  <c r="Z17" i="10"/>
  <c r="W17" i="10"/>
  <c r="Z16" i="10"/>
  <c r="W16" i="10"/>
  <c r="Z15" i="10"/>
  <c r="W15" i="10"/>
  <c r="Z14" i="10"/>
  <c r="W14" i="10"/>
  <c r="Z13" i="10"/>
  <c r="W13" i="10"/>
  <c r="Z12" i="10"/>
  <c r="W12" i="10"/>
  <c r="Z11" i="10"/>
  <c r="W11" i="10"/>
  <c r="Z10" i="10"/>
  <c r="W10" i="10"/>
  <c r="Z9" i="10"/>
  <c r="W9" i="10"/>
  <c r="Z8" i="10"/>
  <c r="W8" i="10"/>
  <c r="Z7" i="10"/>
  <c r="W7" i="10"/>
  <c r="Z6" i="10"/>
  <c r="W6" i="10"/>
  <c r="Z5" i="10"/>
  <c r="W5" i="10"/>
  <c r="W4" i="10"/>
  <c r="Z3" i="10"/>
  <c r="W3" i="10"/>
  <c r="Z79" i="9"/>
  <c r="W79" i="9"/>
  <c r="W78" i="9"/>
  <c r="R78" i="9"/>
  <c r="W77" i="9"/>
  <c r="R77" i="9"/>
  <c r="Z76" i="9"/>
  <c r="W76" i="9"/>
  <c r="W75" i="9"/>
  <c r="R75" i="9"/>
  <c r="Z74" i="9"/>
  <c r="W74" i="9"/>
  <c r="W73" i="9"/>
  <c r="R73" i="9"/>
  <c r="W72" i="9"/>
  <c r="R72" i="9"/>
  <c r="W71" i="9"/>
  <c r="R71" i="9"/>
  <c r="Z70" i="9"/>
  <c r="W70" i="9"/>
  <c r="W69" i="9"/>
  <c r="R69" i="9"/>
  <c r="Z68" i="9"/>
  <c r="W68" i="9"/>
  <c r="Z67" i="9"/>
  <c r="W67" i="9"/>
  <c r="Z66" i="9"/>
  <c r="W66" i="9"/>
  <c r="Z65" i="9"/>
  <c r="W65" i="9"/>
  <c r="Z64" i="9"/>
  <c r="W64" i="9"/>
  <c r="W63" i="9"/>
  <c r="R63" i="9"/>
  <c r="Z62" i="9"/>
  <c r="W62" i="9"/>
  <c r="Z61" i="9"/>
  <c r="W61" i="9"/>
  <c r="Z60" i="9"/>
  <c r="W60" i="9"/>
  <c r="W59" i="9"/>
  <c r="R59" i="9"/>
  <c r="Z58" i="9"/>
  <c r="W58" i="9"/>
  <c r="W57" i="9"/>
  <c r="R57" i="9"/>
  <c r="Z56" i="9"/>
  <c r="W56" i="9"/>
  <c r="Z55" i="9"/>
  <c r="W55" i="9"/>
  <c r="Z54" i="9"/>
  <c r="W54" i="9"/>
  <c r="Z53" i="9"/>
  <c r="W53" i="9"/>
  <c r="Z52" i="9"/>
  <c r="W52" i="9"/>
  <c r="W51" i="9"/>
  <c r="R51" i="9"/>
  <c r="Z50" i="9"/>
  <c r="W50" i="9"/>
  <c r="Z49" i="9"/>
  <c r="W49" i="9"/>
  <c r="Z48" i="9"/>
  <c r="W48" i="9"/>
  <c r="Z47" i="9"/>
  <c r="W47" i="9"/>
  <c r="Z46" i="9"/>
  <c r="W46" i="9"/>
  <c r="Z45" i="9"/>
  <c r="W45" i="9"/>
  <c r="Z44" i="9"/>
  <c r="W44" i="9"/>
  <c r="Z43" i="9"/>
  <c r="W43" i="9"/>
  <c r="Z42" i="9"/>
  <c r="W42" i="9"/>
  <c r="Z41" i="9"/>
  <c r="W41" i="9"/>
  <c r="Z40" i="9"/>
  <c r="W40" i="9"/>
  <c r="Z39" i="9"/>
  <c r="W39" i="9"/>
  <c r="Z38" i="9"/>
  <c r="W38" i="9"/>
  <c r="Z37" i="9"/>
  <c r="W37" i="9"/>
  <c r="Z36" i="9"/>
  <c r="W36" i="9"/>
  <c r="Z35" i="9"/>
  <c r="W35" i="9"/>
  <c r="Z34" i="9"/>
  <c r="W34" i="9"/>
  <c r="W33" i="9"/>
  <c r="R33" i="9"/>
  <c r="Z32" i="9"/>
  <c r="W32" i="9"/>
  <c r="Z31" i="9"/>
  <c r="W31" i="9"/>
  <c r="Z30" i="9"/>
  <c r="W30" i="9"/>
  <c r="W29" i="9"/>
  <c r="R29" i="9"/>
  <c r="Z28" i="9"/>
  <c r="W28" i="9"/>
  <c r="Z27" i="9"/>
  <c r="W27" i="9"/>
  <c r="Z26" i="9"/>
  <c r="W26" i="9"/>
  <c r="W25" i="9"/>
  <c r="R25" i="9"/>
  <c r="Z24" i="9"/>
  <c r="W24" i="9"/>
  <c r="Z23" i="9"/>
  <c r="W23" i="9"/>
  <c r="W22" i="9"/>
  <c r="R22" i="9"/>
  <c r="Z21" i="9"/>
  <c r="W21" i="9"/>
  <c r="Z20" i="9"/>
  <c r="W20" i="9"/>
  <c r="W19" i="9"/>
  <c r="R19" i="9"/>
  <c r="W18" i="9"/>
  <c r="R18" i="9"/>
  <c r="Z17" i="9"/>
  <c r="W17" i="9"/>
  <c r="Z16" i="9"/>
  <c r="W16" i="9"/>
  <c r="Z15" i="9"/>
  <c r="W15" i="9"/>
  <c r="W14" i="9"/>
  <c r="R14" i="9"/>
  <c r="Z13" i="9"/>
  <c r="W13" i="9"/>
  <c r="Z12" i="9"/>
  <c r="W12" i="9"/>
  <c r="W11" i="9"/>
  <c r="R11" i="9"/>
  <c r="W10" i="9"/>
  <c r="R10" i="9"/>
  <c r="Z9" i="9"/>
  <c r="W9" i="9"/>
  <c r="Z8" i="9"/>
  <c r="W8" i="9"/>
  <c r="Z7" i="9"/>
  <c r="W7" i="9"/>
  <c r="W6" i="9"/>
  <c r="R6" i="9"/>
  <c r="Z5" i="9"/>
  <c r="W5" i="9"/>
  <c r="Z4" i="9"/>
  <c r="W4" i="9"/>
  <c r="Z3" i="9"/>
  <c r="W3" i="9"/>
  <c r="Z79" i="8"/>
  <c r="W79" i="8"/>
  <c r="Z78" i="8"/>
  <c r="W78" i="8"/>
  <c r="Z77" i="8"/>
  <c r="W77" i="8"/>
  <c r="Z76" i="8"/>
  <c r="W76" i="8"/>
  <c r="W75" i="8"/>
  <c r="R75" i="8"/>
  <c r="Z74" i="8"/>
  <c r="W74" i="8"/>
  <c r="Z73" i="8"/>
  <c r="W73" i="8"/>
  <c r="Z72" i="8"/>
  <c r="W72" i="8"/>
  <c r="R72" i="8"/>
  <c r="Z71" i="8"/>
  <c r="W71" i="8"/>
  <c r="Z70" i="8"/>
  <c r="W70" i="8"/>
  <c r="Z69" i="8"/>
  <c r="W69" i="8"/>
  <c r="Z68" i="8"/>
  <c r="W68" i="8"/>
  <c r="Z67" i="8"/>
  <c r="W67" i="8"/>
  <c r="Z66" i="8"/>
  <c r="W66" i="8"/>
  <c r="R66" i="8"/>
  <c r="Z65" i="8"/>
  <c r="W65" i="8"/>
  <c r="Z64" i="8"/>
  <c r="W64" i="8"/>
  <c r="W63" i="8"/>
  <c r="R63" i="8"/>
  <c r="W62" i="8"/>
  <c r="R62" i="8"/>
  <c r="W61" i="8"/>
  <c r="R61" i="8"/>
  <c r="Z60" i="8"/>
  <c r="W60" i="8"/>
  <c r="Z59" i="8"/>
  <c r="W59" i="8"/>
  <c r="Z58" i="8"/>
  <c r="W58" i="8"/>
  <c r="Z57" i="8"/>
  <c r="W57" i="8"/>
  <c r="W56" i="8"/>
  <c r="R56" i="8"/>
  <c r="W55" i="8"/>
  <c r="R55" i="8"/>
  <c r="W54" i="8"/>
  <c r="R54" i="8"/>
  <c r="W53" i="8"/>
  <c r="R53" i="8"/>
  <c r="Z52" i="8"/>
  <c r="W52" i="8"/>
  <c r="Z51" i="8"/>
  <c r="W51" i="8"/>
  <c r="Z50" i="8"/>
  <c r="W50" i="8"/>
  <c r="Z49" i="8"/>
  <c r="W49" i="8"/>
  <c r="Z48" i="8"/>
  <c r="W48" i="8"/>
  <c r="Z47" i="8"/>
  <c r="W47" i="8"/>
  <c r="Z46" i="8"/>
  <c r="W46" i="8"/>
  <c r="Z45" i="8"/>
  <c r="W45" i="8"/>
  <c r="Z44" i="8"/>
  <c r="W44" i="8"/>
  <c r="Z43" i="8"/>
  <c r="W43" i="8"/>
  <c r="Z42" i="8"/>
  <c r="W42" i="8"/>
  <c r="Z41" i="8"/>
  <c r="W41" i="8"/>
  <c r="Z40" i="8"/>
  <c r="W40" i="8"/>
  <c r="Z39" i="8"/>
  <c r="W39" i="8"/>
  <c r="Z38" i="8"/>
  <c r="W38" i="8"/>
  <c r="W37" i="8"/>
  <c r="R37" i="8"/>
  <c r="W36" i="8"/>
  <c r="R36" i="8"/>
  <c r="Z35" i="8"/>
  <c r="W35" i="8"/>
  <c r="Z34" i="8"/>
  <c r="W34" i="8"/>
  <c r="Z33" i="8"/>
  <c r="W33" i="8"/>
  <c r="Z32" i="8"/>
  <c r="W32" i="8"/>
  <c r="Z31" i="8"/>
  <c r="W31" i="8"/>
  <c r="Z30" i="8"/>
  <c r="W30" i="8"/>
  <c r="Z29" i="8"/>
  <c r="W29" i="8"/>
  <c r="W28" i="8"/>
  <c r="R28" i="8"/>
  <c r="Z27" i="8"/>
  <c r="W27" i="8"/>
  <c r="Z26" i="8"/>
  <c r="W26" i="8"/>
  <c r="Z25" i="8"/>
  <c r="W25" i="8"/>
  <c r="Z24" i="8"/>
  <c r="W24" i="8"/>
  <c r="Z23" i="8"/>
  <c r="W23" i="8"/>
  <c r="W22" i="8"/>
  <c r="R22" i="8"/>
  <c r="Z21" i="8"/>
  <c r="W21" i="8"/>
  <c r="Z20" i="8"/>
  <c r="W20" i="8"/>
  <c r="Z19" i="8"/>
  <c r="W19" i="8"/>
  <c r="Z18" i="8"/>
  <c r="W18" i="8"/>
  <c r="Z17" i="8"/>
  <c r="W17" i="8"/>
  <c r="Z16" i="8"/>
  <c r="W16" i="8"/>
  <c r="Z15" i="8"/>
  <c r="W15" i="8"/>
  <c r="W14" i="8"/>
  <c r="R14" i="8"/>
  <c r="Z13" i="8"/>
  <c r="W13" i="8"/>
  <c r="Z12" i="8"/>
  <c r="W12" i="8"/>
  <c r="Z11" i="8"/>
  <c r="W11" i="8"/>
  <c r="Z10" i="8"/>
  <c r="W10" i="8"/>
  <c r="W9" i="8"/>
  <c r="Z8" i="8"/>
  <c r="W8" i="8"/>
  <c r="Z7" i="8"/>
  <c r="W7" i="8"/>
  <c r="Z6" i="8"/>
  <c r="W6" i="8"/>
  <c r="Z5" i="8"/>
  <c r="W5" i="8"/>
  <c r="Z4" i="8"/>
  <c r="W4" i="8"/>
  <c r="Z3" i="8"/>
  <c r="W3" i="8"/>
  <c r="W80" i="7"/>
  <c r="G80" i="7"/>
  <c r="W79" i="7"/>
  <c r="R79" i="7"/>
  <c r="W78" i="7"/>
  <c r="G78" i="7"/>
  <c r="W77" i="7"/>
  <c r="G77" i="7"/>
  <c r="W76" i="7"/>
  <c r="R76" i="7"/>
  <c r="W75" i="7"/>
  <c r="R75" i="7"/>
  <c r="W74" i="7"/>
  <c r="G74" i="7"/>
  <c r="W73" i="7"/>
  <c r="R73" i="7"/>
  <c r="Z72" i="7"/>
  <c r="W72" i="7"/>
  <c r="G72" i="7"/>
  <c r="Z71" i="7"/>
  <c r="W71" i="7"/>
  <c r="G71" i="7"/>
  <c r="W70" i="7"/>
  <c r="R70" i="7"/>
  <c r="W69" i="7"/>
  <c r="R69" i="7"/>
  <c r="W68" i="7"/>
  <c r="R68" i="7"/>
  <c r="Z67" i="7"/>
  <c r="W67" i="7"/>
  <c r="G67" i="7"/>
  <c r="W66" i="7"/>
  <c r="R66" i="7"/>
  <c r="W65" i="7"/>
  <c r="G65" i="7"/>
  <c r="W64" i="7"/>
  <c r="R64" i="7"/>
  <c r="Z63" i="7"/>
  <c r="W63" i="7"/>
  <c r="G63" i="7"/>
  <c r="Z62" i="7"/>
  <c r="W62" i="7"/>
  <c r="G62" i="7"/>
  <c r="Z61" i="7"/>
  <c r="W61" i="7"/>
  <c r="G61" i="7"/>
  <c r="Z60" i="7"/>
  <c r="W60" i="7"/>
  <c r="G60" i="7"/>
  <c r="Z59" i="7"/>
  <c r="W59" i="7"/>
  <c r="G59" i="7"/>
  <c r="Z58" i="7"/>
  <c r="W58" i="7"/>
  <c r="G58" i="7"/>
  <c r="Z57" i="7"/>
  <c r="W57" i="7"/>
  <c r="G57" i="7"/>
  <c r="W56" i="7"/>
  <c r="G56" i="7"/>
  <c r="W55" i="7"/>
  <c r="G55" i="7"/>
  <c r="Z54" i="7"/>
  <c r="W54" i="7"/>
  <c r="G54" i="7"/>
  <c r="W53" i="7"/>
  <c r="R53" i="7"/>
  <c r="W52" i="7"/>
  <c r="G52" i="7"/>
  <c r="W51" i="7"/>
  <c r="G51" i="7"/>
  <c r="Z50" i="7"/>
  <c r="Z49" i="7"/>
  <c r="W49" i="7"/>
  <c r="G49" i="7"/>
  <c r="W48" i="7"/>
  <c r="G48" i="7"/>
  <c r="AA47" i="7"/>
  <c r="W47" i="7"/>
  <c r="R47" i="7"/>
  <c r="Z46" i="7"/>
  <c r="W46" i="7"/>
  <c r="G46" i="7"/>
  <c r="Z45" i="7"/>
  <c r="W45" i="7"/>
  <c r="G45" i="7"/>
  <c r="Z44" i="7"/>
  <c r="W44" i="7"/>
  <c r="G44" i="7"/>
  <c r="W43" i="7"/>
  <c r="G43" i="7"/>
  <c r="W42" i="7"/>
  <c r="G42" i="7"/>
  <c r="Z41" i="7"/>
  <c r="W41" i="7"/>
  <c r="G41" i="7"/>
  <c r="Z40" i="7"/>
  <c r="W40" i="7"/>
  <c r="W39" i="7"/>
  <c r="G39" i="7"/>
  <c r="W38" i="7"/>
  <c r="G38" i="7"/>
  <c r="W37" i="7"/>
  <c r="G37" i="7"/>
  <c r="Z36" i="7"/>
  <c r="W36" i="7"/>
  <c r="G36" i="7"/>
  <c r="W35" i="7"/>
  <c r="R35" i="7"/>
  <c r="Z34" i="7"/>
  <c r="W34" i="7"/>
  <c r="G34" i="7"/>
  <c r="Z33" i="7"/>
  <c r="W33" i="7"/>
  <c r="G33" i="7"/>
  <c r="Z32" i="7"/>
  <c r="W32" i="7"/>
  <c r="G32" i="7"/>
  <c r="W31" i="7"/>
  <c r="G31" i="7"/>
  <c r="W30" i="7"/>
  <c r="G30" i="7"/>
  <c r="W29" i="7"/>
  <c r="G29" i="7"/>
  <c r="W28" i="7"/>
  <c r="G28" i="7"/>
  <c r="W27" i="7"/>
  <c r="G27" i="7"/>
  <c r="W26" i="7"/>
  <c r="G26" i="7"/>
  <c r="Z25" i="7"/>
  <c r="W25" i="7"/>
  <c r="G25" i="7"/>
  <c r="Z24" i="7"/>
  <c r="W24" i="7"/>
  <c r="G24" i="7"/>
  <c r="W23" i="7"/>
  <c r="G23" i="7"/>
  <c r="Z22" i="7"/>
  <c r="W22" i="7"/>
  <c r="AA22" i="7" s="1"/>
  <c r="G22" i="7"/>
  <c r="Z21" i="7"/>
  <c r="W21" i="7"/>
  <c r="Z20" i="7"/>
  <c r="W20" i="7"/>
  <c r="G20" i="7"/>
  <c r="W19" i="7"/>
  <c r="G19" i="7"/>
  <c r="Z18" i="7"/>
  <c r="W18" i="7"/>
  <c r="G18" i="7"/>
  <c r="Z17" i="7"/>
  <c r="W17" i="7"/>
  <c r="G17" i="7"/>
  <c r="Z16" i="7"/>
  <c r="W16" i="7"/>
  <c r="G16" i="7"/>
  <c r="Z15" i="7"/>
  <c r="W15" i="7"/>
  <c r="G15" i="7"/>
  <c r="W14" i="7"/>
  <c r="G14" i="7"/>
  <c r="Z13" i="7"/>
  <c r="W13" i="7"/>
  <c r="G13" i="7"/>
  <c r="Z12" i="7"/>
  <c r="W12" i="7"/>
  <c r="G12" i="7"/>
  <c r="Z11" i="7"/>
  <c r="W11" i="7"/>
  <c r="G11" i="7"/>
  <c r="Z10" i="7"/>
  <c r="W10" i="7"/>
  <c r="G10" i="7"/>
  <c r="W9" i="7"/>
  <c r="G9" i="7"/>
  <c r="Z8" i="7"/>
  <c r="W8" i="7"/>
  <c r="G8" i="7"/>
  <c r="Z7" i="7"/>
  <c r="W7" i="7"/>
  <c r="G7" i="7"/>
  <c r="W6" i="7"/>
  <c r="G6" i="7"/>
  <c r="W5" i="7"/>
  <c r="G5" i="7"/>
  <c r="Z4" i="7"/>
  <c r="W4" i="7"/>
  <c r="G4" i="7"/>
  <c r="Z3" i="7"/>
  <c r="W3" i="7"/>
  <c r="G3" i="7"/>
  <c r="W21" i="6"/>
  <c r="R21" i="6"/>
  <c r="W20" i="6"/>
  <c r="R20" i="6"/>
  <c r="Z19" i="6"/>
  <c r="W19" i="6"/>
  <c r="Z18" i="6"/>
  <c r="W18" i="6"/>
  <c r="Z17" i="6"/>
  <c r="W17" i="6"/>
  <c r="Z16" i="6"/>
  <c r="W16" i="6"/>
  <c r="W15" i="6"/>
  <c r="R15" i="6"/>
  <c r="Z14" i="6"/>
  <c r="W14" i="6"/>
  <c r="Z13" i="6"/>
  <c r="W13" i="6"/>
  <c r="Z12" i="6"/>
  <c r="W12" i="6"/>
  <c r="Z11" i="6"/>
  <c r="W11" i="6"/>
  <c r="Z10" i="6"/>
  <c r="W10" i="6"/>
  <c r="Z9" i="6"/>
  <c r="W9" i="6"/>
  <c r="W8" i="6"/>
  <c r="R8" i="6"/>
  <c r="Z7" i="6"/>
  <c r="W7" i="6"/>
  <c r="Z6" i="6"/>
  <c r="W6" i="6"/>
  <c r="Z5" i="6"/>
  <c r="W5" i="6"/>
  <c r="W4" i="6"/>
  <c r="R4" i="6"/>
  <c r="Z3" i="6"/>
  <c r="W3" i="6"/>
  <c r="Z36" i="5"/>
  <c r="W36" i="5"/>
  <c r="W35" i="5"/>
  <c r="R35" i="5"/>
  <c r="Z34" i="5"/>
  <c r="W34" i="5"/>
  <c r="Z33" i="5"/>
  <c r="W33" i="5"/>
  <c r="W32" i="5"/>
  <c r="R32" i="5"/>
  <c r="Z31" i="5"/>
  <c r="W31" i="5"/>
  <c r="Z30" i="5"/>
  <c r="W30" i="5"/>
  <c r="Z29" i="5"/>
  <c r="W29" i="5"/>
  <c r="W28" i="5"/>
  <c r="R28" i="5"/>
  <c r="Z27" i="5"/>
  <c r="W27" i="5"/>
  <c r="W26" i="5"/>
  <c r="R26" i="5"/>
  <c r="Z25" i="5"/>
  <c r="W25" i="5"/>
  <c r="Z24" i="5"/>
  <c r="W24" i="5"/>
  <c r="Z23" i="5"/>
  <c r="W23" i="5"/>
  <c r="Z22" i="5"/>
  <c r="W22" i="5"/>
  <c r="W21" i="5"/>
  <c r="R21" i="5"/>
  <c r="Z20" i="5"/>
  <c r="W20" i="5"/>
  <c r="W19" i="5"/>
  <c r="R19" i="5"/>
  <c r="Z18" i="5"/>
  <c r="W18" i="5"/>
  <c r="Z17" i="5"/>
  <c r="W17" i="5"/>
  <c r="Z16" i="5"/>
  <c r="W16" i="5"/>
  <c r="Z15" i="5"/>
  <c r="W15" i="5"/>
  <c r="Z14" i="5"/>
  <c r="W14" i="5"/>
  <c r="Z13" i="5"/>
  <c r="W13" i="5"/>
  <c r="Z12" i="5"/>
  <c r="W12" i="5"/>
  <c r="W11" i="5"/>
  <c r="R11" i="5"/>
  <c r="Z10" i="5"/>
  <c r="W10" i="5"/>
  <c r="Z9" i="5"/>
  <c r="W9" i="5"/>
  <c r="Z8" i="5"/>
  <c r="W8" i="5"/>
  <c r="W7" i="5"/>
  <c r="R7" i="5"/>
  <c r="Z6" i="5"/>
  <c r="W6" i="5"/>
  <c r="Z5" i="5"/>
  <c r="W5" i="5"/>
  <c r="Z4" i="5"/>
  <c r="W4" i="5"/>
  <c r="Z3" i="5"/>
  <c r="W3" i="5"/>
  <c r="Z33" i="4"/>
  <c r="W33" i="4"/>
  <c r="Z32" i="4"/>
  <c r="W32" i="4"/>
  <c r="Z31" i="4"/>
  <c r="W31" i="4"/>
  <c r="Z30" i="4"/>
  <c r="W30" i="4"/>
  <c r="Z29" i="4"/>
  <c r="W29" i="4"/>
  <c r="Z28" i="4"/>
  <c r="W28" i="4"/>
  <c r="Z27" i="4"/>
  <c r="W27" i="4"/>
  <c r="Z26" i="4"/>
  <c r="W26" i="4"/>
  <c r="Z25" i="4"/>
  <c r="W25" i="4"/>
  <c r="Z24" i="4"/>
  <c r="W24" i="4"/>
  <c r="Z23" i="4"/>
  <c r="W23" i="4"/>
  <c r="Z22" i="4"/>
  <c r="W22" i="4"/>
  <c r="Z21" i="4"/>
  <c r="W21" i="4"/>
  <c r="Z20" i="4"/>
  <c r="W20" i="4"/>
  <c r="Z19" i="4"/>
  <c r="W19" i="4"/>
  <c r="Z18" i="4"/>
  <c r="W18" i="4"/>
  <c r="Z17" i="4"/>
  <c r="W17" i="4"/>
  <c r="Z16" i="4"/>
  <c r="W16" i="4"/>
  <c r="Z15" i="4"/>
  <c r="W15" i="4"/>
  <c r="Z14" i="4"/>
  <c r="W14" i="4"/>
  <c r="Z13" i="4"/>
  <c r="W13" i="4"/>
  <c r="Z12" i="4"/>
  <c r="W12" i="4"/>
  <c r="Z11" i="4"/>
  <c r="W11" i="4"/>
  <c r="Z10" i="4"/>
  <c r="W10" i="4"/>
  <c r="Z9" i="4"/>
  <c r="W9" i="4"/>
  <c r="Z8" i="4"/>
  <c r="W8" i="4"/>
  <c r="Z7" i="4"/>
  <c r="W7" i="4"/>
  <c r="Z6" i="4"/>
  <c r="W6" i="4"/>
  <c r="Z5" i="4"/>
  <c r="W5" i="4"/>
  <c r="Z4" i="4"/>
  <c r="W4" i="4"/>
  <c r="Z3" i="4"/>
  <c r="W3" i="4"/>
  <c r="AA13" i="3"/>
  <c r="Z13" i="3"/>
  <c r="Z12" i="3"/>
  <c r="W12" i="3"/>
  <c r="Z11" i="3"/>
  <c r="W11" i="3"/>
  <c r="Z10" i="3"/>
  <c r="W10" i="3"/>
  <c r="Z9" i="3"/>
  <c r="W9" i="3"/>
  <c r="AA9" i="3" s="1"/>
  <c r="Z8" i="3"/>
  <c r="W8" i="3"/>
  <c r="AA8" i="3" s="1"/>
  <c r="Z7" i="3"/>
  <c r="W7" i="3"/>
  <c r="Z6" i="3"/>
  <c r="W6" i="3"/>
  <c r="Z5" i="3"/>
  <c r="W5" i="3"/>
  <c r="Z4" i="3"/>
  <c r="W4" i="3"/>
  <c r="AA4" i="3" s="1"/>
  <c r="Z3" i="3"/>
  <c r="W3" i="3"/>
  <c r="AA3" i="3" s="1"/>
  <c r="Z177" i="2"/>
  <c r="W177" i="2"/>
  <c r="G177" i="2"/>
  <c r="W176" i="2"/>
  <c r="G176" i="2"/>
  <c r="Z175" i="2"/>
  <c r="W175" i="2"/>
  <c r="Z174" i="2"/>
  <c r="W174" i="2"/>
  <c r="G174" i="2"/>
  <c r="Z173" i="2"/>
  <c r="W173" i="2"/>
  <c r="G173" i="2"/>
  <c r="Z172" i="2"/>
  <c r="W172" i="2"/>
  <c r="G172" i="2"/>
  <c r="W171" i="2"/>
  <c r="R171" i="2"/>
  <c r="Z170" i="2"/>
  <c r="W170" i="2"/>
  <c r="Z169" i="2"/>
  <c r="W169" i="2"/>
  <c r="G169" i="2"/>
  <c r="W168" i="2"/>
  <c r="G168" i="2"/>
  <c r="Z167" i="2"/>
  <c r="W167" i="2"/>
  <c r="G167" i="2"/>
  <c r="Z166" i="2"/>
  <c r="W166" i="2"/>
  <c r="Z165" i="2"/>
  <c r="W165" i="2"/>
  <c r="W164" i="2"/>
  <c r="G164" i="2"/>
  <c r="Z163" i="2"/>
  <c r="W163" i="2"/>
  <c r="G163" i="2"/>
  <c r="Z162" i="2"/>
  <c r="W162" i="2"/>
  <c r="Z161" i="2"/>
  <c r="W161" i="2"/>
  <c r="Z160" i="2"/>
  <c r="W160" i="2"/>
  <c r="Z159" i="2"/>
  <c r="W159" i="2"/>
  <c r="Z158" i="2"/>
  <c r="W158" i="2"/>
  <c r="G158" i="2"/>
  <c r="Z157" i="2"/>
  <c r="W157" i="2"/>
  <c r="G157" i="2"/>
  <c r="Z156" i="2"/>
  <c r="W156" i="2"/>
  <c r="G156" i="2"/>
  <c r="Z155" i="2"/>
  <c r="W155" i="2"/>
  <c r="Z154" i="2"/>
  <c r="W154" i="2"/>
  <c r="G154" i="2"/>
  <c r="Z153" i="2"/>
  <c r="W153" i="2"/>
  <c r="Z152" i="2"/>
  <c r="W152" i="2"/>
  <c r="G152" i="2"/>
  <c r="Z151" i="2"/>
  <c r="W151" i="2"/>
  <c r="Z146" i="2"/>
  <c r="W146" i="2"/>
  <c r="G146" i="2"/>
  <c r="Z145" i="2"/>
  <c r="W145" i="2"/>
  <c r="G145" i="2"/>
  <c r="W144" i="2"/>
  <c r="G144" i="2"/>
  <c r="Z143" i="2"/>
  <c r="W143" i="2"/>
  <c r="G143" i="2"/>
  <c r="Z142" i="2"/>
  <c r="W142" i="2"/>
  <c r="Z141" i="2"/>
  <c r="W141" i="2"/>
  <c r="G141" i="2"/>
  <c r="Z140" i="2"/>
  <c r="W140" i="2"/>
  <c r="G140" i="2"/>
  <c r="W139" i="2"/>
  <c r="G139" i="2"/>
  <c r="W138" i="2"/>
  <c r="G138" i="2"/>
  <c r="Z137" i="2"/>
  <c r="W137" i="2"/>
  <c r="Z150" i="2"/>
  <c r="W150" i="2"/>
  <c r="G150" i="2"/>
  <c r="Z136" i="2"/>
  <c r="W136" i="2"/>
  <c r="G136" i="2"/>
  <c r="Z135" i="2"/>
  <c r="W135" i="2"/>
  <c r="G135" i="2"/>
  <c r="Z134" i="2"/>
  <c r="W134" i="2"/>
  <c r="G134" i="2"/>
  <c r="Z149" i="2"/>
  <c r="W149" i="2"/>
  <c r="G149" i="2"/>
  <c r="Z133" i="2"/>
  <c r="W133" i="2"/>
  <c r="G133" i="2"/>
  <c r="Z132" i="2"/>
  <c r="W132" i="2"/>
  <c r="G132" i="2"/>
  <c r="Z148" i="2"/>
  <c r="W148" i="2"/>
  <c r="G148" i="2"/>
  <c r="Z131" i="2"/>
  <c r="W131" i="2"/>
  <c r="G131" i="2"/>
  <c r="Z130" i="2"/>
  <c r="W130" i="2"/>
  <c r="G130" i="2"/>
  <c r="W129" i="2"/>
  <c r="G129" i="2"/>
  <c r="Z128" i="2"/>
  <c r="W128" i="2"/>
  <c r="G128" i="2"/>
  <c r="W127" i="2"/>
  <c r="G127" i="2"/>
  <c r="Z147" i="2"/>
  <c r="W147" i="2"/>
  <c r="G147" i="2"/>
  <c r="Z126" i="2"/>
  <c r="W126" i="2"/>
  <c r="G126" i="2"/>
  <c r="Z125" i="2"/>
  <c r="W125" i="2"/>
  <c r="G125" i="2"/>
  <c r="Z123" i="2"/>
  <c r="W123" i="2"/>
  <c r="Z103" i="2"/>
  <c r="W103" i="2"/>
  <c r="W122" i="2"/>
  <c r="R122" i="2"/>
  <c r="Z121" i="2"/>
  <c r="W121" i="2"/>
  <c r="Z120" i="2"/>
  <c r="W120" i="2"/>
  <c r="G120" i="2"/>
  <c r="W119" i="2"/>
  <c r="G119" i="2"/>
  <c r="W118" i="2"/>
  <c r="G118" i="2"/>
  <c r="W117" i="2"/>
  <c r="G117" i="2"/>
  <c r="Z116" i="2"/>
  <c r="W116" i="2"/>
  <c r="Z115" i="2"/>
  <c r="W115" i="2"/>
  <c r="G115" i="2"/>
  <c r="Z114" i="2"/>
  <c r="W114" i="2"/>
  <c r="G114" i="2"/>
  <c r="W113" i="2"/>
  <c r="G113" i="2"/>
  <c r="Z112" i="2"/>
  <c r="W112" i="2"/>
  <c r="G112" i="2"/>
  <c r="W111" i="2"/>
  <c r="G111" i="2"/>
  <c r="Z110" i="2"/>
  <c r="W110" i="2"/>
  <c r="G110" i="2"/>
  <c r="Z109" i="2"/>
  <c r="W109" i="2"/>
  <c r="G109" i="2"/>
  <c r="Z108" i="2"/>
  <c r="W108" i="2"/>
  <c r="G108" i="2"/>
  <c r="Z102" i="2"/>
  <c r="W102" i="2"/>
  <c r="G102" i="2"/>
  <c r="Z101" i="2"/>
  <c r="W101" i="2"/>
  <c r="G101" i="2"/>
  <c r="Z100" i="2"/>
  <c r="W100" i="2"/>
  <c r="G100" i="2"/>
  <c r="Z107" i="2"/>
  <c r="W107" i="2"/>
  <c r="G107" i="2"/>
  <c r="Z99" i="2"/>
  <c r="W99" i="2"/>
  <c r="G99" i="2"/>
  <c r="Z106" i="2"/>
  <c r="W106" i="2"/>
  <c r="G106" i="2"/>
  <c r="W98" i="2"/>
  <c r="G98" i="2"/>
  <c r="Z105" i="2"/>
  <c r="W105" i="2"/>
  <c r="G105" i="2"/>
  <c r="Z97" i="2"/>
  <c r="W97" i="2"/>
  <c r="G97" i="2"/>
  <c r="Z96" i="2"/>
  <c r="W96" i="2"/>
  <c r="Z91" i="2"/>
  <c r="W91" i="2"/>
  <c r="W92" i="2"/>
  <c r="G92" i="2"/>
  <c r="Z93" i="2"/>
  <c r="W93" i="2"/>
  <c r="G93" i="2"/>
  <c r="Z95" i="2"/>
  <c r="W95" i="2"/>
  <c r="Z94" i="2"/>
  <c r="W94" i="2"/>
  <c r="G94" i="2"/>
  <c r="Z90" i="2"/>
  <c r="W90" i="2"/>
  <c r="W190" i="2"/>
  <c r="R190" i="2"/>
  <c r="Z89" i="2"/>
  <c r="W89" i="2"/>
  <c r="Z88" i="2"/>
  <c r="W88" i="2"/>
  <c r="Z87" i="2"/>
  <c r="W87" i="2"/>
  <c r="W86" i="2"/>
  <c r="R86" i="2"/>
  <c r="Z85" i="2"/>
  <c r="W85" i="2"/>
  <c r="Z84" i="2"/>
  <c r="W84" i="2"/>
  <c r="Z83" i="2"/>
  <c r="W83" i="2"/>
  <c r="W82" i="2"/>
  <c r="R82" i="2"/>
  <c r="Z81" i="2"/>
  <c r="W81" i="2"/>
  <c r="Z75" i="2"/>
  <c r="W75" i="2"/>
  <c r="G75" i="2"/>
  <c r="Z77" i="2"/>
  <c r="W77" i="2"/>
  <c r="G77" i="2"/>
  <c r="Z73" i="2"/>
  <c r="W73" i="2"/>
  <c r="G73" i="2"/>
  <c r="Z80" i="2"/>
  <c r="W80" i="2"/>
  <c r="Z69" i="2"/>
  <c r="W69" i="2"/>
  <c r="G69" i="2"/>
  <c r="Z79" i="2"/>
  <c r="W79" i="2"/>
  <c r="Z78" i="2"/>
  <c r="W78" i="2"/>
  <c r="G78" i="2"/>
  <c r="Z76" i="2"/>
  <c r="W76" i="2"/>
  <c r="G76" i="2"/>
  <c r="Z74" i="2"/>
  <c r="W74" i="2"/>
  <c r="G74" i="2"/>
  <c r="W72" i="2"/>
  <c r="R72" i="2"/>
  <c r="Z71" i="2"/>
  <c r="W71" i="2"/>
  <c r="G71" i="2"/>
  <c r="Z70" i="2"/>
  <c r="W70" i="2"/>
  <c r="G70" i="2"/>
  <c r="Z68" i="2"/>
  <c r="W68" i="2"/>
  <c r="Z67" i="2"/>
  <c r="W67" i="2"/>
  <c r="Z66" i="2"/>
  <c r="W66" i="2"/>
  <c r="Z65" i="2"/>
  <c r="W65" i="2"/>
  <c r="Z64" i="2"/>
  <c r="W64" i="2"/>
  <c r="W63" i="2"/>
  <c r="R63" i="2"/>
  <c r="Z62" i="2"/>
  <c r="W62" i="2"/>
  <c r="Z60" i="2"/>
  <c r="W60" i="2"/>
  <c r="G60" i="2"/>
  <c r="W59" i="2"/>
  <c r="R59" i="2"/>
  <c r="Z57" i="2"/>
  <c r="W57" i="2"/>
  <c r="G57" i="2"/>
  <c r="Z56" i="2"/>
  <c r="W56" i="2"/>
  <c r="Z55" i="2"/>
  <c r="W55" i="2"/>
  <c r="G55" i="2"/>
  <c r="Z54" i="2"/>
  <c r="W54" i="2"/>
  <c r="G54" i="2"/>
  <c r="Z58" i="2"/>
  <c r="W58" i="2"/>
  <c r="G58" i="2"/>
  <c r="Z61" i="2"/>
  <c r="W61" i="2"/>
  <c r="G61" i="2"/>
  <c r="Z53" i="2"/>
  <c r="W53" i="2"/>
  <c r="G53" i="2"/>
  <c r="Z52" i="2"/>
  <c r="W52" i="2"/>
  <c r="G52" i="2"/>
  <c r="W51" i="2"/>
  <c r="R51" i="2"/>
  <c r="Z50" i="2"/>
  <c r="W50" i="2"/>
  <c r="G50" i="2"/>
  <c r="Z49" i="2"/>
  <c r="W49" i="2"/>
  <c r="G49" i="2"/>
  <c r="W48" i="2"/>
  <c r="G48" i="2"/>
  <c r="Z47" i="2"/>
  <c r="W47" i="2"/>
  <c r="G47" i="2"/>
  <c r="Z46" i="2"/>
  <c r="W46" i="2"/>
  <c r="G46" i="2"/>
  <c r="Z45" i="2"/>
  <c r="W45" i="2"/>
  <c r="Z44" i="2"/>
  <c r="W44" i="2"/>
  <c r="G44" i="2"/>
  <c r="Z43" i="2"/>
  <c r="W43" i="2"/>
  <c r="Z42" i="2"/>
  <c r="W42" i="2"/>
  <c r="Z41" i="2"/>
  <c r="W41" i="2"/>
  <c r="Z40" i="2"/>
  <c r="W40" i="2"/>
  <c r="W39" i="2"/>
  <c r="R39" i="2"/>
  <c r="Z38" i="2"/>
  <c r="W38" i="2"/>
  <c r="Z37" i="2"/>
  <c r="W37" i="2"/>
  <c r="Z36" i="2"/>
  <c r="W36" i="2"/>
  <c r="Z35" i="2"/>
  <c r="W35" i="2"/>
  <c r="Z34" i="2"/>
  <c r="W34" i="2"/>
  <c r="W33" i="2"/>
  <c r="R33" i="2"/>
  <c r="W32" i="2"/>
  <c r="R32" i="2"/>
  <c r="Z31" i="2"/>
  <c r="W31" i="2"/>
  <c r="Z30" i="2"/>
  <c r="W30" i="2"/>
  <c r="Z29" i="2"/>
  <c r="W29" i="2"/>
  <c r="Z28" i="2"/>
  <c r="W28" i="2"/>
  <c r="G28" i="2"/>
  <c r="W27" i="2"/>
  <c r="G27" i="2"/>
  <c r="Z26" i="2"/>
  <c r="W26" i="2"/>
  <c r="G26" i="2"/>
  <c r="W25" i="2"/>
  <c r="R25" i="2"/>
  <c r="W24" i="2"/>
  <c r="G24" i="2"/>
  <c r="W23" i="2"/>
  <c r="G23" i="2"/>
  <c r="W22" i="2"/>
  <c r="G22" i="2"/>
  <c r="Z21" i="2"/>
  <c r="W21" i="2"/>
  <c r="G21" i="2"/>
  <c r="W20" i="2"/>
  <c r="G20" i="2"/>
  <c r="Z19" i="2"/>
  <c r="W19" i="2"/>
  <c r="G19" i="2"/>
  <c r="Z18" i="2"/>
  <c r="W18" i="2"/>
  <c r="G18" i="2"/>
  <c r="Z17" i="2"/>
  <c r="W17" i="2"/>
  <c r="Z16" i="2"/>
  <c r="W16" i="2"/>
  <c r="Z15" i="2"/>
  <c r="W15" i="2"/>
  <c r="Z14" i="2"/>
  <c r="W14" i="2"/>
  <c r="Z13" i="2"/>
  <c r="W13" i="2"/>
  <c r="Z12" i="2"/>
  <c r="W12" i="2"/>
  <c r="Z11" i="2"/>
  <c r="W11" i="2"/>
  <c r="Z10" i="2"/>
  <c r="W10" i="2"/>
  <c r="W9" i="2"/>
  <c r="R9" i="2"/>
  <c r="Z8" i="2"/>
  <c r="W8" i="2"/>
  <c r="Z7" i="2"/>
  <c r="W7" i="2"/>
  <c r="Z6" i="2"/>
  <c r="W6" i="2"/>
  <c r="Z5" i="2"/>
  <c r="W5" i="2"/>
  <c r="Z4" i="2"/>
  <c r="W4" i="2"/>
  <c r="Z3" i="2"/>
  <c r="W3" i="2"/>
  <c r="Z45" i="14"/>
  <c r="W45" i="14"/>
  <c r="Z44" i="14"/>
  <c r="W44" i="14"/>
  <c r="Z43" i="14"/>
  <c r="W43" i="14"/>
  <c r="Z42" i="14"/>
  <c r="W42" i="14"/>
  <c r="Z41" i="14"/>
  <c r="W41" i="14"/>
  <c r="Z40" i="14"/>
  <c r="W40" i="14"/>
  <c r="Z39" i="14"/>
  <c r="W39" i="14"/>
  <c r="Z38" i="14"/>
  <c r="W38" i="14"/>
  <c r="Z37" i="14"/>
  <c r="W37" i="14"/>
  <c r="Z36" i="14"/>
  <c r="W36" i="14"/>
  <c r="Z35" i="14"/>
  <c r="W35" i="14"/>
  <c r="Z34" i="14"/>
  <c r="W34" i="14"/>
  <c r="Z33" i="14"/>
  <c r="W33" i="14"/>
  <c r="Z32" i="14"/>
  <c r="W32" i="14"/>
  <c r="Z31" i="14"/>
  <c r="W31" i="14"/>
  <c r="Z30" i="14"/>
  <c r="W30" i="14"/>
  <c r="Z29" i="14"/>
  <c r="W29" i="14"/>
  <c r="Z28" i="14"/>
  <c r="W28" i="14"/>
  <c r="Z27" i="14"/>
  <c r="W27" i="14"/>
  <c r="Z26" i="14"/>
  <c r="W26" i="14"/>
  <c r="Z25" i="14"/>
  <c r="W25" i="14"/>
  <c r="Z24" i="14"/>
  <c r="W24" i="14"/>
  <c r="Z23" i="14"/>
  <c r="W23" i="14"/>
  <c r="Z22" i="14"/>
  <c r="W22" i="14"/>
  <c r="Z21" i="14"/>
  <c r="W21" i="14"/>
  <c r="Z20" i="14"/>
  <c r="W20" i="14"/>
  <c r="Z19" i="14"/>
  <c r="W19" i="14"/>
  <c r="Z18" i="14"/>
  <c r="W18" i="14"/>
  <c r="Z17" i="14"/>
  <c r="W17" i="14"/>
  <c r="Z16" i="14"/>
  <c r="W16" i="14"/>
  <c r="Z15" i="14"/>
  <c r="W15" i="14"/>
  <c r="Z14" i="14"/>
  <c r="W14" i="14"/>
  <c r="Z13" i="14"/>
  <c r="W13" i="14"/>
  <c r="Z12" i="14"/>
  <c r="W12" i="14"/>
  <c r="Z11" i="14"/>
  <c r="W11" i="14"/>
  <c r="Z10" i="14"/>
  <c r="W10" i="14"/>
  <c r="Z9" i="14"/>
  <c r="W9" i="14"/>
  <c r="Z8" i="14"/>
  <c r="W8" i="14"/>
  <c r="Z7" i="14"/>
  <c r="W7" i="14"/>
  <c r="Z6" i="14"/>
  <c r="W6" i="14"/>
  <c r="Z5" i="14"/>
  <c r="W5" i="14"/>
  <c r="Z4" i="14"/>
  <c r="W4" i="14"/>
  <c r="Z3" i="14"/>
  <c r="W3" i="14"/>
  <c r="AA31" i="10" l="1"/>
  <c r="AA189" i="2"/>
  <c r="AA188" i="2"/>
  <c r="Z188" i="2"/>
  <c r="AA186" i="2"/>
  <c r="R186" i="2"/>
  <c r="Z186" i="2" s="1"/>
  <c r="AA183" i="2"/>
  <c r="AA185" i="2"/>
  <c r="AA184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182" i="2"/>
  <c r="AA181" i="2"/>
  <c r="AA180" i="2"/>
  <c r="AA179" i="2"/>
  <c r="AA178" i="2"/>
  <c r="Z5" i="20"/>
  <c r="Z3" i="20"/>
  <c r="AA25" i="19"/>
  <c r="AA24" i="19"/>
  <c r="AA23" i="19"/>
  <c r="AA22" i="19"/>
  <c r="R22" i="19"/>
  <c r="Z22" i="19" s="1"/>
  <c r="AA21" i="19"/>
  <c r="AA20" i="19"/>
  <c r="AA19" i="19"/>
  <c r="AA18" i="19"/>
  <c r="AA17" i="19"/>
  <c r="AA16" i="19"/>
  <c r="AA15" i="19"/>
  <c r="AA14" i="19"/>
  <c r="AA13" i="19"/>
  <c r="R13" i="19"/>
  <c r="Z13" i="19" s="1"/>
  <c r="AA12" i="19"/>
  <c r="AA11" i="19"/>
  <c r="AA10" i="19"/>
  <c r="AA63" i="16"/>
  <c r="R63" i="16"/>
  <c r="Z63" i="16" s="1"/>
  <c r="AA62" i="16"/>
  <c r="AA61" i="16"/>
  <c r="Z61" i="16"/>
  <c r="AA60" i="16"/>
  <c r="R60" i="16"/>
  <c r="Z60" i="16" s="1"/>
  <c r="AA59" i="16"/>
  <c r="R59" i="16"/>
  <c r="Z59" i="16" s="1"/>
  <c r="AB58" i="16"/>
  <c r="AA58" i="16"/>
  <c r="R58" i="16"/>
  <c r="Z58" i="16" s="1"/>
  <c r="AA57" i="16"/>
  <c r="AA56" i="16"/>
  <c r="AA55" i="16"/>
  <c r="AA54" i="16"/>
  <c r="Z54" i="16"/>
  <c r="AA53" i="16"/>
  <c r="AA52" i="16"/>
  <c r="Z52" i="16"/>
  <c r="AA51" i="16"/>
  <c r="R51" i="16"/>
  <c r="Z51" i="16" s="1"/>
  <c r="AA50" i="16"/>
  <c r="AA49" i="16"/>
  <c r="AA48" i="16"/>
  <c r="R48" i="16"/>
  <c r="Z48" i="16" s="1"/>
  <c r="AA47" i="16"/>
  <c r="Z47" i="16"/>
  <c r="AA46" i="16"/>
  <c r="Z46" i="16"/>
  <c r="AA45" i="16"/>
  <c r="R45" i="16"/>
  <c r="Z45" i="16" s="1"/>
  <c r="AA44" i="16"/>
  <c r="Z44" i="16"/>
  <c r="AA43" i="16"/>
  <c r="AA42" i="16"/>
  <c r="Z42" i="16"/>
  <c r="AA41" i="16"/>
  <c r="AA40" i="16"/>
  <c r="R40" i="16"/>
  <c r="Z40" i="16" s="1"/>
  <c r="AA39" i="16"/>
  <c r="R39" i="16"/>
  <c r="Z39" i="16" s="1"/>
  <c r="AA38" i="16"/>
  <c r="AA37" i="16"/>
  <c r="R37" i="16"/>
  <c r="Z37" i="16" s="1"/>
  <c r="AA36" i="16"/>
  <c r="AA35" i="16"/>
  <c r="AA34" i="16"/>
  <c r="R34" i="16"/>
  <c r="Z34" i="16" s="1"/>
  <c r="AA33" i="16"/>
  <c r="AA32" i="16"/>
  <c r="R32" i="16"/>
  <c r="Z32" i="16" s="1"/>
  <c r="AA31" i="16"/>
  <c r="AA30" i="16"/>
  <c r="R30" i="16"/>
  <c r="Z30" i="16" s="1"/>
  <c r="AA29" i="16"/>
  <c r="AA28" i="16"/>
  <c r="AA27" i="16"/>
  <c r="R27" i="16"/>
  <c r="Z27" i="16" s="1"/>
  <c r="AA26" i="16"/>
  <c r="R26" i="16"/>
  <c r="Z26" i="16" s="1"/>
  <c r="AA25" i="16"/>
  <c r="AA24" i="16"/>
  <c r="AA23" i="16"/>
  <c r="R23" i="16"/>
  <c r="Z23" i="16" s="1"/>
  <c r="AA22" i="16"/>
  <c r="AA21" i="16"/>
  <c r="AA20" i="16"/>
  <c r="AA19" i="16"/>
  <c r="R19" i="16"/>
  <c r="Z19" i="16" s="1"/>
  <c r="AA18" i="16"/>
  <c r="AA17" i="16"/>
  <c r="AA16" i="16"/>
  <c r="AA15" i="16"/>
  <c r="AA14" i="16"/>
  <c r="AA13" i="16"/>
  <c r="AA80" i="15"/>
  <c r="AA78" i="15"/>
  <c r="AA77" i="15"/>
  <c r="AA76" i="15"/>
  <c r="AA75" i="15"/>
  <c r="AA74" i="15"/>
  <c r="AA73" i="15"/>
  <c r="AA71" i="15"/>
  <c r="AA70" i="15"/>
  <c r="AA69" i="15"/>
  <c r="AA68" i="15"/>
  <c r="AA67" i="15"/>
  <c r="AA66" i="15"/>
  <c r="AA65" i="15"/>
  <c r="AA64" i="15"/>
  <c r="AA63" i="15"/>
  <c r="AA62" i="15"/>
  <c r="AA61" i="15"/>
  <c r="AA60" i="15"/>
  <c r="AA59" i="15"/>
  <c r="AA58" i="15"/>
  <c r="AA57" i="15"/>
  <c r="AA56" i="15"/>
  <c r="AA55" i="15"/>
  <c r="AA54" i="15"/>
  <c r="AA53" i="15"/>
  <c r="AA52" i="15"/>
  <c r="AA51" i="15"/>
  <c r="AA50" i="15"/>
  <c r="AA49" i="15"/>
  <c r="AA48" i="15"/>
  <c r="AA47" i="15"/>
  <c r="AA46" i="15"/>
  <c r="AA45" i="15"/>
  <c r="AA44" i="15"/>
  <c r="AA19" i="15"/>
  <c r="AA15" i="15"/>
  <c r="AA8" i="15"/>
  <c r="AA7" i="15"/>
  <c r="AA3" i="15"/>
  <c r="AA26" i="13"/>
  <c r="Z26" i="13"/>
  <c r="AA25" i="13"/>
  <c r="Z25" i="13"/>
  <c r="AA24" i="13"/>
  <c r="R24" i="13"/>
  <c r="Z24" i="13" s="1"/>
  <c r="AA23" i="13"/>
  <c r="R23" i="13"/>
  <c r="Z23" i="13" s="1"/>
  <c r="Z22" i="13"/>
  <c r="AA21" i="13"/>
  <c r="AA20" i="13"/>
  <c r="R20" i="13"/>
  <c r="Z20" i="13" s="1"/>
  <c r="AA19" i="13"/>
  <c r="AA18" i="13"/>
  <c r="R18" i="13"/>
  <c r="Z18" i="13" s="1"/>
  <c r="Z17" i="13"/>
  <c r="AA16" i="13"/>
  <c r="Z16" i="13"/>
  <c r="AA15" i="13"/>
  <c r="R15" i="13"/>
  <c r="Z15" i="13" s="1"/>
  <c r="AA12" i="13"/>
  <c r="R12" i="13"/>
  <c r="Z12" i="13" s="1"/>
  <c r="AA11" i="13"/>
  <c r="AA10" i="13"/>
  <c r="AA9" i="13"/>
  <c r="AA11" i="12"/>
  <c r="AA8" i="12"/>
  <c r="R7" i="12"/>
  <c r="Z7" i="12" s="1"/>
  <c r="R6" i="12"/>
  <c r="Z6" i="12" s="1"/>
  <c r="R4" i="12"/>
  <c r="Z4" i="12" s="1"/>
  <c r="AA3" i="12"/>
  <c r="AA23" i="11"/>
  <c r="Z23" i="11"/>
  <c r="AA22" i="11"/>
  <c r="Z22" i="11"/>
  <c r="AA21" i="11"/>
  <c r="R21" i="11"/>
  <c r="Z21" i="11" s="1"/>
  <c r="AA20" i="11"/>
  <c r="R20" i="11"/>
  <c r="Z20" i="11" s="1"/>
  <c r="AA19" i="11"/>
  <c r="R19" i="11"/>
  <c r="Z19" i="11" s="1"/>
  <c r="AA18" i="11"/>
  <c r="R18" i="11"/>
  <c r="Z18" i="11" s="1"/>
  <c r="AA17" i="11"/>
  <c r="Z17" i="11"/>
  <c r="AA16" i="11"/>
  <c r="AA15" i="11"/>
  <c r="AA14" i="11"/>
  <c r="Z14" i="11"/>
  <c r="AA13" i="11"/>
  <c r="Z13" i="11"/>
  <c r="AA12" i="11"/>
  <c r="Z12" i="11"/>
  <c r="AA11" i="11"/>
  <c r="AA10" i="11"/>
  <c r="AA9" i="11"/>
  <c r="AA85" i="10"/>
  <c r="AA84" i="10"/>
  <c r="AA83" i="10"/>
  <c r="AA82" i="10"/>
  <c r="AA81" i="10"/>
  <c r="AA80" i="10"/>
  <c r="AA79" i="10"/>
  <c r="AA78" i="10"/>
  <c r="AA77" i="10"/>
  <c r="AA76" i="10"/>
  <c r="AA75" i="10"/>
  <c r="AA74" i="10"/>
  <c r="AA73" i="10"/>
  <c r="AA72" i="10"/>
  <c r="AA71" i="10"/>
  <c r="AA70" i="10"/>
  <c r="AA69" i="10"/>
  <c r="AA68" i="10"/>
  <c r="Z68" i="10"/>
  <c r="AA67" i="10"/>
  <c r="AA66" i="10"/>
  <c r="AA65" i="10"/>
  <c r="AA64" i="10"/>
  <c r="AA63" i="10"/>
  <c r="AA62" i="10"/>
  <c r="AA61" i="10"/>
  <c r="AA60" i="10"/>
  <c r="AA44" i="10"/>
  <c r="AA43" i="10"/>
  <c r="AA42" i="10"/>
  <c r="R42" i="10"/>
  <c r="Z42" i="10" s="1"/>
  <c r="AA41" i="10"/>
  <c r="AA39" i="10"/>
  <c r="R37" i="10"/>
  <c r="Z37" i="10" s="1"/>
  <c r="AA36" i="10"/>
  <c r="AA35" i="10"/>
  <c r="AA34" i="10"/>
  <c r="R32" i="10"/>
  <c r="Z32" i="10" s="1"/>
  <c r="AA26" i="10"/>
  <c r="AA19" i="10"/>
  <c r="AA15" i="10"/>
  <c r="AA4" i="10"/>
  <c r="AA3" i="10"/>
  <c r="R55" i="7"/>
  <c r="Z55" i="7" s="1"/>
  <c r="AA54" i="7"/>
  <c r="AA51" i="7"/>
  <c r="AA48" i="7"/>
  <c r="R48" i="7"/>
  <c r="Z48" i="7" s="1"/>
  <c r="AA27" i="7"/>
  <c r="R27" i="7"/>
  <c r="Z27" i="7" s="1"/>
  <c r="AA25" i="7"/>
  <c r="AA19" i="7"/>
  <c r="AA16" i="7"/>
  <c r="AA14" i="7"/>
  <c r="AA12" i="7"/>
  <c r="AA10" i="7"/>
  <c r="AA7" i="7"/>
  <c r="AA4" i="7"/>
  <c r="AA3" i="7"/>
  <c r="Z21" i="6"/>
  <c r="AA16" i="6"/>
  <c r="AA15" i="6"/>
  <c r="AA13" i="6"/>
  <c r="AA7" i="6"/>
  <c r="AA6" i="6"/>
  <c r="AA4" i="6"/>
  <c r="AA36" i="5"/>
  <c r="Z35" i="5"/>
  <c r="Z28" i="5"/>
  <c r="AA26" i="5"/>
  <c r="AA25" i="5"/>
  <c r="AA19" i="5"/>
  <c r="AA18" i="5"/>
  <c r="AA16" i="5"/>
  <c r="AA14" i="5"/>
  <c r="AA12" i="5"/>
  <c r="Z11" i="5"/>
  <c r="AA10" i="5"/>
  <c r="Z7" i="5"/>
  <c r="AA5" i="5"/>
  <c r="AA33" i="4"/>
  <c r="AA31" i="4"/>
  <c r="AA29" i="4"/>
  <c r="AA28" i="4"/>
  <c r="AA27" i="4"/>
  <c r="AA19" i="4"/>
  <c r="AA8" i="4"/>
  <c r="AA12" i="3"/>
  <c r="AA5" i="3"/>
  <c r="AA14" i="3" s="1"/>
  <c r="R176" i="2"/>
  <c r="Z176" i="2" s="1"/>
  <c r="AA175" i="2"/>
  <c r="AA174" i="2"/>
  <c r="AA171" i="2"/>
  <c r="Z171" i="2"/>
  <c r="AA169" i="2"/>
  <c r="R168" i="2"/>
  <c r="Z168" i="2" s="1"/>
  <c r="R164" i="2"/>
  <c r="Z164" i="2" s="1"/>
  <c r="AA163" i="2"/>
  <c r="AA162" i="2"/>
  <c r="AA161" i="2"/>
  <c r="AA160" i="2"/>
  <c r="AA158" i="2"/>
  <c r="AA157" i="2"/>
  <c r="AA156" i="2"/>
  <c r="AA152" i="2"/>
  <c r="AA151" i="2"/>
  <c r="AA146" i="2"/>
  <c r="AA145" i="2"/>
  <c r="AA138" i="2"/>
  <c r="R138" i="2"/>
  <c r="Z138" i="2" s="1"/>
  <c r="AA135" i="2"/>
  <c r="AA133" i="2"/>
  <c r="AA129" i="2"/>
  <c r="AA147" i="2"/>
  <c r="AA126" i="2"/>
  <c r="AA103" i="2"/>
  <c r="Z122" i="2"/>
  <c r="AA113" i="2"/>
  <c r="R113" i="2"/>
  <c r="Z113" i="2" s="1"/>
  <c r="AA108" i="2"/>
  <c r="AA102" i="2"/>
  <c r="AA107" i="2"/>
  <c r="AA98" i="2"/>
  <c r="AA105" i="2"/>
  <c r="AA84" i="2"/>
  <c r="AA83" i="2"/>
  <c r="AA72" i="2"/>
  <c r="AA71" i="2"/>
  <c r="AA70" i="2"/>
  <c r="AA68" i="2"/>
  <c r="AA67" i="2"/>
  <c r="AA66" i="2"/>
  <c r="AA65" i="2"/>
  <c r="AA63" i="2"/>
  <c r="AA60" i="2"/>
  <c r="AA59" i="2"/>
  <c r="AA49" i="2"/>
  <c r="AA47" i="2"/>
  <c r="AA46" i="2"/>
  <c r="Z39" i="2"/>
  <c r="Z33" i="2"/>
  <c r="AA32" i="2"/>
  <c r="Z32" i="2"/>
  <c r="AA31" i="2"/>
  <c r="AA29" i="2"/>
  <c r="AA28" i="2"/>
  <c r="AA27" i="2"/>
  <c r="R27" i="2"/>
  <c r="Z27" i="2" s="1"/>
  <c r="AA26" i="2"/>
  <c r="R23" i="2"/>
  <c r="Z23" i="2" s="1"/>
  <c r="AA22" i="2"/>
  <c r="R22" i="2"/>
  <c r="Z22" i="2" s="1"/>
  <c r="AA19" i="2"/>
  <c r="AA14" i="2"/>
  <c r="AA12" i="2"/>
  <c r="Z9" i="2"/>
  <c r="AA5" i="2"/>
  <c r="AA3" i="2"/>
  <c r="Z46" i="14"/>
  <c r="AA43" i="14"/>
  <c r="AA40" i="14"/>
  <c r="AA38" i="14"/>
  <c r="AA34" i="14"/>
  <c r="AA33" i="14"/>
  <c r="AA32" i="14"/>
  <c r="AA29" i="14"/>
  <c r="AA28" i="14"/>
  <c r="AA26" i="14"/>
  <c r="AA25" i="14"/>
  <c r="AA24" i="14"/>
  <c r="AA23" i="14"/>
  <c r="AA21" i="14"/>
  <c r="AA19" i="14"/>
  <c r="AA14" i="14"/>
  <c r="AA13" i="14"/>
  <c r="AA12" i="14"/>
  <c r="AA10" i="14"/>
  <c r="AA8" i="14"/>
  <c r="AA4" i="14"/>
  <c r="AA8" i="19"/>
  <c r="AA7" i="19"/>
  <c r="AA16" i="18"/>
  <c r="AA13" i="18"/>
  <c r="AA9" i="18"/>
  <c r="AA8" i="18"/>
  <c r="Z10" i="17"/>
  <c r="AA64" i="16"/>
  <c r="Z64" i="16"/>
  <c r="AA12" i="16"/>
  <c r="R12" i="16"/>
  <c r="Z12" i="16" s="1"/>
  <c r="AA11" i="16"/>
  <c r="AA10" i="16"/>
  <c r="Z10" i="16"/>
  <c r="AA9" i="16"/>
  <c r="R9" i="16"/>
  <c r="Z9" i="16" s="1"/>
  <c r="AA8" i="16"/>
  <c r="AA7" i="16"/>
  <c r="AA6" i="16"/>
  <c r="AA5" i="16"/>
  <c r="AA4" i="16"/>
  <c r="R4" i="16"/>
  <c r="Z4" i="16" s="1"/>
  <c r="AA3" i="16"/>
  <c r="Z89" i="15"/>
  <c r="AA88" i="15"/>
  <c r="AA87" i="15"/>
  <c r="AA86" i="15"/>
  <c r="AA85" i="15"/>
  <c r="AA84" i="15"/>
  <c r="AA83" i="15"/>
  <c r="AA82" i="15"/>
  <c r="AA81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8" i="13"/>
  <c r="AA7" i="13"/>
  <c r="AA6" i="13"/>
  <c r="AA5" i="13"/>
  <c r="AA4" i="13"/>
  <c r="AA3" i="13"/>
  <c r="AA38" i="12"/>
  <c r="AA37" i="12"/>
  <c r="AA35" i="12"/>
  <c r="R35" i="12"/>
  <c r="Z35" i="12" s="1"/>
  <c r="AA34" i="12"/>
  <c r="Z34" i="12"/>
  <c r="AA33" i="12"/>
  <c r="R33" i="12"/>
  <c r="Z33" i="12" s="1"/>
  <c r="AA32" i="12"/>
  <c r="R32" i="12"/>
  <c r="Z32" i="12" s="1"/>
  <c r="AA31" i="12"/>
  <c r="AA30" i="12"/>
  <c r="R30" i="12"/>
  <c r="Z30" i="12" s="1"/>
  <c r="AA29" i="12"/>
  <c r="R29" i="12"/>
  <c r="Z29" i="12" s="1"/>
  <c r="AA28" i="12"/>
  <c r="R28" i="12"/>
  <c r="Z28" i="12" s="1"/>
  <c r="AA27" i="12"/>
  <c r="R27" i="12"/>
  <c r="Z27" i="12" s="1"/>
  <c r="AA26" i="12"/>
  <c r="AA25" i="12"/>
  <c r="Z25" i="12"/>
  <c r="AA24" i="12"/>
  <c r="R24" i="12"/>
  <c r="Z24" i="12" s="1"/>
  <c r="AA23" i="12"/>
  <c r="R23" i="12"/>
  <c r="Z23" i="12" s="1"/>
  <c r="AA22" i="12"/>
  <c r="AA20" i="12"/>
  <c r="AA19" i="12"/>
  <c r="AA7" i="11"/>
  <c r="AA6" i="11"/>
  <c r="AA5" i="11"/>
  <c r="Z5" i="11"/>
  <c r="AA4" i="11"/>
  <c r="AA3" i="11"/>
  <c r="Z3" i="11"/>
  <c r="AA106" i="10"/>
  <c r="AA105" i="10"/>
  <c r="AA104" i="10"/>
  <c r="R104" i="10"/>
  <c r="Z104" i="10" s="1"/>
  <c r="AA103" i="10"/>
  <c r="R103" i="10"/>
  <c r="Z103" i="10" s="1"/>
  <c r="AA102" i="10"/>
  <c r="AA101" i="10"/>
  <c r="R101" i="10"/>
  <c r="Z101" i="10" s="1"/>
  <c r="AA100" i="10"/>
  <c r="AA99" i="10"/>
  <c r="Z99" i="10"/>
  <c r="AA98" i="10"/>
  <c r="Z98" i="10"/>
  <c r="AA97" i="10"/>
  <c r="Z97" i="10"/>
  <c r="AA96" i="10"/>
  <c r="Z96" i="10"/>
  <c r="AA95" i="10"/>
  <c r="R95" i="10"/>
  <c r="Z95" i="10" s="1"/>
  <c r="AA94" i="10"/>
  <c r="Z94" i="10"/>
  <c r="AA93" i="10"/>
  <c r="R93" i="10"/>
  <c r="Z93" i="10" s="1"/>
  <c r="AA92" i="10"/>
  <c r="Z92" i="10"/>
  <c r="AA91" i="10"/>
  <c r="AA90" i="10"/>
  <c r="R90" i="10"/>
  <c r="Z90" i="10" s="1"/>
  <c r="AA89" i="10"/>
  <c r="R89" i="10"/>
  <c r="Z89" i="10" s="1"/>
  <c r="AA88" i="10"/>
  <c r="AA87" i="10"/>
  <c r="AA86" i="10"/>
  <c r="R19" i="7"/>
  <c r="Z19" i="7" s="1"/>
  <c r="AA18" i="7"/>
  <c r="AA17" i="7"/>
  <c r="AA8" i="7"/>
  <c r="AA5" i="7"/>
  <c r="R5" i="7"/>
  <c r="Z5" i="7" s="1"/>
  <c r="Z20" i="6"/>
  <c r="AA18" i="6"/>
  <c r="AA12" i="6"/>
  <c r="AA9" i="6"/>
  <c r="AA8" i="6"/>
  <c r="Z8" i="6"/>
  <c r="AA5" i="6"/>
  <c r="AA3" i="6"/>
  <c r="AA35" i="5"/>
  <c r="AA32" i="5"/>
  <c r="AA29" i="5"/>
  <c r="AA28" i="5"/>
  <c r="AA27" i="5"/>
  <c r="Z26" i="5"/>
  <c r="AA23" i="5"/>
  <c r="AA21" i="5"/>
  <c r="AA17" i="5"/>
  <c r="AA15" i="5"/>
  <c r="AA13" i="5"/>
  <c r="AA11" i="5"/>
  <c r="AA9" i="5"/>
  <c r="AA7" i="5"/>
  <c r="AA6" i="5"/>
  <c r="AA4" i="5"/>
  <c r="AA3" i="5"/>
  <c r="Z34" i="4"/>
  <c r="AA25" i="4"/>
  <c r="AA21" i="4"/>
  <c r="AA18" i="4"/>
  <c r="AA17" i="4"/>
  <c r="AA16" i="4"/>
  <c r="AA14" i="4"/>
  <c r="AA12" i="4"/>
  <c r="AA6" i="4"/>
  <c r="AA3" i="4"/>
  <c r="Z14" i="3"/>
  <c r="AA172" i="2"/>
  <c r="AA168" i="2"/>
  <c r="AA166" i="2"/>
  <c r="AA165" i="2"/>
  <c r="AA164" i="2"/>
  <c r="AA159" i="2"/>
  <c r="AA155" i="2"/>
  <c r="AA154" i="2"/>
  <c r="AA143" i="2"/>
  <c r="AA140" i="2"/>
  <c r="AA150" i="2"/>
  <c r="AA136" i="2"/>
  <c r="AA149" i="2"/>
  <c r="AA131" i="2"/>
  <c r="R129" i="2"/>
  <c r="Z129" i="2" s="1"/>
  <c r="AA128" i="2"/>
  <c r="AA123" i="2"/>
  <c r="AA122" i="2"/>
  <c r="AA121" i="2"/>
  <c r="AA117" i="2"/>
  <c r="AA116" i="2"/>
  <c r="AA111" i="2"/>
  <c r="R111" i="2"/>
  <c r="Z111" i="2" s="1"/>
  <c r="AA109" i="2"/>
  <c r="AA101" i="2"/>
  <c r="AA99" i="2"/>
  <c r="AA97" i="2"/>
  <c r="AA93" i="2"/>
  <c r="AA90" i="2"/>
  <c r="AA190" i="2"/>
  <c r="Z190" i="2"/>
  <c r="AA87" i="2"/>
  <c r="AA86" i="2"/>
  <c r="Z86" i="2"/>
  <c r="AA85" i="2"/>
  <c r="Z82" i="2"/>
  <c r="AA81" i="2"/>
  <c r="AA80" i="2"/>
  <c r="AA69" i="2"/>
  <c r="AA76" i="2"/>
  <c r="Z72" i="2"/>
  <c r="AA54" i="2"/>
  <c r="AA61" i="2"/>
  <c r="AA52" i="2"/>
  <c r="AA51" i="2"/>
  <c r="Z51" i="2"/>
  <c r="AA50" i="2"/>
  <c r="R48" i="2"/>
  <c r="Z48" i="2" s="1"/>
  <c r="AA45" i="2"/>
  <c r="AA30" i="2"/>
  <c r="R24" i="2"/>
  <c r="Z24" i="2" s="1"/>
  <c r="AA23" i="2"/>
  <c r="AA18" i="2"/>
  <c r="AA11" i="2"/>
  <c r="AA10" i="2"/>
  <c r="AA9" i="2"/>
  <c r="AA8" i="2"/>
  <c r="AA45" i="14"/>
  <c r="AA44" i="14"/>
  <c r="AA42" i="14"/>
  <c r="AA41" i="14"/>
  <c r="AA39" i="14"/>
  <c r="AA36" i="14"/>
  <c r="AA35" i="14"/>
  <c r="AA31" i="14"/>
  <c r="AA30" i="14"/>
  <c r="AA3" i="14"/>
  <c r="AA9" i="19"/>
  <c r="AA6" i="19"/>
  <c r="AA3" i="19"/>
  <c r="R16" i="18"/>
  <c r="Z16" i="18" s="1"/>
  <c r="AA14" i="18"/>
  <c r="R12" i="18"/>
  <c r="Z12" i="18" s="1"/>
  <c r="AA11" i="18"/>
  <c r="AA10" i="18"/>
  <c r="AA7" i="18"/>
  <c r="AA5" i="18"/>
  <c r="AA4" i="18"/>
  <c r="Z4" i="18"/>
  <c r="AA3" i="18"/>
  <c r="AA7" i="17"/>
  <c r="AA6" i="17"/>
  <c r="AA5" i="17"/>
  <c r="AA4" i="17"/>
  <c r="AA3" i="17"/>
  <c r="AA68" i="16"/>
  <c r="AA67" i="16"/>
  <c r="R67" i="16"/>
  <c r="Z67" i="16" s="1"/>
  <c r="AA65" i="16"/>
  <c r="AA59" i="10"/>
  <c r="AA58" i="10"/>
  <c r="AA57" i="10"/>
  <c r="AA56" i="10"/>
  <c r="R56" i="10"/>
  <c r="Z56" i="10" s="1"/>
  <c r="AA55" i="10"/>
  <c r="AA54" i="10"/>
  <c r="AA53" i="10"/>
  <c r="AA52" i="10"/>
  <c r="R52" i="10"/>
  <c r="Z52" i="10" s="1"/>
  <c r="AA51" i="10"/>
  <c r="AA50" i="10"/>
  <c r="AA49" i="10"/>
  <c r="AA48" i="10"/>
  <c r="R48" i="10"/>
  <c r="Z48" i="10" s="1"/>
  <c r="AA47" i="10"/>
  <c r="AA46" i="10"/>
  <c r="AA45" i="10"/>
  <c r="AA28" i="10"/>
  <c r="AA25" i="10"/>
  <c r="AA23" i="10"/>
  <c r="R23" i="10"/>
  <c r="Z23" i="10" s="1"/>
  <c r="AA20" i="10"/>
  <c r="AA17" i="10"/>
  <c r="AA14" i="10"/>
  <c r="R4" i="10"/>
  <c r="Z4" i="10" s="1"/>
  <c r="AA55" i="7"/>
  <c r="AA53" i="7"/>
  <c r="Z53" i="7"/>
  <c r="AA52" i="7"/>
  <c r="Z52" i="7"/>
  <c r="R51" i="7"/>
  <c r="Z51" i="7" s="1"/>
  <c r="AA49" i="7"/>
  <c r="AA28" i="7"/>
  <c r="R28" i="7"/>
  <c r="Z28" i="7" s="1"/>
  <c r="AA26" i="7"/>
  <c r="R26" i="7"/>
  <c r="Z26" i="7" s="1"/>
  <c r="AA24" i="7"/>
  <c r="AA23" i="7"/>
  <c r="R23" i="7"/>
  <c r="Z23" i="7" s="1"/>
  <c r="AA21" i="7"/>
  <c r="AA20" i="7"/>
  <c r="AA15" i="7"/>
  <c r="R14" i="7"/>
  <c r="Z14" i="7" s="1"/>
  <c r="AA13" i="7"/>
  <c r="AA11" i="7"/>
  <c r="AA9" i="7"/>
  <c r="R9" i="7"/>
  <c r="Z9" i="7" s="1"/>
  <c r="AA6" i="7"/>
  <c r="R6" i="7"/>
  <c r="Z6" i="7" s="1"/>
  <c r="AA21" i="6"/>
  <c r="AA20" i="6"/>
  <c r="AA19" i="6"/>
  <c r="AA17" i="6"/>
  <c r="Z15" i="6"/>
  <c r="AA14" i="6"/>
  <c r="AA11" i="6"/>
  <c r="AA10" i="6"/>
  <c r="Z4" i="6"/>
  <c r="AA34" i="5"/>
  <c r="AA33" i="5"/>
  <c r="Z32" i="5"/>
  <c r="AA31" i="5"/>
  <c r="AA30" i="5"/>
  <c r="AA24" i="5"/>
  <c r="AA22" i="5"/>
  <c r="Z21" i="5"/>
  <c r="AA20" i="5"/>
  <c r="Z19" i="5"/>
  <c r="AA8" i="5"/>
  <c r="AA32" i="4"/>
  <c r="AA30" i="4"/>
  <c r="AA26" i="4"/>
  <c r="AA24" i="4"/>
  <c r="AA23" i="4"/>
  <c r="AA22" i="4"/>
  <c r="AA20" i="4"/>
  <c r="AA15" i="4"/>
  <c r="AA13" i="4"/>
  <c r="AA11" i="4"/>
  <c r="AA10" i="4"/>
  <c r="AA9" i="4"/>
  <c r="AA7" i="4"/>
  <c r="AA5" i="4"/>
  <c r="AA4" i="4"/>
  <c r="AA177" i="2"/>
  <c r="AA176" i="2"/>
  <c r="AA173" i="2"/>
  <c r="AA170" i="2"/>
  <c r="AA167" i="2"/>
  <c r="AA153" i="2"/>
  <c r="AA144" i="2"/>
  <c r="Z144" i="2"/>
  <c r="AA142" i="2"/>
  <c r="AA141" i="2"/>
  <c r="AA139" i="2"/>
  <c r="R139" i="2"/>
  <c r="Z139" i="2" s="1"/>
  <c r="AA137" i="2"/>
  <c r="AA134" i="2"/>
  <c r="AA132" i="2"/>
  <c r="AA148" i="2"/>
  <c r="AA130" i="2"/>
  <c r="AA127" i="2"/>
  <c r="R127" i="2"/>
  <c r="Z127" i="2" s="1"/>
  <c r="AA125" i="2"/>
  <c r="AA120" i="2"/>
  <c r="AA119" i="2"/>
  <c r="R119" i="2"/>
  <c r="Z119" i="2" s="1"/>
  <c r="AA118" i="2"/>
  <c r="R118" i="2"/>
  <c r="Z118" i="2" s="1"/>
  <c r="R117" i="2"/>
  <c r="Z117" i="2" s="1"/>
  <c r="AA115" i="2"/>
  <c r="AA114" i="2"/>
  <c r="AA112" i="2"/>
  <c r="AA110" i="2"/>
  <c r="AA100" i="2"/>
  <c r="AA106" i="2"/>
  <c r="R98" i="2"/>
  <c r="Z98" i="2" s="1"/>
  <c r="AA96" i="2"/>
  <c r="AA91" i="2"/>
  <c r="AA92" i="2"/>
  <c r="R92" i="2"/>
  <c r="Z92" i="2" s="1"/>
  <c r="AA95" i="2"/>
  <c r="AA94" i="2"/>
  <c r="AA89" i="2"/>
  <c r="AA88" i="2"/>
  <c r="AA82" i="2"/>
  <c r="AA75" i="2"/>
  <c r="AA77" i="2"/>
  <c r="AA73" i="2"/>
  <c r="AA79" i="2"/>
  <c r="AA78" i="2"/>
  <c r="AA74" i="2"/>
  <c r="AA64" i="2"/>
  <c r="Z63" i="2"/>
  <c r="AA62" i="2"/>
  <c r="Z59" i="2"/>
  <c r="AA57" i="2"/>
  <c r="AA56" i="2"/>
  <c r="AA55" i="2"/>
  <c r="AA58" i="2"/>
  <c r="AA53" i="2"/>
  <c r="AA48" i="2"/>
  <c r="AA25" i="2"/>
  <c r="Z25" i="2"/>
  <c r="AA24" i="2"/>
  <c r="AA21" i="2"/>
  <c r="AA20" i="2"/>
  <c r="R20" i="2"/>
  <c r="Z20" i="2" s="1"/>
  <c r="AA17" i="2"/>
  <c r="AA16" i="2"/>
  <c r="AA15" i="2"/>
  <c r="AA13" i="2"/>
  <c r="AA7" i="2"/>
  <c r="AA6" i="2"/>
  <c r="AA4" i="2"/>
  <c r="AA37" i="14"/>
  <c r="AA27" i="14"/>
  <c r="AA22" i="14"/>
  <c r="AA20" i="14"/>
  <c r="AA18" i="14"/>
  <c r="AA17" i="14"/>
  <c r="AA16" i="14"/>
  <c r="AA15" i="14"/>
  <c r="AA11" i="14"/>
  <c r="AA9" i="14"/>
  <c r="AA7" i="14"/>
  <c r="AA6" i="14"/>
  <c r="AA5" i="14"/>
  <c r="AA5" i="19"/>
  <c r="AA4" i="19"/>
  <c r="AA15" i="18"/>
  <c r="AA12" i="18"/>
  <c r="AA6" i="18"/>
  <c r="Z9" i="17"/>
  <c r="AA8" i="17"/>
  <c r="AA66" i="16"/>
  <c r="R66" i="16"/>
  <c r="Z66" i="16" s="1"/>
  <c r="AA79" i="9"/>
  <c r="AA78" i="9"/>
  <c r="Z78" i="9"/>
  <c r="AA77" i="9"/>
  <c r="Z77" i="9"/>
  <c r="AA76" i="9"/>
  <c r="AA75" i="9"/>
  <c r="Z75" i="9"/>
  <c r="AA74" i="9"/>
  <c r="AA73" i="9"/>
  <c r="Z73" i="9"/>
  <c r="AA72" i="9"/>
  <c r="Z72" i="9"/>
  <c r="AA71" i="9"/>
  <c r="Z71" i="9"/>
  <c r="AA70" i="9"/>
  <c r="AA69" i="9"/>
  <c r="Z69" i="9"/>
  <c r="AA68" i="9"/>
  <c r="AA67" i="9"/>
  <c r="AA66" i="9"/>
  <c r="AA65" i="9"/>
  <c r="AA64" i="9"/>
  <c r="AA63" i="9"/>
  <c r="Z63" i="9"/>
  <c r="AA62" i="9"/>
  <c r="AA61" i="9"/>
  <c r="AA60" i="9"/>
  <c r="AA59" i="9"/>
  <c r="Z59" i="9"/>
  <c r="AA58" i="9"/>
  <c r="AA57" i="9"/>
  <c r="Z57" i="9"/>
  <c r="AA56" i="9"/>
  <c r="AA55" i="9"/>
  <c r="AA54" i="9"/>
  <c r="AA53" i="9"/>
  <c r="AA52" i="9"/>
  <c r="AA51" i="9"/>
  <c r="Z51" i="9"/>
  <c r="AA50" i="9"/>
  <c r="AA49" i="9"/>
  <c r="AA48" i="9"/>
  <c r="AA47" i="9"/>
  <c r="AA46" i="9"/>
  <c r="AA45" i="9"/>
  <c r="AA44" i="9"/>
  <c r="AA43" i="9"/>
  <c r="AA42" i="9"/>
  <c r="AA41" i="9"/>
  <c r="AA40" i="9"/>
  <c r="AA39" i="9"/>
  <c r="AA38" i="9"/>
  <c r="AA37" i="9"/>
  <c r="AA36" i="9"/>
  <c r="AA35" i="9"/>
  <c r="AA34" i="9"/>
  <c r="AA33" i="9"/>
  <c r="Z33" i="9"/>
  <c r="AA32" i="9"/>
  <c r="AA31" i="9"/>
  <c r="AA30" i="9"/>
  <c r="AA29" i="9"/>
  <c r="Z29" i="9"/>
  <c r="AA28" i="9"/>
  <c r="AA27" i="9"/>
  <c r="AA26" i="9"/>
  <c r="AA25" i="9"/>
  <c r="Z25" i="9"/>
  <c r="AA24" i="9"/>
  <c r="AA23" i="9"/>
  <c r="AA22" i="9"/>
  <c r="Z22" i="9"/>
  <c r="AA21" i="9"/>
  <c r="AA20" i="9"/>
  <c r="AA19" i="9"/>
  <c r="Z19" i="9"/>
  <c r="AA18" i="9"/>
  <c r="Z18" i="9"/>
  <c r="AA17" i="9"/>
  <c r="AA16" i="9"/>
  <c r="AA15" i="9"/>
  <c r="AA14" i="9"/>
  <c r="Z14" i="9"/>
  <c r="AA13" i="9"/>
  <c r="AA12" i="9"/>
  <c r="AA11" i="9"/>
  <c r="Z11" i="9"/>
  <c r="AA10" i="9"/>
  <c r="Z10" i="9"/>
  <c r="AA9" i="9"/>
  <c r="AA8" i="9"/>
  <c r="AA7" i="9"/>
  <c r="AA6" i="9"/>
  <c r="Z6" i="9"/>
  <c r="Z80" i="9" s="1"/>
  <c r="AA5" i="9"/>
  <c r="AA4" i="9"/>
  <c r="AA3" i="9"/>
  <c r="AA79" i="8"/>
  <c r="AA78" i="8"/>
  <c r="AA77" i="8"/>
  <c r="AA76" i="8"/>
  <c r="AA75" i="8"/>
  <c r="Z75" i="8"/>
  <c r="AA74" i="8"/>
  <c r="AA73" i="8"/>
  <c r="AA72" i="8"/>
  <c r="AA71" i="8"/>
  <c r="AA70" i="8"/>
  <c r="AA69" i="8"/>
  <c r="AA68" i="8"/>
  <c r="AA67" i="8"/>
  <c r="AA66" i="8"/>
  <c r="AA65" i="8"/>
  <c r="AA64" i="8"/>
  <c r="AA63" i="8"/>
  <c r="Z63" i="8"/>
  <c r="AA62" i="8"/>
  <c r="Z62" i="8"/>
  <c r="AA61" i="8"/>
  <c r="Z61" i="8"/>
  <c r="AA60" i="8"/>
  <c r="AA59" i="8"/>
  <c r="AA58" i="8"/>
  <c r="AA57" i="8"/>
  <c r="AA56" i="8"/>
  <c r="Z56" i="8"/>
  <c r="AA55" i="8"/>
  <c r="Z55" i="8"/>
  <c r="AA54" i="8"/>
  <c r="Z54" i="8"/>
  <c r="AA53" i="8"/>
  <c r="Z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Z37" i="8"/>
  <c r="AA36" i="8"/>
  <c r="Z36" i="8"/>
  <c r="AA35" i="8"/>
  <c r="AA34" i="8"/>
  <c r="AA33" i="8"/>
  <c r="AA32" i="8"/>
  <c r="AA31" i="8"/>
  <c r="AA30" i="8"/>
  <c r="AA29" i="8"/>
  <c r="AA28" i="8"/>
  <c r="Z28" i="8"/>
  <c r="AA27" i="8"/>
  <c r="AA26" i="8"/>
  <c r="AA25" i="8"/>
  <c r="AA24" i="8"/>
  <c r="AA23" i="8"/>
  <c r="AA22" i="8"/>
  <c r="Z22" i="8"/>
  <c r="AA21" i="8"/>
  <c r="AA20" i="8"/>
  <c r="AA19" i="8"/>
  <c r="AA18" i="8"/>
  <c r="AA17" i="8"/>
  <c r="AA16" i="8"/>
  <c r="AA15" i="8"/>
  <c r="AA14" i="8"/>
  <c r="Z14" i="8"/>
  <c r="AA13" i="8"/>
  <c r="AA12" i="8"/>
  <c r="AA11" i="8"/>
  <c r="AA10" i="8"/>
  <c r="AA9" i="8"/>
  <c r="AA8" i="8"/>
  <c r="AA7" i="8"/>
  <c r="AA6" i="8"/>
  <c r="AA5" i="8"/>
  <c r="AA4" i="8"/>
  <c r="AA3" i="8"/>
  <c r="AA80" i="7"/>
  <c r="R80" i="7"/>
  <c r="Z80" i="7" s="1"/>
  <c r="AA79" i="7"/>
  <c r="Z79" i="7"/>
  <c r="AA78" i="7"/>
  <c r="R78" i="7"/>
  <c r="Z78" i="7" s="1"/>
  <c r="AA77" i="7"/>
  <c r="R77" i="7"/>
  <c r="Z77" i="7" s="1"/>
  <c r="AA76" i="7"/>
  <c r="Z76" i="7"/>
  <c r="AA75" i="7"/>
  <c r="Z75" i="7"/>
  <c r="AA74" i="7"/>
  <c r="R74" i="7"/>
  <c r="Z74" i="7" s="1"/>
  <c r="AA73" i="7"/>
  <c r="Z73" i="7"/>
  <c r="AA72" i="7"/>
  <c r="AA71" i="7"/>
  <c r="AA70" i="7"/>
  <c r="Z70" i="7"/>
  <c r="AA69" i="7"/>
  <c r="Z69" i="7"/>
  <c r="AA68" i="7"/>
  <c r="Z68" i="7"/>
  <c r="AA67" i="7"/>
  <c r="AA66" i="7"/>
  <c r="Z66" i="7"/>
  <c r="AA65" i="7"/>
  <c r="R65" i="7"/>
  <c r="Z65" i="7" s="1"/>
  <c r="AA64" i="7"/>
  <c r="Z64" i="7"/>
  <c r="AA63" i="7"/>
  <c r="AA62" i="7"/>
  <c r="AA61" i="7"/>
  <c r="AA60" i="7"/>
  <c r="AA59" i="7"/>
  <c r="AA58" i="7"/>
  <c r="AA57" i="7"/>
  <c r="AA56" i="7"/>
  <c r="R56" i="7"/>
  <c r="Z56" i="7" s="1"/>
  <c r="Z47" i="7"/>
  <c r="AA46" i="7"/>
  <c r="AA45" i="7"/>
  <c r="AA44" i="7"/>
  <c r="AA43" i="7"/>
  <c r="R43" i="7"/>
  <c r="Z43" i="7" s="1"/>
  <c r="AA42" i="7"/>
  <c r="R42" i="7"/>
  <c r="Z42" i="7" s="1"/>
  <c r="AA41" i="7"/>
  <c r="AA40" i="7"/>
  <c r="AA39" i="7"/>
  <c r="R39" i="7"/>
  <c r="Z39" i="7" s="1"/>
  <c r="AA38" i="7"/>
  <c r="R38" i="7"/>
  <c r="Z38" i="7" s="1"/>
  <c r="AA37" i="7"/>
  <c r="R37" i="7"/>
  <c r="Z37" i="7" s="1"/>
  <c r="AA36" i="7"/>
  <c r="AA35" i="7"/>
  <c r="Z35" i="7"/>
  <c r="AA34" i="7"/>
  <c r="AA33" i="7"/>
  <c r="AA32" i="7"/>
  <c r="AA31" i="7"/>
  <c r="R31" i="7"/>
  <c r="Z31" i="7" s="1"/>
  <c r="AA30" i="7"/>
  <c r="R30" i="7"/>
  <c r="Z30" i="7" s="1"/>
  <c r="AA29" i="7"/>
  <c r="R29" i="7"/>
  <c r="Z29" i="7" s="1"/>
  <c r="AA10" i="17" l="1"/>
  <c r="AA80" i="9"/>
  <c r="AA107" i="10"/>
  <c r="AA191" i="2"/>
  <c r="Z191" i="2"/>
  <c r="Z26" i="19"/>
  <c r="AA89" i="15"/>
  <c r="Z27" i="13"/>
  <c r="AA27" i="13" s="1"/>
  <c r="AA39" i="12"/>
  <c r="AA81" i="7"/>
  <c r="Z69" i="16"/>
  <c r="AA69" i="16"/>
  <c r="Z39" i="12"/>
  <c r="AA24" i="11"/>
  <c r="Z24" i="11"/>
  <c r="Z107" i="10"/>
  <c r="AA22" i="6"/>
  <c r="AA37" i="5"/>
  <c r="AA34" i="4"/>
  <c r="AA46" i="14"/>
  <c r="AA26" i="19"/>
  <c r="AA17" i="18"/>
  <c r="Z81" i="7"/>
  <c r="Z22" i="6"/>
  <c r="Z37" i="5"/>
  <c r="AA80" i="8"/>
  <c r="Z17" i="18"/>
  <c r="Z80" i="8"/>
</calcChain>
</file>

<file path=xl/comments1.xml><?xml version="1.0" encoding="utf-8"?>
<comments xmlns="http://schemas.openxmlformats.org/spreadsheetml/2006/main">
  <authors>
    <author>None</author>
    <author>Farmacia14</author>
    <author>Farmacia - Matías</author>
    <author>Matías</author>
    <author>Farmacia5</author>
  </authors>
  <commentList>
    <comment ref="B5" authorId="0" shapeId="0">
      <text>
        <r>
          <rPr>
            <sz val="11"/>
            <color theme="1"/>
            <rFont val="Calibri"/>
            <family val="2"/>
            <scheme val="minor"/>
          </rPr>
          <t>BT 110 EQUIVALE A RAPIDO 3 HS
	-Farmacia HIGA Alende</t>
        </r>
      </text>
    </comment>
    <comment ref="B6" authorId="1" shapeId="0">
      <text>
        <r>
          <rPr>
            <b/>
            <sz val="9"/>
            <color indexed="81"/>
            <rFont val="Tahoma"/>
            <family val="2"/>
          </rPr>
          <t>Farmacia14:
Duplicado por error</t>
        </r>
      </text>
    </comment>
    <comment ref="A7" authorId="2" shapeId="0">
      <text>
        <r>
          <rPr>
            <sz val="11"/>
            <color theme="1"/>
            <rFont val="Calibri"/>
            <family val="2"/>
            <scheme val="minor"/>
          </rPr>
          <t>Farmacia - Matías:
Reemplaza codigo YH104003 por el tamaño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Farmacia14:</t>
        </r>
        <r>
          <rPr>
            <sz val="9"/>
            <color indexed="81"/>
            <rFont val="Tahoma"/>
            <family val="2"/>
          </rPr>
          <t xml:space="preserve">
Se presentan Igaltex y Bymed con apositos de 10 x 20 no esteriles (por error en la solicitud) pero que son finitos y no llegan a tener la capacidad de absorción que necesitamos. 
</t>
        </r>
      </text>
    </comment>
    <comment ref="B38" authorId="2" shapeId="0">
      <text>
        <r>
          <rPr>
            <sz val="11"/>
            <color theme="1"/>
            <rFont val="Calibri"/>
            <family val="2"/>
            <scheme val="minor"/>
          </rPr>
          <t>Farmacia - Matías:
Para intubación general.</t>
        </r>
      </text>
    </comment>
    <comment ref="E45" authorId="3" shapeId="0">
      <text>
        <r>
          <rPr>
            <sz val="11"/>
            <color theme="1"/>
            <rFont val="Calibri"/>
            <family val="2"/>
            <scheme val="minor"/>
          </rPr>
          <t>Matías:
todo programa miastenia</t>
        </r>
      </text>
    </comment>
    <comment ref="F45" authorId="2" shapeId="0">
      <text>
        <r>
          <rPr>
            <sz val="11"/>
            <color theme="1"/>
            <rFont val="Calibri"/>
            <family val="2"/>
            <scheme val="minor"/>
          </rPr>
          <t>Farmacia - Matías:
lo cubre el programa?</t>
        </r>
      </text>
    </comment>
    <comment ref="G48" authorId="3" shapeId="0">
      <text>
        <r>
          <rPr>
            <sz val="11"/>
            <color theme="1"/>
            <rFont val="Calibri"/>
            <family val="2"/>
            <scheme val="minor"/>
          </rPr>
          <t>Matías:
180 08/25</t>
        </r>
      </text>
    </comment>
    <comment ref="H84" authorId="2" shapeId="0">
      <text>
        <r>
          <rPr>
            <sz val="11"/>
            <color theme="1"/>
            <rFont val="Calibri"/>
            <family val="2"/>
            <scheme val="minor"/>
          </rPr>
          <t>Farmacia - Matías:
se preadjudican 576</t>
        </r>
      </text>
    </comment>
    <comment ref="A89" authorId="2" shapeId="0">
      <text>
        <r>
          <rPr>
            <sz val="11"/>
            <color theme="1"/>
            <rFont val="Calibri"/>
            <family val="2"/>
            <scheme val="minor"/>
          </rPr>
          <t>Farmacia - Matías:
ver si hay codigo nuevo con normativa vigente</t>
        </r>
      </text>
    </comment>
    <comment ref="E96" authorId="2" shapeId="0">
      <text>
        <r>
          <rPr>
            <sz val="11"/>
            <color theme="1"/>
            <rFont val="Calibri"/>
            <family val="2"/>
            <scheme val="minor"/>
          </rPr>
          <t>Farmacia - Matías:
Ajustar en base a 2025 por hemodinamia</t>
        </r>
      </text>
    </comment>
    <comment ref="B98" authorId="2" shapeId="0">
      <text>
        <r>
          <rPr>
            <sz val="11"/>
            <color theme="1"/>
            <rFont val="Calibri"/>
            <family val="2"/>
            <scheme val="minor"/>
          </rPr>
          <t>Farmacia - Matías:
CONSUMO APROX 15 X DIA O 2 POR JERINGA</t>
        </r>
      </text>
    </comment>
    <comment ref="F98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20 X DIA
</t>
        </r>
      </text>
    </comment>
    <comment ref="H99" authorId="2" shapeId="0">
      <text>
        <r>
          <rPr>
            <sz val="11"/>
            <color theme="1"/>
            <rFont val="Calibri"/>
            <family val="2"/>
            <scheme val="minor"/>
          </rPr>
          <t>Farmacia - Matías:
original eran 4000</t>
        </r>
      </text>
    </comment>
    <comment ref="A101" authorId="2" shapeId="0">
      <text>
        <r>
          <rPr>
            <sz val="11"/>
            <color theme="1"/>
            <rFont val="Calibri"/>
            <family val="2"/>
            <scheme val="minor"/>
          </rPr>
          <t>Farmacia - Matías:
ver si hay codigo nuevo con normativa vigente</t>
        </r>
      </text>
    </comment>
    <comment ref="G104" authorId="3" shapeId="0">
      <text>
        <r>
          <rPr>
            <sz val="11"/>
            <color theme="1"/>
            <rFont val="Calibri"/>
            <family val="2"/>
            <scheme val="minor"/>
          </rPr>
          <t>Matías:
180 08/25</t>
        </r>
      </text>
    </comment>
    <comment ref="E106" authorId="2" shapeId="0">
      <text>
        <r>
          <rPr>
            <sz val="11"/>
            <color theme="1"/>
            <rFont val="Calibri"/>
            <family val="2"/>
            <scheme val="minor"/>
          </rPr>
          <t>Farmacia - Matías:
100 ampollas cada 45 dias</t>
        </r>
      </text>
    </comment>
    <comment ref="D115" authorId="4" shapeId="0">
      <text>
        <r>
          <rPr>
            <sz val="11"/>
            <color theme="1"/>
            <rFont val="Calibri"/>
            <family val="2"/>
            <scheme val="minor"/>
          </rPr>
          <t>Farmacia5:
600 PROEPI</t>
        </r>
      </text>
    </comment>
    <comment ref="E115" authorId="4" shapeId="0">
      <text>
        <r>
          <rPr>
            <sz val="11"/>
            <color theme="1"/>
            <rFont val="Calibri"/>
            <family val="2"/>
            <scheme val="minor"/>
          </rPr>
          <t>Farmacia5:
600 PROEPI</t>
        </r>
      </text>
    </comment>
    <comment ref="B120" authorId="2" shapeId="0">
      <text>
        <r>
          <rPr>
            <sz val="11"/>
            <color theme="1"/>
            <rFont val="Calibri"/>
            <family val="2"/>
            <scheme val="minor"/>
          </rPr>
          <t>Farmacia - Matías:
Post operatorio paratiroides 3 ampollas x dia x 5 dias</t>
        </r>
      </text>
    </comment>
    <comment ref="A122" authorId="4" shapeId="0">
      <text>
        <r>
          <rPr>
            <sz val="11"/>
            <color theme="1"/>
            <rFont val="Calibri"/>
            <family val="2"/>
            <scheme val="minor"/>
          </rPr>
          <t>Farmacia5:
VER CODIGO M7201003 TIENE CONSUMO 100 Y STOCK 36</t>
        </r>
      </text>
    </comment>
    <comment ref="B123" authorId="3" shapeId="0">
      <text>
        <r>
          <rPr>
            <sz val="11"/>
            <color theme="1"/>
            <rFont val="Calibri"/>
            <family val="2"/>
            <scheme val="minor"/>
          </rPr>
          <t>Matías:
Ver posibilidad de intercambio</t>
        </r>
      </text>
    </comment>
    <comment ref="A125" authorId="2" shapeId="0">
      <text>
        <r>
          <rPr>
            <sz val="11"/>
            <color theme="1"/>
            <rFont val="Calibri"/>
            <family val="2"/>
            <scheme val="minor"/>
          </rPr>
          <t>Farmacia - Matías:
M3103178 cambia codigo</t>
        </r>
      </text>
    </comment>
    <comment ref="B132" authorId="2" shapeId="0">
      <text>
        <r>
          <rPr>
            <sz val="11"/>
            <color theme="1"/>
            <rFont val="Calibri"/>
            <family val="2"/>
            <scheme val="minor"/>
          </rPr>
          <t>Farmacia - Matías:
Solicitado por servicio de cirugia de torax. Consumo 1 kg anual o mas</t>
        </r>
      </text>
    </comment>
  </commentList>
</comments>
</file>

<file path=xl/comments2.xml><?xml version="1.0" encoding="utf-8"?>
<comments xmlns="http://schemas.openxmlformats.org/spreadsheetml/2006/main">
  <authors>
    <author>Farmacia - Matías</author>
    <author>Farmacia5</author>
    <author>Matías</author>
    <author>Farmacia14</author>
  </authors>
  <commentList>
    <comment ref="E6" authorId="0" shapeId="0">
      <text>
        <r>
          <rPr>
            <sz val="11"/>
            <color theme="1"/>
            <rFont val="Calibri"/>
            <family val="2"/>
            <scheme val="minor"/>
          </rPr>
          <t>Farmacia - Matías:
Subir a 130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Farmacia - Matías:
Subir a 800</t>
        </r>
      </text>
    </comment>
    <comment ref="E8" authorId="0" shapeId="0">
      <text>
        <r>
          <rPr>
            <sz val="11"/>
            <color theme="1"/>
            <rFont val="Calibri"/>
            <family val="2"/>
            <scheme val="minor"/>
          </rPr>
          <t>Farmacia - Matías:
Aumentar a 250</t>
        </r>
      </text>
    </comment>
    <comment ref="B14" authorId="0" shapeId="0">
      <text>
        <r>
          <rPr>
            <sz val="11"/>
            <color theme="1"/>
            <rFont val="Calibri"/>
            <family val="2"/>
            <scheme val="minor"/>
          </rPr>
          <t>Farmacia - Matías:
VER DE COMPRAR METRONIDAZOL SOLO</t>
        </r>
      </text>
    </comment>
    <comment ref="H15" authorId="0" shapeId="0">
      <text>
        <r>
          <rPr>
            <sz val="11"/>
            <color theme="1"/>
            <rFont val="Calibri"/>
            <family val="2"/>
            <scheme val="minor"/>
          </rPr>
          <t>Farmacia - Matías:
se preadjudican 576</t>
        </r>
      </text>
    </comment>
    <comment ref="Y25" authorId="0" shapeId="0">
      <text>
        <r>
          <rPr>
            <sz val="11"/>
            <color theme="1"/>
            <rFont val="Calibri"/>
            <family val="2"/>
            <scheme val="minor"/>
          </rPr>
          <t>Farmacia - Matías:
PVP 5886</t>
        </r>
      </text>
    </comment>
    <comment ref="H26" authorId="0" shapeId="0">
      <text>
        <r>
          <rPr>
            <sz val="11"/>
            <color theme="1"/>
            <rFont val="Calibri"/>
            <family val="2"/>
            <scheme val="minor"/>
          </rPr>
          <t>Farmacia - Matías:
sumar 60 pacientes extra para oftalmo</t>
        </r>
      </text>
    </comment>
    <comment ref="A31" authorId="0" shapeId="0">
      <text>
        <r>
          <rPr>
            <sz val="11"/>
            <color theme="1"/>
            <rFont val="Calibri"/>
            <family val="2"/>
            <scheme val="minor"/>
          </rPr>
          <t>Farmacia - Matías:
ver si hay codigo nuevo con normativa vigente</t>
        </r>
      </text>
    </comment>
    <comment ref="H32" authorId="0" shapeId="0">
      <text>
        <r>
          <rPr>
            <sz val="11"/>
            <color theme="1"/>
            <rFont val="Calibri"/>
            <family val="2"/>
            <scheme val="minor"/>
          </rPr>
          <t>Farmacia - Matías:
original eran 8000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>Farmacia - Matías:
sumar 24 para nefrolitiasis</t>
        </r>
      </text>
    </comment>
    <comment ref="B44" authorId="0" shapeId="0">
      <text>
        <r>
          <rPr>
            <sz val="11"/>
            <color theme="1"/>
            <rFont val="Calibri"/>
            <family val="2"/>
            <scheme val="minor"/>
          </rPr>
          <t>Farmacia - Matías:
Post operatorio paratiroides 3 ampollas x dia x 5 dias</t>
        </r>
      </text>
    </comment>
    <comment ref="A46" authorId="1" shapeId="0">
      <text>
        <r>
          <rPr>
            <sz val="11"/>
            <color theme="1"/>
            <rFont val="Calibri"/>
            <family val="2"/>
            <scheme val="minor"/>
          </rPr>
          <t>Farmacia5:
VER CODIGO M7201003 TIENE CONSUMO 100 Y STOCK 36</t>
        </r>
      </text>
    </comment>
    <comment ref="B47" authorId="2" shapeId="0">
      <text>
        <r>
          <rPr>
            <sz val="11"/>
            <color theme="1"/>
            <rFont val="Calibri"/>
            <family val="2"/>
            <scheme val="minor"/>
          </rPr>
          <t>Matías:
Ver posibilidad de intercambio</t>
        </r>
      </text>
    </comment>
    <comment ref="A49" authorId="0" shapeId="0">
      <text>
        <r>
          <rPr>
            <sz val="11"/>
            <color theme="1"/>
            <rFont val="Calibri"/>
            <family val="2"/>
            <scheme val="minor"/>
          </rPr>
          <t>Farmacia - Matías:
M3103178 cambia codigo</t>
        </r>
      </text>
    </comment>
    <comment ref="B54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</t>
        </r>
      </text>
    </comment>
    <comment ref="B57" authorId="0" shapeId="0">
      <text>
        <r>
          <rPr>
            <sz val="11"/>
            <color theme="1"/>
            <rFont val="Calibri"/>
            <family val="2"/>
            <scheme val="minor"/>
          </rPr>
          <t>Farmacia - Matías:
Solicitado por servicio de cirugia de torax. Consumo 1 kg anual o mas</t>
        </r>
      </text>
    </comment>
    <comment ref="A64" authorId="1" shapeId="0">
      <text>
        <r>
          <rPr>
            <sz val="11"/>
            <color theme="1"/>
            <rFont val="Calibri"/>
            <family val="2"/>
            <scheme val="minor"/>
          </rPr>
          <t xml:space="preserve">Farmacia5:
Se cambia codigo
</t>
        </r>
      </text>
    </comment>
    <comment ref="D65" authorId="1" shapeId="0">
      <text>
        <r>
          <rPr>
            <sz val="11"/>
            <color theme="1"/>
            <rFont val="Calibri"/>
            <family val="2"/>
            <scheme val="minor"/>
          </rPr>
          <t>Farmacia5:
600 PROEPI</t>
        </r>
      </text>
    </comment>
    <comment ref="E65" authorId="1" shapeId="0">
      <text>
        <r>
          <rPr>
            <sz val="11"/>
            <color theme="1"/>
            <rFont val="Calibri"/>
            <family val="2"/>
            <scheme val="minor"/>
          </rPr>
          <t>Farmacia5:
600 PROEPI</t>
        </r>
      </text>
    </comment>
    <comment ref="E68" authorId="2" shapeId="0">
      <text>
        <r>
          <rPr>
            <sz val="11"/>
            <color theme="1"/>
            <rFont val="Calibri"/>
            <family val="2"/>
            <scheme val="minor"/>
          </rPr>
          <t>Matías:
todo programa miastenia</t>
        </r>
      </text>
    </comment>
    <comment ref="F68" authorId="0" shapeId="0">
      <text>
        <r>
          <rPr>
            <sz val="11"/>
            <color theme="1"/>
            <rFont val="Calibri"/>
            <family val="2"/>
            <scheme val="minor"/>
          </rPr>
          <t>Farmacia - Matías:
lo cubre el programa?</t>
        </r>
      </text>
    </comment>
    <comment ref="M72" authorId="0" shapeId="0">
      <text>
        <r>
          <rPr>
            <b/>
            <sz val="9"/>
            <color indexed="81"/>
            <rFont val="Tahoma"/>
            <family val="2"/>
          </rPr>
          <t>Farmacia - Matías:</t>
        </r>
        <r>
          <rPr>
            <sz val="9"/>
            <color indexed="81"/>
            <rFont val="Tahoma"/>
            <family val="2"/>
          </rPr>
          <t xml:space="preserve">
vto 02/27</t>
        </r>
      </text>
    </comment>
    <comment ref="E73" authorId="0" shapeId="0">
      <text>
        <r>
          <rPr>
            <sz val="11"/>
            <color theme="1"/>
            <rFont val="Calibri"/>
            <family val="2"/>
            <scheme val="minor"/>
          </rPr>
          <t>Farmacia - Matías:
Ajustar en base a 2025 por hemodinamia</t>
        </r>
      </text>
    </comment>
    <comment ref="A76" authorId="1" shapeId="0">
      <text>
        <r>
          <rPr>
            <sz val="11"/>
            <color theme="1"/>
            <rFont val="Calibri"/>
            <family val="2"/>
            <scheme val="minor"/>
          </rPr>
          <t>Farmacia5:
Se habia cargado con codigo M6701001</t>
        </r>
      </text>
    </comment>
    <comment ref="G79" authorId="2" shapeId="0">
      <text>
        <r>
          <rPr>
            <sz val="11"/>
            <color theme="1"/>
            <rFont val="Calibri"/>
            <family val="2"/>
            <scheme val="minor"/>
          </rPr>
          <t>Matías:
180 08/25</t>
        </r>
      </text>
    </comment>
    <comment ref="H82" authorId="0" shapeId="0">
      <text>
        <r>
          <rPr>
            <sz val="11"/>
            <color theme="1"/>
            <rFont val="Calibri"/>
            <family val="2"/>
            <scheme val="minor"/>
          </rPr>
          <t>Farmacia - Matías:
original eran 30000</t>
        </r>
      </text>
    </comment>
    <comment ref="H83" authorId="0" shapeId="0">
      <text>
        <r>
          <rPr>
            <sz val="11"/>
            <color theme="1"/>
            <rFont val="Calibri"/>
            <family val="2"/>
            <scheme val="minor"/>
          </rPr>
          <t>Farmacia - Matías:
original eran 4000</t>
        </r>
      </text>
    </comment>
    <comment ref="M92" authorId="0" shapeId="0">
      <text>
        <r>
          <rPr>
            <b/>
            <sz val="9"/>
            <color indexed="81"/>
            <rFont val="Tahoma"/>
            <family val="2"/>
          </rPr>
          <t>Farmacia - Matías:</t>
        </r>
        <r>
          <rPr>
            <sz val="9"/>
            <color indexed="81"/>
            <rFont val="Tahoma"/>
            <family val="2"/>
          </rPr>
          <t xml:space="preserve">
Fortisip</t>
        </r>
      </text>
    </comment>
    <comment ref="E95" authorId="0" shapeId="0">
      <text>
        <r>
          <rPr>
            <sz val="11"/>
            <color theme="1"/>
            <rFont val="Calibri"/>
            <family val="2"/>
            <scheme val="minor"/>
          </rPr>
          <t>Farmacia - Matías:
consumo aprox 100 mensuales</t>
        </r>
      </text>
    </comment>
    <comment ref="I95" authorId="0" shapeId="0">
      <text>
        <r>
          <rPr>
            <sz val="11"/>
            <color theme="1"/>
            <rFont val="Calibri"/>
            <family val="2"/>
            <scheme val="minor"/>
          </rPr>
          <t>Farmacia - Matías:
consumo aprox 100 mensuales</t>
        </r>
      </text>
    </comment>
    <comment ref="E99" authorId="0" shapeId="0">
      <text>
        <r>
          <rPr>
            <sz val="11"/>
            <color theme="1"/>
            <rFont val="Calibri"/>
            <family val="2"/>
            <scheme val="minor"/>
          </rPr>
          <t>Farmacia - Matías:
100 ampollas cada 45 dias</t>
        </r>
      </text>
    </comment>
    <comment ref="E101" authorId="0" shapeId="0">
      <text>
        <r>
          <rPr>
            <sz val="11"/>
            <color theme="1"/>
            <rFont val="Calibri"/>
            <family val="2"/>
            <scheme val="minor"/>
          </rPr>
          <t>Farmacia - Matías:
Contemplar aumentar. Revisar</t>
        </r>
      </text>
    </comment>
    <comment ref="B108" authorId="1" shapeId="0">
      <text>
        <r>
          <rPr>
            <sz val="11"/>
            <color theme="1"/>
            <rFont val="Calibri"/>
            <family val="2"/>
            <scheme val="minor"/>
          </rPr>
          <t>Farmacia5:
cambiar codigo por la de 300 ya que la de 250 no se consigue</t>
        </r>
      </text>
    </comment>
    <comment ref="Y108" authorId="0" shapeId="0">
      <text>
        <r>
          <rPr>
            <sz val="11"/>
            <color theme="1"/>
            <rFont val="Calibri"/>
            <family val="2"/>
            <scheme val="minor"/>
          </rPr>
          <t>Farmacia - Matías:
Bago</t>
        </r>
      </text>
    </comment>
    <comment ref="H112" authorId="0" shapeId="0">
      <text>
        <r>
          <rPr>
            <sz val="11"/>
            <color theme="1"/>
            <rFont val="Calibri"/>
            <family val="2"/>
            <scheme val="minor"/>
          </rPr>
          <t>Farmacia - Matías:
sumar 60 pacientes extra para oftalmo</t>
        </r>
      </text>
    </comment>
    <comment ref="E115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OFTALMO SUBIR CONSUMO</t>
        </r>
      </text>
    </comment>
    <comment ref="E117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OFTALMO 20 MENSUALES</t>
        </r>
      </text>
    </comment>
    <comment ref="P126" authorId="3" shapeId="0">
      <text>
        <r>
          <rPr>
            <b/>
            <sz val="9"/>
            <color indexed="81"/>
            <rFont val="Tahoma"/>
            <family val="2"/>
          </rPr>
          <t>Farmacia14:</t>
        </r>
        <r>
          <rPr>
            <sz val="9"/>
            <color indexed="81"/>
            <rFont val="Tahoma"/>
            <family val="2"/>
          </rPr>
          <t xml:space="preserve">
568 2520
</t>
        </r>
      </text>
    </comment>
    <comment ref="Y126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cotiza 990 unidades
</t>
        </r>
      </text>
    </comment>
    <comment ref="E134" authorId="0" shapeId="0">
      <text>
        <r>
          <rPr>
            <sz val="11"/>
            <color theme="1"/>
            <rFont val="Calibri"/>
            <family val="2"/>
            <scheme val="minor"/>
          </rPr>
          <t>Farmacia - Matías:
bajar a 200</t>
        </r>
      </text>
    </comment>
    <comment ref="E136" authorId="0" shapeId="0">
      <text>
        <r>
          <rPr>
            <sz val="11"/>
            <color theme="1"/>
            <rFont val="Calibri"/>
            <family val="2"/>
            <scheme val="minor"/>
          </rPr>
          <t>Farmacia - Matías:
Bajar a 400. analizar consumo de este y los otros mtx</t>
        </r>
      </text>
    </comment>
    <comment ref="Y138" authorId="0" shapeId="0">
      <text>
        <r>
          <rPr>
            <sz val="11"/>
            <color theme="1"/>
            <rFont val="Calibri"/>
            <family val="2"/>
            <scheme val="minor"/>
          </rPr>
          <t>Farmacia - Matías:
PVP 11380</t>
        </r>
      </text>
    </comment>
    <comment ref="A148" authorId="2" shapeId="0">
      <text>
        <r>
          <rPr>
            <sz val="11"/>
            <color theme="1"/>
            <rFont val="Calibri"/>
            <family val="2"/>
            <scheme val="minor"/>
          </rPr>
          <t xml:space="preserve">Matías:
según ministerio M0141269 pero el codigo es por 30 comp
</t>
        </r>
      </text>
    </comment>
    <comment ref="F150" authorId="0" shapeId="0">
      <text>
        <r>
          <rPr>
            <sz val="11"/>
            <color theme="1"/>
            <rFont val="Calibri"/>
            <family val="2"/>
            <scheme val="minor"/>
          </rPr>
          <t>Farmacia - Matías:
20 sanber, 5 gesell</t>
        </r>
      </text>
    </comment>
    <comment ref="B152" authorId="1" shapeId="0">
      <text>
        <r>
          <rPr>
            <sz val="11"/>
            <color theme="1"/>
            <rFont val="Calibri"/>
            <family val="2"/>
            <scheme val="minor"/>
          </rPr>
          <t>Farmacia5:
Solicitar a través de programa de diversidad sexual</t>
        </r>
      </text>
    </comment>
    <comment ref="E152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programa diversidad 10 gel x mes</t>
        </r>
      </text>
    </comment>
    <comment ref="T152" authorId="0" shapeId="0">
      <text>
        <r>
          <rPr>
            <sz val="11"/>
            <color theme="1"/>
            <rFont val="Calibri"/>
            <family val="2"/>
            <scheme val="minor"/>
          </rPr>
          <t>Farmacia - Matías:
CONTEMPLA CONSUMO PARA PROGRAMA DE DIVERSIDAD</t>
        </r>
      </text>
    </comment>
    <comment ref="B154" authorId="1" shapeId="0">
      <text>
        <r>
          <rPr>
            <sz val="11"/>
            <color theme="1"/>
            <rFont val="Calibri"/>
            <family val="2"/>
            <scheme val="minor"/>
          </rPr>
          <t>Farmacia5:
Pedir de 7,5 que es mas barato</t>
        </r>
      </text>
    </comment>
    <comment ref="E159" authorId="0" shapeId="0">
      <text>
        <r>
          <rPr>
            <sz val="11"/>
            <color theme="1"/>
            <rFont val="Calibri"/>
            <family val="2"/>
            <scheme val="minor"/>
          </rPr>
          <t>Farmacia - Matías:
bajar a 25</t>
        </r>
      </text>
    </comment>
    <comment ref="G159" authorId="0" shapeId="0">
      <text>
        <r>
          <rPr>
            <sz val="11"/>
            <color theme="1"/>
            <rFont val="Calibri"/>
            <family val="2"/>
            <scheme val="minor"/>
          </rPr>
          <t>Farmacia - Matías:
04/25</t>
        </r>
      </text>
    </comment>
    <comment ref="B161" authorId="0" shapeId="0">
      <text>
        <r>
          <rPr>
            <sz val="11"/>
            <color theme="1"/>
            <rFont val="Calibri"/>
            <family val="2"/>
            <scheme val="minor"/>
          </rPr>
          <t>Farmacia - Matías:
DOSIS DE INICIO 200 MG CADA 8 HS X 6 DOSIS, LUEGO 200 DIA</t>
        </r>
      </text>
    </comment>
    <comment ref="H185" authorId="0" shapeId="0">
      <text>
        <r>
          <rPr>
            <sz val="11"/>
            <color theme="1"/>
            <rFont val="Calibri"/>
            <family val="2"/>
            <scheme val="minor"/>
          </rPr>
          <t>Farmacia - Matías:
se preadjudican 576</t>
        </r>
      </text>
    </comment>
    <comment ref="Y188" authorId="0" shapeId="0">
      <text>
        <r>
          <rPr>
            <sz val="11"/>
            <color theme="1"/>
            <rFont val="Calibri"/>
            <family val="2"/>
            <scheme val="minor"/>
          </rPr>
          <t>Farmacia - Matías:
PVP 5886</t>
        </r>
      </text>
    </comment>
    <comment ref="E190" authorId="0" shapeId="0">
      <text>
        <r>
          <rPr>
            <sz val="11"/>
            <color theme="1"/>
            <rFont val="Calibri"/>
            <family val="2"/>
            <scheme val="minor"/>
          </rPr>
          <t>Farmacia - Matías:
sumar 24 para nefrolitiasis</t>
        </r>
      </text>
    </comment>
  </commentList>
</comments>
</file>

<file path=xl/comments3.xml><?xml version="1.0" encoding="utf-8"?>
<comments xmlns="http://schemas.openxmlformats.org/spreadsheetml/2006/main">
  <authors>
    <author>Farmacia - Matías</author>
    <author>None</author>
  </authors>
  <commentList>
    <comment ref="A3" authorId="0" shapeId="0">
      <text>
        <r>
          <rPr>
            <sz val="11"/>
            <color theme="1"/>
            <rFont val="Calibri"/>
            <family val="2"/>
            <scheme val="minor"/>
          </rPr>
          <t>Farmacia - Matías:
EL CODIGO CORRECTO ES EL QUE TERMINA EN 03 PERO LO SACARON</t>
        </r>
      </text>
    </comment>
    <comment ref="B7" authorId="1" shapeId="0">
      <text>
        <r>
          <rPr>
            <sz val="11"/>
            <color theme="1"/>
            <rFont val="Calibri"/>
            <family val="2"/>
            <scheme val="minor"/>
          </rPr>
          <t>BT 110 EQUIVALE A RAPIDO 3 HS
	-Farmacia HIGA Alende</t>
        </r>
      </text>
    </comment>
    <comment ref="B8" authorId="1" shapeId="0">
      <text>
        <r>
          <rPr>
            <sz val="11"/>
            <color theme="1"/>
            <rFont val="Calibri"/>
            <family val="2"/>
            <scheme val="minor"/>
          </rPr>
          <t>BT 224 EQUIVALE A RAPIDO 1 HORA
	-Farmacia HIGA Alende</t>
        </r>
      </text>
    </comment>
    <comment ref="D8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Ver de pedir mayor cantidad. Hacer analisis. Se pedia una vez por semana. Chequear </t>
        </r>
      </text>
    </comment>
  </commentList>
</comments>
</file>

<file path=xl/comments4.xml><?xml version="1.0" encoding="utf-8"?>
<comments xmlns="http://schemas.openxmlformats.org/spreadsheetml/2006/main">
  <authors>
    <author>Farmacia - Matías</author>
    <author>None</author>
  </authors>
  <commentList>
    <comment ref="B4" authorId="0" shapeId="0">
      <text>
        <r>
          <rPr>
            <sz val="11"/>
            <color theme="1"/>
            <rFont val="Calibri"/>
            <family val="2"/>
            <scheme val="minor"/>
          </rPr>
          <t>Farmacia - Matías:
Chequear gramos. Cotiza 60 gr</t>
        </r>
      </text>
    </comment>
    <comment ref="M5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Marca Sterilis
</t>
        </r>
      </text>
    </comment>
    <comment ref="M7" authorId="0" shapeId="0">
      <text>
        <r>
          <rPr>
            <sz val="11"/>
            <color theme="1"/>
            <rFont val="Calibri"/>
            <family val="2"/>
            <scheme val="minor"/>
          </rPr>
          <t>Farmacia - Matías:
Habia empatado con IGALTEX y mando mejora</t>
        </r>
      </text>
    </comment>
    <comment ref="T7" authorId="0" shapeId="0">
      <text>
        <r>
          <rPr>
            <sz val="11"/>
            <color theme="1"/>
            <rFont val="Calibri"/>
            <family val="2"/>
            <scheme val="minor"/>
          </rPr>
          <t>Farmacia - Matías:
original pedido 18</t>
        </r>
      </text>
    </comment>
    <comment ref="M8" authorId="0" shapeId="0">
      <text>
        <r>
          <rPr>
            <sz val="11"/>
            <color theme="1"/>
            <rFont val="Calibri"/>
            <family val="2"/>
            <scheme val="minor"/>
          </rPr>
          <t>Farmacia - Matías:
Habia empatado con IGALTEX y mando mejora</t>
        </r>
      </text>
    </comment>
    <comment ref="A10" authorId="0" shapeId="0">
      <text>
        <r>
          <rPr>
            <sz val="11"/>
            <color theme="1"/>
            <rFont val="Calibri"/>
            <family val="2"/>
            <scheme val="minor"/>
          </rPr>
          <t>Farmacia - Matías:
Reemplaza codigo YH104003 por el tamaño</t>
        </r>
      </text>
    </commen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Farmacia - Matías:
EL CODIGO CORRECTO ES EL QUE TERMINA EN 03 PERO LO SACARON</t>
        </r>
      </text>
    </comment>
    <comment ref="B17" authorId="1" shapeId="0">
      <text>
        <r>
          <rPr>
            <sz val="11"/>
            <color theme="1"/>
            <rFont val="Calibri"/>
            <family val="2"/>
            <scheme val="minor"/>
          </rPr>
          <t>BT 110 EQUIVALE A RAPIDO 3 HS
	-Farmacia HIGA Alende</t>
        </r>
      </text>
    </comment>
    <comment ref="B18" authorId="1" shapeId="0">
      <text>
        <r>
          <rPr>
            <sz val="11"/>
            <color theme="1"/>
            <rFont val="Calibri"/>
            <family val="2"/>
            <scheme val="minor"/>
          </rPr>
          <t>BT 224 EQUIVALE A RAPIDO 1 HORA
	-Farmacia HIGA Alende</t>
        </r>
      </text>
    </comment>
    <comment ref="D18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Ver de pedir mayor cantidad. Hacer analisis. Se pedia una vez por semana. Chequear </t>
        </r>
      </text>
    </comment>
  </commentList>
</comments>
</file>

<file path=xl/comments5.xml><?xml version="1.0" encoding="utf-8"?>
<comments xmlns="http://schemas.openxmlformats.org/spreadsheetml/2006/main">
  <authors>
    <author>Farmacia - Matías</author>
    <author>Matías</author>
  </authors>
  <commentList>
    <comment ref="E5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OFTALMO AMBULATORIO 60 MENSUAL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Farmacia - Matías:
Contemplar rotar a pancuronio debido a un menor costo. Para insuficiencia renal es de elección.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>Farmacia - Matías:
Ajustar a 200</t>
        </r>
      </text>
    </comment>
    <comment ref="C23" authorId="1" shapeId="0">
      <text>
        <r>
          <rPr>
            <sz val="11"/>
            <color theme="1"/>
            <rFont val="Calibri"/>
            <family val="2"/>
            <scheme val="minor"/>
          </rPr>
          <t>Matías:
385 EN 3 MESES EN ABRIL 2019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>Farmacia - Matías:</t>
        </r>
        <r>
          <rPr>
            <sz val="9"/>
            <color indexed="81"/>
            <rFont val="Tahoma"/>
            <family val="2"/>
          </rPr>
          <t xml:space="preserve">
EVALUAR AUMENTO a 800</t>
        </r>
      </text>
    </comment>
    <comment ref="B24" authorId="0" shapeId="0">
      <text>
        <r>
          <rPr>
            <sz val="11"/>
            <color theme="1"/>
            <rFont val="Calibri"/>
            <family val="2"/>
            <scheme val="minor"/>
          </rPr>
          <t>Farmacia - Matías:
Para paciente de dificil intubación. Con sugamadex como antídoto
Evaluar alternativa a comprar para tener en guardia.</t>
        </r>
      </text>
    </comment>
    <comment ref="B25" authorId="0" shapeId="0">
      <text>
        <r>
          <rPr>
            <sz val="11"/>
            <color theme="1"/>
            <rFont val="Calibri"/>
            <family val="2"/>
            <scheme val="minor"/>
          </rPr>
          <t>Farmacia - Matías:
1 a 2 ampollas por paciente</t>
        </r>
      </text>
    </comment>
    <comment ref="G27" authorId="0" shapeId="0">
      <text>
        <r>
          <rPr>
            <sz val="11"/>
            <color theme="1"/>
            <rFont val="Calibri"/>
            <family val="2"/>
            <scheme val="minor"/>
          </rPr>
          <t>Farmacia - Matías:
28/02 vto</t>
        </r>
      </text>
    </comment>
    <comment ref="M35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29/08 - Se presentan con la de 100 mg. Ver si esta en falta, en caso de que vuelva a suceder pedir todo de 100 mg. </t>
        </r>
      </text>
    </comment>
    <comment ref="B36" authorId="0" shapeId="0">
      <text>
        <r>
          <rPr>
            <sz val="11"/>
            <color theme="1"/>
            <rFont val="Calibri"/>
            <family val="2"/>
            <scheme val="minor"/>
          </rPr>
          <t>Farmacia - Matías:
Para intubación general.</t>
        </r>
      </text>
    </comment>
  </commentList>
</comments>
</file>

<file path=xl/comments6.xml><?xml version="1.0" encoding="utf-8"?>
<comments xmlns="http://schemas.openxmlformats.org/spreadsheetml/2006/main">
  <authors>
    <author>Farmacia - Matías</author>
    <author>Farmacia5</author>
  </authors>
  <commentList>
    <comment ref="E10" authorId="0" shapeId="0">
      <text>
        <r>
          <rPr>
            <sz val="11"/>
            <color theme="1"/>
            <rFont val="Calibri"/>
            <family val="2"/>
            <scheme val="minor"/>
          </rPr>
          <t>Farmacia - Matías:
Subir a 130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>Farmacia - Matías:
Bajar a 300</t>
        </r>
      </text>
    </comment>
    <comment ref="E12" authorId="0" shapeId="0">
      <text>
        <r>
          <rPr>
            <sz val="11"/>
            <color theme="1"/>
            <rFont val="Calibri"/>
            <family val="2"/>
            <scheme val="minor"/>
          </rPr>
          <t>Farmacia - Matías:
Subir a 800</t>
        </r>
      </text>
    </comment>
    <comment ref="E14" authorId="0" shapeId="0">
      <text>
        <r>
          <rPr>
            <sz val="11"/>
            <color theme="1"/>
            <rFont val="Calibri"/>
            <family val="2"/>
            <scheme val="minor"/>
          </rPr>
          <t>Farmacia - Matías:
Aumentar a 250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>Farmacia - Matías:
Subir a 20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>Farmacia - Matías:
Evaluar consumo de 15 mensual para 2025. Analizar bien y ver consumo de propo</t>
        </r>
      </text>
    </comment>
    <comment ref="B18" authorId="1" shapeId="0">
      <text>
        <r>
          <rPr>
            <sz val="11"/>
            <color theme="1"/>
            <rFont val="Calibri"/>
            <family val="2"/>
            <scheme val="minor"/>
          </rPr>
          <t>Farmacia5:
Pedir Quick fill en un menor % que el comun. Proporcion 6 a 1</t>
        </r>
      </text>
    </comment>
    <comment ref="E19" authorId="0" shapeId="0">
      <text>
        <r>
          <rPr>
            <sz val="11"/>
            <color theme="1"/>
            <rFont val="Calibri"/>
            <family val="2"/>
            <scheme val="minor"/>
          </rPr>
          <t>Farmacia - Matías:
bajar a 25</t>
        </r>
      </text>
    </comment>
    <comment ref="G19" authorId="0" shapeId="0">
      <text>
        <r>
          <rPr>
            <sz val="11"/>
            <color theme="1"/>
            <rFont val="Calibri"/>
            <family val="2"/>
            <scheme val="minor"/>
          </rPr>
          <t>Farmacia - Matías:
04/25</t>
        </r>
      </text>
    </comment>
    <comment ref="B21" authorId="0" shapeId="0">
      <text>
        <r>
          <rPr>
            <sz val="11"/>
            <color theme="1"/>
            <rFont val="Calibri"/>
            <family val="2"/>
            <scheme val="minor"/>
          </rPr>
          <t>Farmacia - Matías:
Solicitada por servicio de diagnostico de imágenes 10 ml/paciente 20 pacientes por mes</t>
        </r>
      </text>
    </comment>
  </commentList>
</comments>
</file>

<file path=xl/comments7.xml><?xml version="1.0" encoding="utf-8"?>
<comments xmlns="http://schemas.openxmlformats.org/spreadsheetml/2006/main">
  <authors>
    <author>Farmacia - Matías</author>
  </authors>
  <commentList>
    <comment ref="M13" authorId="0" shapeId="0">
      <text>
        <r>
          <rPr>
            <sz val="11"/>
            <color theme="1"/>
            <rFont val="Calibri"/>
            <family val="2"/>
            <scheme val="minor"/>
          </rPr>
          <t>Farmacia - Matías:
vto 07/25</t>
        </r>
      </text>
    </comment>
    <comment ref="Y14" authorId="0" shapeId="0">
      <text>
        <r>
          <rPr>
            <sz val="11"/>
            <color theme="1"/>
            <rFont val="Calibri"/>
            <family val="2"/>
            <scheme val="minor"/>
          </rPr>
          <t>Farmacia - Matías:
PVP 11380</t>
        </r>
      </text>
    </comment>
    <comment ref="Y17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cotiza 990 unidades
</t>
        </r>
      </text>
    </comment>
  </commentList>
</comments>
</file>

<file path=xl/comments8.xml><?xml version="1.0" encoding="utf-8"?>
<comments xmlns="http://schemas.openxmlformats.org/spreadsheetml/2006/main">
  <authors>
    <author>Matías</author>
    <author>Farmacia5</author>
    <author>Farmacia - Matías</author>
    <author>Usuario</author>
  </authors>
  <commentList>
    <comment ref="H6" authorId="0" shapeId="0">
      <text>
        <r>
          <rPr>
            <sz val="11"/>
            <color theme="1"/>
            <rFont val="Calibri"/>
            <family val="2"/>
            <scheme val="minor"/>
          </rPr>
          <t xml:space="preserve">Matías:
Canjear </t>
        </r>
      </text>
    </comment>
    <comment ref="B12" authorId="1" shapeId="0">
      <text>
        <r>
          <rPr>
            <sz val="11"/>
            <color theme="1"/>
            <rFont val="Calibri"/>
            <family val="2"/>
            <scheme val="minor"/>
          </rPr>
          <t>Farmacia5:
Pedir por 45 días</t>
        </r>
      </text>
    </comment>
    <comment ref="B13" authorId="2" shapeId="0">
      <text>
        <r>
          <rPr>
            <sz val="11"/>
            <color theme="1"/>
            <rFont val="Calibri"/>
            <family val="2"/>
            <scheme val="minor"/>
          </rPr>
          <t>Farmacia - Matías:
Ir desterrando. Comprar poca cantidad para tener por las dudas nomas.</t>
        </r>
      </text>
    </comment>
    <comment ref="E13" authorId="2" shapeId="0">
      <text>
        <r>
          <rPr>
            <sz val="11"/>
            <color theme="1"/>
            <rFont val="Calibri"/>
            <family val="2"/>
            <scheme val="minor"/>
          </rPr>
          <t>Farmacia - Matías:
Bajar a 200 y subir la cefazo</t>
        </r>
      </text>
    </comment>
    <comment ref="E14" authorId="2" shapeId="0">
      <text>
        <r>
          <rPr>
            <sz val="11"/>
            <color theme="1"/>
            <rFont val="Calibri"/>
            <family val="2"/>
            <scheme val="minor"/>
          </rPr>
          <t>Farmacia - Matías:
Subir 1400 y bajar cefalotina</t>
        </r>
      </text>
    </comment>
    <comment ref="R14" authorId="2" shapeId="0">
      <text>
        <r>
          <rPr>
            <sz val="11"/>
            <color theme="1"/>
            <rFont val="Calibri"/>
            <family val="2"/>
            <scheme val="minor"/>
          </rPr>
          <t>Farmacia - Matías:
desde jun 2026</t>
        </r>
      </text>
    </comment>
    <comment ref="Y24" authorId="2" shapeId="0">
      <text>
        <r>
          <rPr>
            <sz val="11"/>
            <color theme="1"/>
            <rFont val="Calibri"/>
            <family val="2"/>
            <scheme val="minor"/>
          </rPr>
          <t>Farmacia - Matías:
Precio mayor a PVP</t>
        </r>
      </text>
    </comment>
    <comment ref="E25" authorId="2" shapeId="0">
      <text>
        <r>
          <rPr>
            <sz val="11"/>
            <color theme="1"/>
            <rFont val="Calibri"/>
            <family val="2"/>
            <scheme val="minor"/>
          </rPr>
          <t>Farmacia - Matías:
15 unidades mensuales</t>
        </r>
      </text>
    </comment>
    <comment ref="M26" authorId="2" shapeId="0">
      <text>
        <r>
          <rPr>
            <sz val="11"/>
            <color theme="1"/>
            <rFont val="Calibri"/>
            <family val="2"/>
            <scheme val="minor"/>
          </rPr>
          <t>Farmacia - Matías:
2/27</t>
        </r>
      </text>
    </comment>
    <comment ref="B33" authorId="2" shapeId="0">
      <text>
        <r>
          <rPr>
            <sz val="11"/>
            <color theme="1"/>
            <rFont val="Calibri"/>
            <family val="2"/>
            <scheme val="minor"/>
          </rPr>
          <t>Farmacia - Matías:
DOSIS DE INICIO 200 MG CADA 8 HS X 6 DOSIS, LUEGO 200 DIA</t>
        </r>
      </text>
    </comment>
    <comment ref="E39" authorId="2" shapeId="0">
      <text>
        <r>
          <rPr>
            <sz val="11"/>
            <color theme="1"/>
            <rFont val="Calibri"/>
            <family val="2"/>
            <scheme val="minor"/>
          </rPr>
          <t>Farmacia - Matías:
Subir a 150/200</t>
        </r>
      </text>
    </comment>
    <comment ref="H44" authorId="2" shapeId="0">
      <text>
        <r>
          <rPr>
            <sz val="11"/>
            <color theme="1"/>
            <rFont val="Calibri"/>
            <family val="2"/>
            <scheme val="minor"/>
          </rPr>
          <t>Farmacia - Matías:
se preadjudican 576</t>
        </r>
      </text>
    </comment>
    <comment ref="G50" authorId="3" shapeId="0">
      <text>
        <r>
          <rPr>
            <sz val="11"/>
            <color theme="1"/>
            <rFont val="Calibri"/>
            <family val="2"/>
            <scheme val="minor"/>
          </rPr>
          <t>Usuario:
28/02/25 200</t>
        </r>
      </text>
    </comment>
    <comment ref="B51" authorId="1" shapeId="0">
      <text>
        <r>
          <rPr>
            <sz val="11"/>
            <color theme="1"/>
            <rFont val="Calibri"/>
            <family val="2"/>
            <scheme val="minor"/>
          </rPr>
          <t>Farmacia5:
Pedir por 5 meses</t>
        </r>
      </text>
    </comment>
    <comment ref="F52" authorId="2" shapeId="0">
      <text>
        <r>
          <rPr>
            <sz val="11"/>
            <color theme="1"/>
            <rFont val="Calibri"/>
            <family val="2"/>
            <scheme val="minor"/>
          </rPr>
          <t>Farmacia - Matías:
Gesell</t>
        </r>
      </text>
    </comment>
    <comment ref="B56" authorId="0" shapeId="0">
      <text>
        <r>
          <rPr>
            <sz val="11"/>
            <color theme="1"/>
            <rFont val="Calibri"/>
            <family val="2"/>
            <scheme val="minor"/>
          </rPr>
          <t>Matías:
ver si se puede canjear algunas</t>
        </r>
      </text>
    </comment>
    <comment ref="Y57" authorId="2" shapeId="0">
      <text>
        <r>
          <rPr>
            <sz val="11"/>
            <color theme="1"/>
            <rFont val="Calibri"/>
            <family val="2"/>
            <scheme val="minor"/>
          </rPr>
          <t>Farmacia - Matías:
Bago</t>
        </r>
      </text>
    </comment>
    <comment ref="B58" authorId="2" shapeId="0">
      <text>
        <r>
          <rPr>
            <sz val="11"/>
            <color theme="1"/>
            <rFont val="Calibri"/>
            <family val="2"/>
            <scheme val="minor"/>
          </rPr>
          <t>Farmacia - Matías:
14 dias 1 amp cada 8 para intrabdom complicado</t>
        </r>
      </text>
    </comment>
    <comment ref="T59" authorId="2" shapeId="0">
      <text>
        <r>
          <rPr>
            <sz val="11"/>
            <color theme="1"/>
            <rFont val="Calibri"/>
            <family val="2"/>
            <scheme val="minor"/>
          </rPr>
          <t>Farmacia - Matías:
Estos 2000 corresponden a los reemplazados por HLB Pharma</t>
        </r>
      </text>
    </comment>
    <comment ref="B60" authorId="2" shapeId="0">
      <text>
        <r>
          <rPr>
            <sz val="11"/>
            <color theme="1"/>
            <rFont val="Calibri"/>
            <family val="2"/>
            <scheme val="minor"/>
          </rPr>
          <t>Farmacia - Matías:
considerar subir cantidad dado que aumento la dosis estandar en paciente internado</t>
        </r>
      </text>
    </comment>
    <comment ref="D60" authorId="2" shapeId="0">
      <text>
        <r>
          <rPr>
            <sz val="11"/>
            <color theme="1"/>
            <rFont val="Calibri"/>
            <family val="2"/>
            <scheme val="minor"/>
          </rPr>
          <t>Farmacia - Matías:
aumento a 1000 en 2024</t>
        </r>
      </text>
    </comment>
    <comment ref="H60" authorId="1" shapeId="0">
      <text>
        <r>
          <rPr>
            <sz val="11"/>
            <color theme="1"/>
            <rFont val="Calibri"/>
            <family val="2"/>
            <scheme val="minor"/>
          </rPr>
          <t xml:space="preserve">Farmacia5:
original era 2000 se subio a 3900, se aprobaron 3000
</t>
        </r>
      </text>
    </comment>
    <comment ref="B63" authorId="1" shapeId="0">
      <text>
        <r>
          <rPr>
            <sz val="11"/>
            <color theme="1"/>
            <rFont val="Calibri"/>
            <family val="2"/>
            <scheme val="minor"/>
          </rPr>
          <t xml:space="preserve">Farmacia5:
Vto 06/21 280
Pedir por 3 meses
</t>
        </r>
      </text>
    </comment>
    <comment ref="F70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1 ampolla cada 6 hs 7 a 14 dias 2 tratamientos por semestre. </t>
        </r>
      </text>
    </comment>
    <comment ref="B72" authorId="1" shapeId="0">
      <text>
        <r>
          <rPr>
            <sz val="11"/>
            <color theme="1"/>
            <rFont val="Calibri"/>
            <family val="2"/>
            <scheme val="minor"/>
          </rPr>
          <t>Farmacia5:
Ver de pedir el que viene con asociados</t>
        </r>
      </text>
    </comment>
    <comment ref="D77" authorId="3" shapeId="0">
      <text>
        <r>
          <rPr>
            <sz val="11"/>
            <color theme="1"/>
            <rFont val="Calibri"/>
            <family val="2"/>
            <scheme val="minor"/>
          </rPr>
          <t xml:space="preserve">Sofi: aumento mucho el consumo porque no habia de 1 G. </t>
        </r>
      </text>
    </comment>
    <comment ref="I77" authorId="1" shapeId="0">
      <text>
        <r>
          <rPr>
            <sz val="11"/>
            <color theme="1"/>
            <rFont val="Calibri"/>
            <family val="2"/>
            <scheme val="minor"/>
          </rPr>
          <t>Farmacia5:
hay 4920 de 1 gr</t>
        </r>
      </text>
    </comment>
    <comment ref="E79" authorId="2" shapeId="0">
      <text>
        <r>
          <rPr>
            <sz val="11"/>
            <color theme="1"/>
            <rFont val="Calibri"/>
            <family val="2"/>
            <scheme val="minor"/>
          </rPr>
          <t>Farmacia - Matías:
Considerar aumento a 200</t>
        </r>
      </text>
    </comment>
  </commentList>
</comments>
</file>

<file path=xl/comments9.xml><?xml version="1.0" encoding="utf-8"?>
<comments xmlns="http://schemas.openxmlformats.org/spreadsheetml/2006/main">
  <authors>
    <author>Farmacia5</author>
    <author>Farmacia - Matías</author>
    <author>Matías</author>
    <author>Usuario</author>
    <author>Farmacia14</author>
  </authors>
  <commentList>
    <comment ref="B3" authorId="0" shapeId="0">
      <text>
        <r>
          <rPr>
            <sz val="11"/>
            <color theme="1"/>
            <rFont val="Calibri"/>
            <family val="2"/>
            <scheme val="minor"/>
          </rPr>
          <t>Farmacia5:
Comprar solamente carbidopa (mas barato que bense)</t>
        </r>
      </text>
    </comment>
    <comment ref="E3" authorId="1" shapeId="0">
      <text>
        <r>
          <rPr>
            <sz val="11"/>
            <color theme="1"/>
            <rFont val="Calibri"/>
            <family val="2"/>
            <scheme val="minor"/>
          </rPr>
          <t>Farmacia - Matías:
comprar todo levodopa-carbidopa + un puchito para intolerantes</t>
        </r>
      </text>
    </comment>
    <comment ref="G3" authorId="2" shapeId="0">
      <text>
        <r>
          <rPr>
            <sz val="11"/>
            <color theme="1"/>
            <rFont val="Calibri"/>
            <family val="2"/>
            <scheme val="minor"/>
          </rPr>
          <t>Matías:
02/25</t>
        </r>
      </text>
    </comment>
    <comment ref="D11" authorId="0" shapeId="0">
      <text>
        <r>
          <rPr>
            <sz val="11"/>
            <color theme="1"/>
            <rFont val="Calibri"/>
            <family val="2"/>
            <scheme val="minor"/>
          </rPr>
          <t>Farmacia5:
Todo PROEPI</t>
        </r>
      </text>
    </comment>
    <comment ref="E11" authorId="2" shapeId="0">
      <text>
        <r>
          <rPr>
            <sz val="11"/>
            <color theme="1"/>
            <rFont val="Calibri"/>
            <family val="2"/>
            <scheme val="minor"/>
          </rPr>
          <t>Matías:
proepi</t>
        </r>
      </text>
    </comment>
    <comment ref="G19" authorId="1" shapeId="0">
      <text>
        <r>
          <rPr>
            <sz val="11"/>
            <color theme="1"/>
            <rFont val="Calibri"/>
            <family val="2"/>
            <scheme val="minor"/>
          </rPr>
          <t>Farmacia - Matías:
11/24</t>
        </r>
      </text>
    </comment>
    <comment ref="D24" authorId="3" shapeId="0">
      <text>
        <r>
          <rPr>
            <sz val="11"/>
            <color theme="1"/>
            <rFont val="Calibri"/>
            <family val="2"/>
            <scheme val="minor"/>
          </rPr>
          <t xml:space="preserve">Usuario:
Rotura de stock en abril.
</t>
        </r>
      </text>
    </comment>
    <comment ref="D26" authorId="0" shapeId="0">
      <text>
        <r>
          <rPr>
            <sz val="11"/>
            <color theme="1"/>
            <rFont val="Calibri"/>
            <family val="2"/>
            <scheme val="minor"/>
          </rPr>
          <t>Farmacia5:
600 PROEPI</t>
        </r>
      </text>
    </comment>
    <comment ref="E26" authorId="0" shapeId="0">
      <text>
        <r>
          <rPr>
            <sz val="11"/>
            <color theme="1"/>
            <rFont val="Calibri"/>
            <family val="2"/>
            <scheme val="minor"/>
          </rPr>
          <t>Farmacia5:
600 PROEPI</t>
        </r>
      </text>
    </comment>
    <comment ref="D29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Farmacia5:
2200 PROEPI
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Farmacia5:
2500 PROEPI
</t>
        </r>
      </text>
    </comment>
    <comment ref="M31" authorId="1" shapeId="0">
      <text>
        <r>
          <rPr>
            <sz val="11"/>
            <color theme="1"/>
            <rFont val="Calibri"/>
            <family val="2"/>
            <scheme val="minor"/>
          </rPr>
          <t>Farmacia - Matías:
3000 MG 400 Rospaw</t>
        </r>
      </text>
    </comment>
    <comment ref="P31" authorId="1" shapeId="0">
      <text>
        <r>
          <rPr>
            <sz val="11"/>
            <color theme="1"/>
            <rFont val="Calibri"/>
            <family val="2"/>
            <scheme val="minor"/>
          </rPr>
          <t>Farmacia - Matías:
232 MG TAMBIEN</t>
        </r>
      </text>
    </comment>
    <comment ref="Q31" authorId="4" shapeId="0">
      <text>
        <r>
          <rPr>
            <b/>
            <sz val="9"/>
            <color indexed="81"/>
            <rFont val="Tahoma"/>
            <family val="2"/>
          </rPr>
          <t>Farmacia14:</t>
        </r>
        <r>
          <rPr>
            <sz val="9"/>
            <color indexed="81"/>
            <rFont val="Tahoma"/>
            <family val="2"/>
          </rPr>
          <t xml:space="preserve">
472 400 473 1000</t>
        </r>
      </text>
    </comment>
    <comment ref="B34" authorId="2" shapeId="0">
      <text>
        <r>
          <rPr>
            <sz val="11"/>
            <color theme="1"/>
            <rFont val="Calibri"/>
            <family val="2"/>
            <scheme val="minor"/>
          </rPr>
          <t xml:space="preserve">Matías:
VER PROEPI
</t>
        </r>
      </text>
    </comment>
    <comment ref="C34" authorId="0" shapeId="0">
      <text>
        <r>
          <rPr>
            <sz val="11"/>
            <color theme="1"/>
            <rFont val="Calibri"/>
            <family val="2"/>
            <scheme val="minor"/>
          </rPr>
          <t>Farmacia5:
5000 de proepi</t>
        </r>
      </text>
    </comment>
    <comment ref="D34" authorId="3" shapeId="0">
      <text>
        <r>
          <rPr>
            <sz val="11"/>
            <color theme="1"/>
            <rFont val="Calibri"/>
            <family val="2"/>
            <scheme val="minor"/>
          </rPr>
          <t>Usuario:
5000 PROEPI
RESTO NUESTRO</t>
        </r>
      </text>
    </comment>
    <comment ref="E34" authorId="3" shapeId="0">
      <text>
        <r>
          <rPr>
            <sz val="11"/>
            <color theme="1"/>
            <rFont val="Calibri"/>
            <family val="2"/>
            <scheme val="minor"/>
          </rPr>
          <t>Usuario:
5000 PROEPI
RESTO NUESTRO</t>
        </r>
      </text>
    </comment>
    <comment ref="B42" authorId="1" shapeId="0">
      <text>
        <r>
          <rPr>
            <sz val="11"/>
            <color theme="1"/>
            <rFont val="Calibri"/>
            <family val="2"/>
            <scheme val="minor"/>
          </rPr>
          <t>Farmacia - Matías:
considerar aumento debido a mas uso en terapia</t>
        </r>
      </text>
    </comment>
    <comment ref="D44" authorId="3" shapeId="0">
      <text>
        <r>
          <rPr>
            <sz val="11"/>
            <color theme="1"/>
            <rFont val="Calibri"/>
            <family val="2"/>
            <scheme val="minor"/>
          </rPr>
          <t xml:space="preserve">Usuario:
9000 PROEPI
6000 NUESTRO
</t>
        </r>
      </text>
    </comment>
    <comment ref="E44" authorId="3" shapeId="0">
      <text>
        <r>
          <rPr>
            <sz val="11"/>
            <color theme="1"/>
            <rFont val="Calibri"/>
            <family val="2"/>
            <scheme val="minor"/>
          </rPr>
          <t xml:space="preserve">Usuario:
10000 PROEPI
6000 NUESTRO
</t>
        </r>
      </text>
    </comment>
    <comment ref="C45" authorId="0" shapeId="0">
      <text>
        <r>
          <rPr>
            <sz val="11"/>
            <color theme="1"/>
            <rFont val="Calibri"/>
            <family val="2"/>
            <scheme val="minor"/>
          </rPr>
          <t>Farmacia5:
REVISAR</t>
        </r>
      </text>
    </comment>
    <comment ref="D45" authorId="1" shapeId="0">
      <text>
        <r>
          <rPr>
            <sz val="11"/>
            <color theme="1"/>
            <rFont val="Calibri"/>
            <family val="2"/>
            <scheme val="minor"/>
          </rPr>
          <t>Farmacia - Matías:
3000 PROEPI</t>
        </r>
      </text>
    </comment>
    <comment ref="E45" authorId="1" shapeId="0">
      <text>
        <r>
          <rPr>
            <sz val="11"/>
            <color theme="1"/>
            <rFont val="Calibri"/>
            <family val="2"/>
            <scheme val="minor"/>
          </rPr>
          <t>Farmacia - Matías:
3000 PROEPI</t>
        </r>
      </text>
    </comment>
    <comment ref="D46" authorId="0" shapeId="0">
      <text>
        <r>
          <rPr>
            <sz val="11"/>
            <color theme="1"/>
            <rFont val="Calibri"/>
            <family val="2"/>
            <scheme val="minor"/>
          </rPr>
          <t>Farmacia5:
500 PROEPI</t>
        </r>
      </text>
    </comment>
    <comment ref="E46" authorId="0" shapeId="0">
      <text>
        <r>
          <rPr>
            <sz val="11"/>
            <color theme="1"/>
            <rFont val="Calibri"/>
            <family val="2"/>
            <scheme val="minor"/>
          </rPr>
          <t>Farmacia5:
500 PROEPI</t>
        </r>
      </text>
    </comment>
    <comment ref="D47" authorId="0" shapeId="0">
      <text>
        <r>
          <rPr>
            <sz val="11"/>
            <color theme="1"/>
            <rFont val="Calibri"/>
            <family val="2"/>
            <scheme val="minor"/>
          </rPr>
          <t>Farmacia5:
600 PROEPI</t>
        </r>
      </text>
    </comment>
    <comment ref="E47" authorId="0" shapeId="0">
      <text>
        <r>
          <rPr>
            <sz val="11"/>
            <color theme="1"/>
            <rFont val="Calibri"/>
            <family val="2"/>
            <scheme val="minor"/>
          </rPr>
          <t>Farmacia5:
400 PROEPI</t>
        </r>
      </text>
    </comment>
    <comment ref="D48" authorId="0" shapeId="0">
      <text>
        <r>
          <rPr>
            <sz val="11"/>
            <color theme="1"/>
            <rFont val="Calibri"/>
            <family val="2"/>
            <scheme val="minor"/>
          </rPr>
          <t>Farmacia5:
REVISAR CONSUMO Y 
DESCARTE</t>
        </r>
      </text>
    </comment>
    <comment ref="A49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Farmacia5:
Se cambia codigo
</t>
        </r>
      </text>
    </comment>
    <comment ref="D54" authorId="0" shapeId="0">
      <text>
        <r>
          <rPr>
            <sz val="11"/>
            <color theme="1"/>
            <rFont val="Calibri"/>
            <family val="2"/>
            <scheme val="minor"/>
          </rPr>
          <t>Farmacia5:
750 proepi</t>
        </r>
      </text>
    </comment>
    <comment ref="E54" authorId="0" shapeId="0">
      <text>
        <r>
          <rPr>
            <sz val="11"/>
            <color theme="1"/>
            <rFont val="Calibri"/>
            <family val="2"/>
            <scheme val="minor"/>
          </rPr>
          <t>Farmacia5:
750 proepi</t>
        </r>
      </text>
    </comment>
    <comment ref="B58" authorId="2" shapeId="0">
      <text>
        <r>
          <rPr>
            <sz val="11"/>
            <color theme="1"/>
            <rFont val="Calibri"/>
            <family val="2"/>
            <scheme val="minor"/>
          </rPr>
          <t>Matías:
COMPRIMIDOS CON CODIGO M1201056</t>
        </r>
      </text>
    </comment>
    <comment ref="D58" authorId="3" shapeId="0">
      <text>
        <r>
          <rPr>
            <sz val="11"/>
            <color theme="1"/>
            <rFont val="Calibri"/>
            <family val="2"/>
            <scheme val="minor"/>
          </rPr>
          <t xml:space="preserve">Usuario:
4000 PROEPI
RESTO NUESTRO
</t>
        </r>
      </text>
    </comment>
    <comment ref="E58" authorId="3" shapeId="0">
      <text>
        <r>
          <rPr>
            <sz val="11"/>
            <color theme="1"/>
            <rFont val="Calibri"/>
            <family val="2"/>
            <scheme val="minor"/>
          </rPr>
          <t xml:space="preserve">Usuario:
5500 PROEPI
RESTO NUESTRO
</t>
        </r>
      </text>
    </comment>
    <comment ref="D59" authorId="3" shapeId="0">
      <text>
        <r>
          <rPr>
            <sz val="11"/>
            <color theme="1"/>
            <rFont val="Calibri"/>
            <family val="2"/>
            <scheme val="minor"/>
          </rPr>
          <t xml:space="preserve">Usuario:
1800 proepi
</t>
        </r>
      </text>
    </comment>
    <comment ref="E59" authorId="3" shapeId="0">
      <text>
        <r>
          <rPr>
            <sz val="11"/>
            <color theme="1"/>
            <rFont val="Calibri"/>
            <family val="2"/>
            <scheme val="minor"/>
          </rPr>
          <t xml:space="preserve">Usuario:
2200 proepi
</t>
        </r>
      </text>
    </comment>
    <comment ref="H64" authorId="1" shapeId="0">
      <text>
        <r>
          <rPr>
            <sz val="11"/>
            <color theme="1"/>
            <rFont val="Calibri"/>
            <family val="2"/>
            <scheme val="minor"/>
          </rPr>
          <t>Farmacia - Matías:
Original eran 800</t>
        </r>
      </text>
    </comment>
    <comment ref="A65" authorId="1" shapeId="0">
      <text>
        <r>
          <rPr>
            <sz val="11"/>
            <color theme="1"/>
            <rFont val="Calibri"/>
            <family val="2"/>
            <scheme val="minor"/>
          </rPr>
          <t>Farmacia - Matías:
CAMBIO CODIGO A M1246413</t>
        </r>
      </text>
    </comment>
    <comment ref="B65" authorId="0" shapeId="0">
      <text>
        <r>
          <rPr>
            <sz val="11"/>
            <color theme="1"/>
            <rFont val="Calibri"/>
            <family val="2"/>
            <scheme val="minor"/>
          </rPr>
          <t>Farmacia5:
Considerar no comprar marca LARJAN ya que viene IM.</t>
        </r>
      </text>
    </comment>
    <comment ref="B66" authorId="2" shapeId="0">
      <text>
        <r>
          <rPr>
            <sz val="11"/>
            <color theme="1"/>
            <rFont val="Calibri"/>
            <family val="2"/>
            <scheme val="minor"/>
          </rPr>
          <t>Matías:
VER PROEPI</t>
        </r>
      </text>
    </comment>
    <comment ref="D67" authorId="3" shapeId="0">
      <text>
        <r>
          <rPr>
            <sz val="11"/>
            <color theme="1"/>
            <rFont val="Calibri"/>
            <family val="2"/>
            <scheme val="minor"/>
          </rPr>
          <t>Usuario:
13300 PROEPI</t>
        </r>
      </text>
    </comment>
    <comment ref="E67" authorId="2" shapeId="0">
      <text>
        <r>
          <rPr>
            <sz val="11"/>
            <color theme="1"/>
            <rFont val="Calibri"/>
            <family val="2"/>
            <scheme val="minor"/>
          </rPr>
          <t>Matías:
15000 PROEPI</t>
        </r>
      </text>
    </comment>
    <comment ref="F67" authorId="1" shapeId="0">
      <text>
        <r>
          <rPr>
            <sz val="11"/>
            <color theme="1"/>
            <rFont val="Calibri"/>
            <family val="2"/>
            <scheme val="minor"/>
          </rPr>
          <t>Farmacia - Matías:
contemplamos que proepi no envia, por lo tanto bajamos consumo de 50 y subimos de 100</t>
        </r>
      </text>
    </comment>
    <comment ref="B73" authorId="0" shapeId="0">
      <text>
        <r>
          <rPr>
            <sz val="11"/>
            <color theme="1"/>
            <rFont val="Calibri"/>
            <family val="2"/>
            <scheme val="minor"/>
          </rPr>
          <t>Farmacia5:
Ver precios, se presenta janssen y no generico, y sale mas caro que el de 150.</t>
        </r>
      </text>
    </comment>
    <comment ref="G74" authorId="2" shapeId="0">
      <text>
        <r>
          <rPr>
            <sz val="11"/>
            <color theme="1"/>
            <rFont val="Calibri"/>
            <family val="2"/>
            <scheme val="minor"/>
          </rPr>
          <t>Matías:
180 08/25</t>
        </r>
      </text>
    </comment>
    <comment ref="E76" authorId="2" shapeId="0">
      <text>
        <r>
          <rPr>
            <sz val="11"/>
            <color theme="1"/>
            <rFont val="Calibri"/>
            <family val="2"/>
            <scheme val="minor"/>
          </rPr>
          <t>Matías:
todo programa miastenia</t>
        </r>
      </text>
    </comment>
    <comment ref="F76" authorId="1" shapeId="0">
      <text>
        <r>
          <rPr>
            <sz val="11"/>
            <color theme="1"/>
            <rFont val="Calibri"/>
            <family val="2"/>
            <scheme val="minor"/>
          </rPr>
          <t>Farmacia - Matías:
lo cubre el programa?</t>
        </r>
      </text>
    </comment>
    <comment ref="F77" authorId="1" shapeId="0">
      <text>
        <r>
          <rPr>
            <sz val="11"/>
            <color theme="1"/>
            <rFont val="Calibri"/>
            <family val="2"/>
            <scheme val="minor"/>
          </rPr>
          <t>Farmacia - Matías:
No tengo consumo</t>
        </r>
      </text>
    </comment>
    <comment ref="B78" authorId="2" shapeId="0">
      <text>
        <r>
          <rPr>
            <sz val="11"/>
            <color theme="1"/>
            <rFont val="Calibri"/>
            <family val="2"/>
            <scheme val="minor"/>
          </rPr>
          <t>Matías:
Desierto 3 veces</t>
        </r>
      </text>
    </comment>
  </commentList>
</comments>
</file>

<file path=xl/comments10.xml><?xml version="1.0" encoding="utf-8"?>
<comments xmlns="http://schemas.openxmlformats.org/spreadsheetml/2006/main">
  <authors>
    <author>Matías</author>
    <author>Farmacia5</author>
    <author>Farmacia - Matías</author>
  </authors>
  <commentList>
    <comment ref="B3" authorId="0" shapeId="0">
      <text>
        <r>
          <rPr>
            <sz val="11"/>
            <color theme="1"/>
            <rFont val="Calibri"/>
            <family val="2"/>
            <scheme val="minor"/>
          </rPr>
          <t>Matías:
Ver posibilidad de intercambio</t>
        </r>
      </text>
    </comment>
    <comment ref="H6" authorId="1" shapeId="0">
      <text>
        <r>
          <rPr>
            <sz val="11"/>
            <color theme="1"/>
            <rFont val="Calibri"/>
            <family val="2"/>
            <scheme val="minor"/>
          </rPr>
          <t xml:space="preserve">Farmacia5:
original era 2000 se subio a 3900, se aprobaron 3000
</t>
        </r>
      </text>
    </comment>
    <comment ref="H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Matías:
Canjear </t>
        </r>
      </text>
    </comment>
    <comment ref="B10" authorId="1" shapeId="0">
      <text>
        <r>
          <rPr>
            <sz val="11"/>
            <color theme="1"/>
            <rFont val="Calibri"/>
            <family val="2"/>
            <scheme val="minor"/>
          </rPr>
          <t>Farmacia5:
Subir cantidad original a 1000</t>
        </r>
      </text>
    </comment>
    <comment ref="F11" authorId="2" shapeId="0">
      <text>
        <r>
          <rPr>
            <sz val="11"/>
            <color theme="1"/>
            <rFont val="Calibri"/>
            <family val="2"/>
            <scheme val="minor"/>
          </rPr>
          <t>Farmacia - Matías:
OJO aumenta consumo por tto de shock medular 15-20 amp x pac</t>
        </r>
      </text>
    </comment>
    <comment ref="B15" authorId="2" shapeId="0">
      <text>
        <r>
          <rPr>
            <sz val="11"/>
            <color theme="1"/>
            <rFont val="Calibri"/>
            <family val="2"/>
            <scheme val="minor"/>
          </rPr>
          <t>Farmacia - Matías:
Post operatorio paratiroides 3 ampollas x dia x 5 dias</t>
        </r>
      </text>
    </comment>
    <comment ref="A18" authorId="1" shapeId="0">
      <text>
        <r>
          <rPr>
            <sz val="11"/>
            <color theme="1"/>
            <rFont val="Calibri"/>
            <family val="2"/>
            <scheme val="minor"/>
          </rPr>
          <t>Farmacia5:
SE CAMBIO CODIGO</t>
        </r>
      </text>
    </comment>
    <comment ref="E26" authorId="2" shapeId="0">
      <text>
        <r>
          <rPr>
            <sz val="11"/>
            <color theme="1"/>
            <rFont val="Calibri"/>
            <family val="2"/>
            <scheme val="minor"/>
          </rPr>
          <t>Farmacia - Matías:
100 ampollas cada 45 dias</t>
        </r>
      </text>
    </comment>
    <comment ref="B30" authorId="2" shapeId="0">
      <text>
        <r>
          <rPr>
            <sz val="11"/>
            <color theme="1"/>
            <rFont val="Calibri"/>
            <family val="2"/>
            <scheme val="minor"/>
          </rPr>
          <t>Farmacia - Matías:
Renal usa 2 por paciente por semana (32 pacientes)</t>
        </r>
      </text>
    </comment>
    <comment ref="R30" authorId="2" shapeId="0">
      <text>
        <r>
          <rPr>
            <sz val="11"/>
            <color theme="1"/>
            <rFont val="Calibri"/>
            <family val="2"/>
            <scheme val="minor"/>
          </rPr>
          <t>Farmacia - Matías:
desde jun 2026</t>
        </r>
      </text>
    </comment>
    <comment ref="I32" authorId="1" shapeId="0">
      <text>
        <r>
          <rPr>
            <sz val="11"/>
            <color theme="1"/>
            <rFont val="Calibri"/>
            <family val="2"/>
            <scheme val="minor"/>
          </rPr>
          <t>Farmacia5:
hay 4920 de 1 gr</t>
        </r>
      </text>
    </comment>
    <comment ref="E35" authorId="2" shapeId="0">
      <text>
        <r>
          <rPr>
            <sz val="11"/>
            <color theme="1"/>
            <rFont val="Calibri"/>
            <family val="2"/>
            <scheme val="minor"/>
          </rPr>
          <t>Farmacia - Matías:
Contemplar aumentar. Revisar</t>
        </r>
      </text>
    </comment>
    <comment ref="B41" authorId="1" shapeId="0">
      <text>
        <r>
          <rPr>
            <sz val="11"/>
            <color theme="1"/>
            <rFont val="Calibri"/>
            <family val="2"/>
            <scheme val="minor"/>
          </rPr>
          <t>Farmacia5:
cambiar codigo por la de 300 ya que la de 250 no se consigue</t>
        </r>
      </text>
    </comment>
    <comment ref="Y41" authorId="2" shapeId="0">
      <text>
        <r>
          <rPr>
            <sz val="11"/>
            <color theme="1"/>
            <rFont val="Calibri"/>
            <family val="2"/>
            <scheme val="minor"/>
          </rPr>
          <t>Farmacia - Matías:
Bago</t>
        </r>
      </text>
    </comment>
    <comment ref="A42" authorId="1" shapeId="0">
      <text>
        <r>
          <rPr>
            <sz val="11"/>
            <color theme="1"/>
            <rFont val="Calibri"/>
            <family val="2"/>
            <scheme val="minor"/>
          </rPr>
          <t>Farmacia5:
VER CODIGO M7201003 TIENE CONSUMO 100 Y STOCK 36</t>
        </r>
      </text>
    </comment>
    <comment ref="B45" authorId="1" shapeId="0">
      <text>
        <r>
          <rPr>
            <sz val="11"/>
            <color theme="1"/>
            <rFont val="Calibri"/>
            <family val="2"/>
            <scheme val="minor"/>
          </rPr>
          <t>Farmacia5:
Pedir mas cantidad para reemplazar parte de 500</t>
        </r>
      </text>
    </comment>
    <comment ref="A51" authorId="2" shapeId="0">
      <text>
        <r>
          <rPr>
            <sz val="11"/>
            <color theme="1"/>
            <rFont val="Calibri"/>
            <family val="2"/>
            <scheme val="minor"/>
          </rPr>
          <t>Farmacia - Matías:
cambiar por codigo de 2 ml M1708135</t>
        </r>
      </text>
    </comment>
    <comment ref="E51" authorId="2" shapeId="0">
      <text>
        <r>
          <rPr>
            <sz val="11"/>
            <color theme="1"/>
            <rFont val="Calibri"/>
            <family val="2"/>
            <scheme val="minor"/>
          </rPr>
          <t>Farmacia - Matías:
+80 SANBER / GESELL</t>
        </r>
      </text>
    </comment>
    <comment ref="B53" authorId="1" shapeId="0">
      <text>
        <r>
          <rPr>
            <sz val="11"/>
            <color theme="1"/>
            <rFont val="Calibri"/>
            <family val="2"/>
            <scheme val="minor"/>
          </rPr>
          <t>Farmacia5:
Pedir de 7,5 que es mas barato</t>
        </r>
      </text>
    </comment>
    <comment ref="D63" authorId="2" shapeId="0">
      <text>
        <r>
          <rPr>
            <sz val="11"/>
            <color theme="1"/>
            <rFont val="Calibri"/>
            <family val="2"/>
            <scheme val="minor"/>
          </rPr>
          <t>Farmacia - Matías:
4-5 pacientes por mes 12 ampollas por dia x 5 dias</t>
        </r>
      </text>
    </comment>
    <comment ref="B65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</t>
        </r>
      </text>
    </comment>
    <comment ref="E66" authorId="2" shapeId="0">
      <text>
        <r>
          <rPr>
            <sz val="11"/>
            <color theme="1"/>
            <rFont val="Calibri"/>
            <family val="2"/>
            <scheme val="minor"/>
          </rPr>
          <t>Farmacia - Matías:
+ 20 GESELL</t>
        </r>
      </text>
    </comment>
    <comment ref="B69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Para cirugia, a razon de 1 FA por paciente, 5 pacientes por día </t>
        </r>
      </text>
    </comment>
    <comment ref="A72" authorId="1" shapeId="0">
      <text>
        <r>
          <rPr>
            <sz val="11"/>
            <color theme="1"/>
            <rFont val="Calibri"/>
            <family val="2"/>
            <scheme val="minor"/>
          </rPr>
          <t>Farmacia5:
SE CAMBIO CODIGO A SULFATO</t>
        </r>
      </text>
    </comment>
    <comment ref="E72" authorId="2" shapeId="0">
      <text>
        <r>
          <rPr>
            <sz val="11"/>
            <color theme="1"/>
            <rFont val="Calibri"/>
            <family val="2"/>
            <scheme val="minor"/>
          </rPr>
          <t>Farmacia - Matías:
Ajustar en base a 2025 por hemodinamia</t>
        </r>
      </text>
    </comment>
    <comment ref="F76" authorId="2" shapeId="0">
      <text>
        <r>
          <rPr>
            <sz val="11"/>
            <color theme="1"/>
            <rFont val="Calibri"/>
            <family val="2"/>
            <scheme val="minor"/>
          </rPr>
          <t>Farmacia - Matías:
HABLAR CON MYRIAM X PACIENTES DE NEURO</t>
        </r>
      </text>
    </comment>
    <comment ref="A79" authorId="1" shapeId="0">
      <text>
        <r>
          <rPr>
            <sz val="11"/>
            <color theme="1"/>
            <rFont val="Calibri"/>
            <family val="2"/>
            <scheme val="minor"/>
          </rPr>
          <t>Farmacia5:
Se habia cargado con codigo M6701001</t>
        </r>
      </text>
    </comment>
    <comment ref="E85" authorId="2" shapeId="0">
      <text>
        <r>
          <rPr>
            <sz val="11"/>
            <color theme="1"/>
            <rFont val="Calibri"/>
            <family val="2"/>
            <scheme val="minor"/>
          </rPr>
          <t>Farmacia - Matías:
revisar consumo real</t>
        </r>
      </text>
    </comment>
    <comment ref="B91" authorId="2" shapeId="0">
      <text>
        <r>
          <rPr>
            <sz val="11"/>
            <color theme="1"/>
            <rFont val="Calibri"/>
            <family val="2"/>
            <scheme val="minor"/>
          </rPr>
          <t>Farmacia - Matías:
de 1 frasco de 4 ml sacamos 40 jeringas. Se usan aprox 6 jeringas por semana. Consumo semestral estimado 4 frascos</t>
        </r>
      </text>
    </comment>
    <comment ref="H92" authorId="2" shapeId="0">
      <text>
        <r>
          <rPr>
            <sz val="11"/>
            <color theme="1"/>
            <rFont val="Calibri"/>
            <family val="2"/>
            <scheme val="minor"/>
          </rPr>
          <t>Farmacia - Matías:
se preadjudican 576</t>
        </r>
      </text>
    </comment>
    <comment ref="B104" authorId="1" shapeId="0">
      <text>
        <r>
          <rPr>
            <sz val="11"/>
            <color theme="1"/>
            <rFont val="Calibri"/>
            <family val="2"/>
            <scheme val="minor"/>
          </rPr>
          <t xml:space="preserve">Farmacia5:
VER DE CAMBIAR EL CODIGO PORQUE ESTAN MANDANDO DE 10 ML </t>
        </r>
      </text>
    </comment>
    <comment ref="B106" authorId="1" shapeId="0">
      <text>
        <r>
          <rPr>
            <sz val="11"/>
            <color theme="1"/>
            <rFont val="Calibri"/>
            <family val="2"/>
            <scheme val="minor"/>
          </rPr>
          <t>Farmacia5:
Tenemos de 6 mg y de 40 mg</t>
        </r>
      </text>
    </comment>
    <comment ref="E106" authorId="2" shapeId="0">
      <text>
        <r>
          <rPr>
            <sz val="11"/>
            <color theme="1"/>
            <rFont val="Calibri"/>
            <family val="2"/>
            <scheme val="minor"/>
          </rPr>
          <t>Farmacia - Matías:
Revisarsi aumenta para 2026</t>
        </r>
      </text>
    </comment>
  </commentList>
</comments>
</file>

<file path=xl/comments11.xml><?xml version="1.0" encoding="utf-8"?>
<comments xmlns="http://schemas.openxmlformats.org/spreadsheetml/2006/main">
  <authors>
    <author>Farmacia - Matías</author>
    <author>Farmacia5</author>
  </authors>
  <commentList>
    <comment ref="M3" authorId="0" shapeId="0">
      <text>
        <r>
          <rPr>
            <sz val="11"/>
            <color theme="1"/>
            <rFont val="Calibri"/>
            <family val="2"/>
            <scheme val="minor"/>
          </rPr>
          <t>Farmacia - Matías:
BINA PHARMA</t>
        </r>
      </text>
    </comment>
    <comment ref="H5" authorId="0" shapeId="0">
      <text>
        <r>
          <rPr>
            <sz val="11"/>
            <color theme="1"/>
            <rFont val="Calibri"/>
            <family val="2"/>
            <scheme val="minor"/>
          </rPr>
          <t>Farmacia - Matías:
original eran 30000</t>
        </r>
      </text>
    </comment>
    <comment ref="H6" authorId="0" shapeId="0">
      <text>
        <r>
          <rPr>
            <sz val="11"/>
            <color theme="1"/>
            <rFont val="Calibri"/>
            <family val="2"/>
            <scheme val="minor"/>
          </rPr>
          <t>Farmacia - Matías:
original eran 4000</t>
        </r>
      </text>
    </comment>
    <comment ref="H7" authorId="0" shapeId="0">
      <text>
        <r>
          <rPr>
            <sz val="11"/>
            <color theme="1"/>
            <rFont val="Calibri"/>
            <family val="2"/>
            <scheme val="minor"/>
          </rPr>
          <t>Farmacia - Matías:
Aumentar a 10000 por lo menos</t>
        </r>
      </text>
    </commen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Farmacia - Matías:
ver si hay codigo nuevo con normativa vigente</t>
        </r>
      </text>
    </comment>
    <comment ref="H12" authorId="0" shapeId="0">
      <text>
        <r>
          <rPr>
            <sz val="11"/>
            <color theme="1"/>
            <rFont val="Calibri"/>
            <family val="2"/>
            <scheme val="minor"/>
          </rPr>
          <t>Farmacia - Matías:
original eran 8000</t>
        </r>
      </text>
    </comment>
    <comment ref="E14" authorId="0" shapeId="0">
      <text>
        <r>
          <rPr>
            <sz val="11"/>
            <color theme="1"/>
            <rFont val="Calibri"/>
            <family val="2"/>
            <scheme val="minor"/>
          </rPr>
          <t>Farmacia - Matías:
sumar 24 para nefrolitiasis</t>
        </r>
      </text>
    </comment>
    <comment ref="B18" authorId="1" shapeId="0">
      <text>
        <r>
          <rPr>
            <sz val="11"/>
            <color theme="1"/>
            <rFont val="Calibri"/>
            <family val="2"/>
            <scheme val="minor"/>
          </rPr>
          <t>Farmacia5:
PEDIR EN LICITACION APARTE</t>
        </r>
      </text>
    </comment>
  </commentList>
</comments>
</file>

<file path=xl/comments12.xml><?xml version="1.0" encoding="utf-8"?>
<comments xmlns="http://schemas.openxmlformats.org/spreadsheetml/2006/main">
  <authors>
    <author>Farmacia - Matías</author>
    <author>Farmacia5</author>
  </authors>
  <commentList>
    <comment ref="E4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mica son 100 litros por mes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Farmacia - Matías:
Subir a 350</t>
        </r>
      </text>
    </comment>
    <comment ref="M10" authorId="0" shapeId="0">
      <text>
        <r>
          <rPr>
            <sz val="11"/>
            <color theme="1"/>
            <rFont val="Calibri"/>
            <family val="2"/>
            <scheme val="minor"/>
          </rPr>
          <t>Farmacia - Matías:
MTU ultra concentrado</t>
        </r>
      </text>
    </comment>
    <comment ref="B13" authorId="0" shapeId="0">
      <text>
        <r>
          <rPr>
            <sz val="11"/>
            <color theme="1"/>
            <rFont val="Calibri"/>
            <family val="2"/>
            <scheme val="minor"/>
          </rPr>
          <t>Farmacia - Matías:
Cambiar codigo a licitar por kg.</t>
        </r>
      </text>
    </comment>
    <comment ref="D13" authorId="0" shapeId="0">
      <text>
        <r>
          <rPr>
            <sz val="11"/>
            <color theme="1"/>
            <rFont val="Calibri"/>
            <family val="2"/>
            <scheme val="minor"/>
          </rPr>
          <t>Farmacia - Matías:
25 kilos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40 KG </t>
        </r>
      </text>
    </comment>
    <comment ref="M14" authorId="0" shapeId="0">
      <text>
        <r>
          <rPr>
            <sz val="11"/>
            <color theme="1"/>
            <rFont val="Calibri"/>
            <family val="2"/>
            <scheme val="minor"/>
          </rPr>
          <t>Farmacia - Matías:
Geloplasma</t>
        </r>
      </text>
    </comment>
    <comment ref="M15" authorId="0" shapeId="0">
      <text>
        <r>
          <rPr>
            <sz val="11"/>
            <color theme="1"/>
            <rFont val="Calibri"/>
            <family val="2"/>
            <scheme val="minor"/>
          </rPr>
          <t>Farmacia - Matías:
Sertex</t>
        </r>
      </text>
    </comment>
    <comment ref="M16" authorId="0" shapeId="0">
      <text>
        <r>
          <rPr>
            <sz val="11"/>
            <color theme="1"/>
            <rFont val="Calibri"/>
            <family val="2"/>
            <scheme val="minor"/>
          </rPr>
          <t>Farmacia - Matías:
Sertex</t>
        </r>
      </text>
    </comment>
    <comment ref="M17" authorId="0" shapeId="0">
      <text>
        <r>
          <rPr>
            <sz val="11"/>
            <color theme="1"/>
            <rFont val="Calibri"/>
            <family val="2"/>
            <scheme val="minor"/>
          </rPr>
          <t>Farmacia - Matías:
sertex</t>
        </r>
      </text>
    </comment>
    <comment ref="E18" authorId="0" shapeId="0">
      <text>
        <r>
          <rPr>
            <sz val="11"/>
            <color theme="1"/>
            <rFont val="Calibri"/>
            <family val="2"/>
            <scheme val="minor"/>
          </rPr>
          <t>Farmacia - Matías:
VER CONSUMO ESTERILIZACION</t>
        </r>
      </text>
    </comment>
    <comment ref="M18" authorId="0" shapeId="0">
      <text>
        <r>
          <rPr>
            <sz val="11"/>
            <color theme="1"/>
            <rFont val="Calibri"/>
            <family val="2"/>
            <scheme val="minor"/>
          </rPr>
          <t>Farmacia - Matías:
sertex</t>
        </r>
      </text>
    </comment>
    <comment ref="B19" authorId="0" shapeId="0">
      <text>
        <r>
          <rPr>
            <sz val="11"/>
            <color theme="1"/>
            <rFont val="Calibri"/>
            <family val="2"/>
            <scheme val="minor"/>
          </rPr>
          <t>Farmacia - Matías:
PEDIR POR Litro. Ajustar cantidad de tiras a 3 x dia</t>
        </r>
      </text>
    </comment>
    <comment ref="B29" authorId="1" shapeId="0">
      <text>
        <r>
          <rPr>
            <sz val="11"/>
            <color theme="1"/>
            <rFont val="Calibri"/>
            <family val="2"/>
            <scheme val="minor"/>
          </rPr>
          <t>Farmacia5:
evaluar la compra de frascos chicos</t>
        </r>
      </text>
    </comment>
    <comment ref="B31" authorId="0" shapeId="0">
      <text>
        <r>
          <rPr>
            <sz val="11"/>
            <color theme="1"/>
            <rFont val="Calibri"/>
            <family val="2"/>
            <scheme val="minor"/>
          </rPr>
          <t>Farmacia - Matías:
2025 Seguir tema falta, sino considerar comprar gelatina</t>
        </r>
      </text>
    </comment>
    <comment ref="M31" authorId="0" shapeId="0">
      <text>
        <r>
          <rPr>
            <sz val="11"/>
            <color theme="1"/>
            <rFont val="Calibri"/>
            <family val="2"/>
            <scheme val="minor"/>
          </rPr>
          <t>Farmacia - Matías:
Gelafundin (alternativa)</t>
        </r>
      </text>
    </comment>
    <comment ref="B32" authorId="0" shapeId="0">
      <text>
        <r>
          <rPr>
            <sz val="11"/>
            <color theme="1"/>
            <rFont val="Calibri"/>
            <family val="2"/>
            <scheme val="minor"/>
          </rPr>
          <t>Farmacia - Matías:
La prepara la perfusionista</t>
        </r>
      </text>
    </comment>
    <comment ref="P35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29/08 - Se presentan con la de 100 mg. Ver si esta en falta, en caso de que vuelva a suceder pedir todo de 100 mg. </t>
        </r>
      </text>
    </comment>
  </commentList>
</comments>
</file>

<file path=xl/comments13.xml><?xml version="1.0" encoding="utf-8"?>
<comments xmlns="http://schemas.openxmlformats.org/spreadsheetml/2006/main">
  <authors>
    <author>Farmacia - Matías</author>
    <author>Matías</author>
    <author>Farmacia5</author>
  </authors>
  <commentList>
    <comment ref="B3" authorId="0" shapeId="0">
      <text>
        <r>
          <rPr>
            <sz val="11"/>
            <color theme="1"/>
            <rFont val="Calibri"/>
            <family val="2"/>
            <scheme val="minor"/>
          </rPr>
          <t>Farmacia - Matías:
ver de pedir algo de extra nitrogeno (consensuar antes)</t>
        </r>
      </text>
    </comment>
    <comment ref="E3" authorId="1" shapeId="0">
      <text>
        <r>
          <rPr>
            <sz val="11"/>
            <color theme="1"/>
            <rFont val="Calibri"/>
            <family val="2"/>
            <scheme val="minor"/>
          </rPr>
          <t>Matías:
ENTRE 4 Y 5 PACIENTES DIA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Farmacia - Matías:
Jevity (ver con nutri si entra)</t>
        </r>
      </text>
    </comment>
    <comment ref="E6" authorId="0" shapeId="0">
      <text>
        <r>
          <rPr>
            <sz val="11"/>
            <color theme="1"/>
            <rFont val="Calibri"/>
            <family val="2"/>
            <scheme val="minor"/>
          </rPr>
          <t>Farmacia - Matías:
2025 según nutri 292</t>
        </r>
      </text>
    </comment>
    <comment ref="M6" authorId="0" shapeId="0">
      <text>
        <r>
          <rPr>
            <sz val="11"/>
            <color theme="1"/>
            <rFont val="Calibri"/>
            <family val="2"/>
            <scheme val="minor"/>
          </rPr>
          <t>Farmacia - Matías:
Fresubin energy</t>
        </r>
      </text>
    </comment>
    <comment ref="C7" authorId="1" shapeId="0">
      <text>
        <r>
          <rPr>
            <sz val="11"/>
            <color theme="1"/>
            <rFont val="Calibri"/>
            <family val="2"/>
            <scheme val="minor"/>
          </rPr>
          <t xml:space="preserve">Matías:
708 ENVASESE MENSUALES REFIERE NUTRI
</t>
        </r>
      </text>
    </comment>
    <comment ref="D7" authorId="1" shapeId="0">
      <text>
        <r>
          <rPr>
            <sz val="11"/>
            <color theme="1"/>
            <rFont val="Calibri"/>
            <family val="2"/>
            <scheme val="minor"/>
          </rPr>
          <t xml:space="preserve">Matías:
850 ENVASESE MENSUALES para piso y resto ambulatorio (hasta 1500) REFIERE NUTRI
</t>
        </r>
      </text>
    </comment>
    <comment ref="E7" authorId="1" shapeId="0">
      <text>
        <r>
          <rPr>
            <sz val="11"/>
            <color theme="1"/>
            <rFont val="Calibri"/>
            <family val="2"/>
            <scheme val="minor"/>
          </rPr>
          <t xml:space="preserve">Matías:
850 ENVASESE MENSUALES para piso y resto ambulatorio (hasta 1500) REFIERE NUTRI
2025 Según nutri 571 </t>
        </r>
      </text>
    </comment>
    <comment ref="F7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Real consumo 2025 508 mensuales. Se contempla excedente ambulatorio domiciliario. </t>
        </r>
      </text>
    </comment>
    <comment ref="M7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Fresubin </t>
        </r>
      </text>
    </comment>
    <comment ref="A8" authorId="2" shapeId="0">
      <text>
        <r>
          <rPr>
            <sz val="11"/>
            <color theme="1"/>
            <rFont val="Calibri"/>
            <family val="2"/>
            <scheme val="minor"/>
          </rPr>
          <t>Farmacia5:
CAMBIAR POR M5004013</t>
        </r>
      </text>
    </comment>
    <comment ref="B8" authorId="0" shapeId="0">
      <text>
        <r>
          <rPr>
            <sz val="11"/>
            <color theme="1"/>
            <rFont val="Calibri"/>
            <family val="2"/>
            <scheme val="minor"/>
          </rPr>
          <t>Farmacia - Matías:
ENSURE CLINICA RTH PUEDE DAR ORAL Y ENTERAL</t>
        </r>
      </text>
    </comment>
    <comment ref="C8" authorId="1" shapeId="0">
      <text>
        <r>
          <rPr>
            <sz val="11"/>
            <color theme="1"/>
            <rFont val="Calibri"/>
            <family val="2"/>
            <scheme val="minor"/>
          </rPr>
          <t>Matías:
SEGÚN NUTRI PARA PACIENTES CRITICOS</t>
        </r>
      </text>
    </comment>
    <comment ref="D8" authorId="1" shapeId="0">
      <text>
        <r>
          <rPr>
            <sz val="11"/>
            <color theme="1"/>
            <rFont val="Calibri"/>
            <family val="2"/>
            <scheme val="minor"/>
          </rPr>
          <t>Matías:
SEGÚN NUTRI PARA PACIENTES CRITICOS</t>
        </r>
      </text>
    </comment>
    <comment ref="E8" authorId="1" shapeId="0">
      <text>
        <r>
          <rPr>
            <sz val="11"/>
            <color theme="1"/>
            <rFont val="Calibri"/>
            <family val="2"/>
            <scheme val="minor"/>
          </rPr>
          <t>Matías:
SEGÚN NUTRI PARA PACIENTES CRITICOS
2025 según nutri 835</t>
        </r>
      </text>
    </comment>
    <comment ref="F8" authorId="0" shapeId="0">
      <text>
        <r>
          <rPr>
            <sz val="11"/>
            <color theme="1"/>
            <rFont val="Calibri"/>
            <family val="2"/>
            <scheme val="minor"/>
          </rPr>
          <t>Farmacia - Matías:
real 787</t>
        </r>
      </text>
    </comment>
    <comment ref="M8" authorId="0" shapeId="0">
      <text>
        <r>
          <rPr>
            <sz val="11"/>
            <color theme="1"/>
            <rFont val="Calibri"/>
            <family val="2"/>
            <scheme val="minor"/>
          </rPr>
          <t>Farmacia - Matías:
Ensure Clinical RTH</t>
        </r>
      </text>
    </comment>
    <comment ref="C9" authorId="1" shapeId="0">
      <text>
        <r>
          <rPr>
            <sz val="11"/>
            <color theme="1"/>
            <rFont val="Calibri"/>
            <family val="2"/>
            <scheme val="minor"/>
          </rPr>
          <t>Matías:
SEGÚN NUTRI PARA ONCO</t>
        </r>
      </text>
    </comment>
    <comment ref="D9" authorId="1" shapeId="0">
      <text>
        <r>
          <rPr>
            <sz val="11"/>
            <color theme="1"/>
            <rFont val="Calibri"/>
            <family val="2"/>
            <scheme val="minor"/>
          </rPr>
          <t>Matías:
SEGÚN NUTRI PARA ONCO (NEUTROPENICOS)</t>
        </r>
      </text>
    </comment>
    <comment ref="E9" authorId="1" shapeId="0">
      <text>
        <r>
          <rPr>
            <sz val="11"/>
            <color theme="1"/>
            <rFont val="Calibri"/>
            <family val="2"/>
            <scheme val="minor"/>
          </rPr>
          <t>Matías:
SEGÚN NUTRI PARA ONCO (NEUTROPENICOS)</t>
        </r>
      </text>
    </comment>
    <comment ref="F9" authorId="0" shapeId="0">
      <text>
        <r>
          <rPr>
            <sz val="11"/>
            <color theme="1"/>
            <rFont val="Calibri"/>
            <family val="2"/>
            <scheme val="minor"/>
          </rPr>
          <t>Farmacia - Matías:
Real 64</t>
        </r>
      </text>
    </comment>
    <comment ref="C10" authorId="2" shapeId="0">
      <text>
        <r>
          <rPr>
            <sz val="11"/>
            <color theme="1"/>
            <rFont val="Calibri"/>
            <family val="2"/>
            <scheme val="minor"/>
          </rPr>
          <t>Farmacia5:
Según nutri consumo es 47 latas</t>
        </r>
      </text>
    </comment>
    <comment ref="D10" authorId="2" shapeId="0">
      <text>
        <r>
          <rPr>
            <sz val="11"/>
            <color theme="1"/>
            <rFont val="Calibri"/>
            <family val="2"/>
            <scheme val="minor"/>
          </rPr>
          <t>Farmacia5:
Según nutri consumo es 35 latas</t>
        </r>
      </text>
    </comment>
    <comment ref="E10" authorId="2" shapeId="0">
      <text>
        <r>
          <rPr>
            <sz val="11"/>
            <color theme="1"/>
            <rFont val="Calibri"/>
            <family val="2"/>
            <scheme val="minor"/>
          </rPr>
          <t>Farmacia5:
Según nutri consumo es 35 latas</t>
        </r>
      </text>
    </comment>
    <comment ref="F10" authorId="0" shapeId="0">
      <text>
        <r>
          <rPr>
            <sz val="11"/>
            <color theme="1"/>
            <rFont val="Calibri"/>
            <family val="2"/>
            <scheme val="minor"/>
          </rPr>
          <t>Farmacia - Matías:
32 real</t>
        </r>
      </text>
    </comment>
    <comment ref="C11" authorId="0" shapeId="0">
      <text>
        <r>
          <rPr>
            <sz val="11"/>
            <color theme="1"/>
            <rFont val="Calibri"/>
            <family val="2"/>
            <scheme val="minor"/>
          </rPr>
          <t>Farmacia - Matías:
106 refiere nutri</t>
        </r>
      </text>
    </comment>
    <comment ref="D11" authorId="0" shapeId="0">
      <text>
        <r>
          <rPr>
            <sz val="11"/>
            <color theme="1"/>
            <rFont val="Calibri"/>
            <family val="2"/>
            <scheme val="minor"/>
          </rPr>
          <t>Farmacia - Matías:
100 refiere nutri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>Farmacia - Matías:
100 refiere nutri</t>
        </r>
      </text>
    </comment>
    <comment ref="D15" authorId="0" shapeId="0">
      <text>
        <r>
          <rPr>
            <sz val="11"/>
            <color theme="1"/>
            <rFont val="Calibri"/>
            <family val="2"/>
            <scheme val="minor"/>
          </rPr>
          <t>Farmacia - Matías:
PARA SOPORTE NUTRICIONAL SIN CONTEMPLAR A NUTRICION</t>
        </r>
      </text>
    </comment>
    <comment ref="D16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ESTIMADO - 1000 GR MENSUALES
</t>
        </r>
      </text>
    </comment>
    <comment ref="D17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18 KG TOTALES PARA NUTRICIÓN QUE PUEDE SER TANTO WHEY PROTEIN (PREFERENTEMENTE POR COSTO) O SECALBUM O SIMILARES
</t>
        </r>
      </text>
    </comment>
    <comment ref="A24" authorId="2" shapeId="0">
      <text>
        <r>
          <rPr>
            <sz val="11"/>
            <color theme="1"/>
            <rFont val="Calibri"/>
            <family val="2"/>
            <scheme val="minor"/>
          </rPr>
          <t>Farmacia5:
Usar M5004011 porque viene de medio litro y nos queda desierto</t>
        </r>
      </text>
    </comment>
    <comment ref="B24" authorId="0" shapeId="0">
      <text>
        <r>
          <rPr>
            <sz val="11"/>
            <color theme="1"/>
            <rFont val="Calibri"/>
            <family val="2"/>
            <scheme val="minor"/>
          </rPr>
          <t>Farmacia - Matías:
VER SI ES NECESARIO COMPRARLO</t>
        </r>
      </text>
    </comment>
    <comment ref="C24" authorId="1" shapeId="0">
      <text>
        <r>
          <rPr>
            <sz val="11"/>
            <color theme="1"/>
            <rFont val="Calibri"/>
            <family val="2"/>
            <scheme val="minor"/>
          </rPr>
          <t>Matías:
SEGÚN NUTRICION 8 LITROS MENSUALES</t>
        </r>
      </text>
    </comment>
    <comment ref="D24" authorId="1" shapeId="0">
      <text>
        <r>
          <rPr>
            <sz val="11"/>
            <color theme="1"/>
            <rFont val="Calibri"/>
            <family val="2"/>
            <scheme val="minor"/>
          </rPr>
          <t>Matías:
SEGÚN NUTRICION 8 LITROS MENSUALES</t>
        </r>
      </text>
    </comment>
    <comment ref="M24" authorId="2" shapeId="0">
      <text>
        <r>
          <rPr>
            <sz val="11"/>
            <color theme="1"/>
            <rFont val="Calibri"/>
            <family val="2"/>
            <scheme val="minor"/>
          </rPr>
          <t>Farmacia5:
Survimed OPD HN 500 ml x 96</t>
        </r>
      </text>
    </comment>
    <comment ref="Y24" authorId="2" shapeId="0">
      <text>
        <r>
          <rPr>
            <sz val="11"/>
            <color theme="1"/>
            <rFont val="Calibri"/>
            <family val="2"/>
            <scheme val="minor"/>
          </rPr>
          <t>Farmacia5:
Equivale a 629,20 de 500 ml</t>
        </r>
      </text>
    </comment>
  </commentList>
</comments>
</file>

<file path=xl/comments14.xml><?xml version="1.0" encoding="utf-8"?>
<comments xmlns="http://schemas.openxmlformats.org/spreadsheetml/2006/main">
  <authors>
    <author>Farmacia - Matías</author>
    <author>Matías</author>
  </authors>
  <commentList>
    <comment ref="E3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OFTALMO AMBULATORIO 60 MENSUAL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Farmacia - Matías:
Contemplar rotar a pancuronio debido a un menor costo. Para insuficiencia renal es de elección.</t>
        </r>
      </text>
    </comment>
    <comment ref="G6" authorId="0" shapeId="0">
      <text>
        <r>
          <rPr>
            <sz val="11"/>
            <color theme="1"/>
            <rFont val="Calibri"/>
            <family val="2"/>
            <scheme val="minor"/>
          </rPr>
          <t>Farmacia - Matías:
28/02 vto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>Farmacia - Matías:
Ajustar a 200</t>
        </r>
      </text>
    </comment>
    <comment ref="C30" authorId="1" shapeId="0">
      <text>
        <r>
          <rPr>
            <sz val="11"/>
            <color theme="1"/>
            <rFont val="Calibri"/>
            <family val="2"/>
            <scheme val="minor"/>
          </rPr>
          <t>Matías:
385 EN 3 MESES EN ABRIL 2019</t>
        </r>
      </text>
    </comment>
    <comment ref="B31" authorId="0" shapeId="0">
      <text>
        <r>
          <rPr>
            <sz val="11"/>
            <color theme="1"/>
            <rFont val="Calibri"/>
            <family val="2"/>
            <scheme val="minor"/>
          </rPr>
          <t>Farmacia - Matías:
Para paciente de dificil intubación. Con sugamadex como antídoto
Evaluar alternativa a comprar para tener en guardia.</t>
        </r>
      </text>
    </comment>
    <comment ref="M32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29/08 - Se presentan con la de 100 mg. Ver si esta en falta, en caso de que vuelva a suceder pedir todo de 100 mg. </t>
        </r>
      </text>
    </comment>
    <comment ref="B33" authorId="0" shapeId="0">
      <text>
        <r>
          <rPr>
            <sz val="11"/>
            <color theme="1"/>
            <rFont val="Calibri"/>
            <family val="2"/>
            <scheme val="minor"/>
          </rPr>
          <t>Farmacia - Matías:
1 a 2 ampollas por paciente</t>
        </r>
      </text>
    </comment>
    <comment ref="B35" authorId="0" shapeId="0">
      <text>
        <r>
          <rPr>
            <sz val="11"/>
            <color theme="1"/>
            <rFont val="Calibri"/>
            <family val="2"/>
            <scheme val="minor"/>
          </rPr>
          <t>Farmacia - Matías:
Para intubación general.</t>
        </r>
      </text>
    </comment>
  </commentList>
</comments>
</file>

<file path=xl/comments15.xml><?xml version="1.0" encoding="utf-8"?>
<comments xmlns="http://schemas.openxmlformats.org/spreadsheetml/2006/main">
  <authors>
    <author>Matías</author>
    <author>Farmacia5</author>
    <author>Farmacia - Matías</author>
  </authors>
  <commentList>
    <comment ref="B4" authorId="0" shapeId="0">
      <text>
        <r>
          <rPr>
            <sz val="11"/>
            <color theme="1"/>
            <rFont val="Calibri"/>
            <family val="2"/>
            <scheme val="minor"/>
          </rPr>
          <t>Matías:
VER DE PEDIR DE 200 MG</t>
        </r>
      </text>
    </comment>
    <comment ref="B5" authorId="1" shapeId="0">
      <text>
        <r>
          <rPr>
            <sz val="11"/>
            <color theme="1"/>
            <rFont val="Calibri"/>
            <family val="2"/>
            <scheme val="minor"/>
          </rPr>
          <t>Farmacia5:
AJUSTAR CONSUMO A 2000 SEMANALES</t>
        </r>
      </text>
    </comment>
    <comment ref="G5" authorId="0" shapeId="0">
      <text>
        <r>
          <rPr>
            <sz val="11"/>
            <color theme="1"/>
            <rFont val="Calibri"/>
            <family val="2"/>
            <scheme val="minor"/>
          </rPr>
          <t>Matías:
DURARON 1 SEMANA</t>
        </r>
      </text>
    </comment>
    <comment ref="E16" authorId="2" shapeId="0">
      <text>
        <r>
          <rPr>
            <sz val="11"/>
            <color theme="1"/>
            <rFont val="Calibri"/>
            <family val="2"/>
            <scheme val="minor"/>
          </rPr>
          <t>Farmacia - Matías:
+ 20 DE SANBER</t>
        </r>
      </text>
    </comment>
    <comment ref="B26" authorId="2" shapeId="0">
      <text>
        <r>
          <rPr>
            <sz val="11"/>
            <color theme="1"/>
            <rFont val="Calibri"/>
            <family val="2"/>
            <scheme val="minor"/>
          </rPr>
          <t>Farmacia - Matías:
Pedir ranurada</t>
        </r>
      </text>
    </comment>
    <comment ref="E26" authorId="2" shapeId="0">
      <text>
        <r>
          <rPr>
            <sz val="11"/>
            <color theme="1"/>
            <rFont val="Calibri"/>
            <family val="2"/>
            <scheme val="minor"/>
          </rPr>
          <t>Farmacia - Matías:
Bajar a 1500</t>
        </r>
      </text>
    </comment>
    <comment ref="B28" authorId="0" shapeId="0">
      <text>
        <r>
          <rPr>
            <sz val="11"/>
            <color theme="1"/>
            <rFont val="Calibri"/>
            <family val="2"/>
            <scheme val="minor"/>
          </rPr>
          <t xml:space="preserve">Matías:
HUBO FALTA DE AMPOLLAS
</t>
        </r>
      </text>
    </comment>
    <comment ref="B30" authorId="0" shapeId="0">
      <text>
        <r>
          <rPr>
            <sz val="11"/>
            <color theme="1"/>
            <rFont val="Calibri"/>
            <family val="2"/>
            <scheme val="minor"/>
          </rPr>
          <t>Matías:
pedir de 40  M2615209
Se solicitan 60000 semestral. Evaluar subir cantidad.</t>
        </r>
      </text>
    </comment>
    <comment ref="E30" authorId="2" shapeId="0">
      <text>
        <r>
          <rPr>
            <sz val="11"/>
            <color theme="1"/>
            <rFont val="Calibri"/>
            <family val="2"/>
            <scheme val="minor"/>
          </rPr>
          <t>Farmacia - Matías:
Subir a 21000</t>
        </r>
      </text>
    </comment>
    <comment ref="D31" authorId="1" shapeId="0">
      <text>
        <r>
          <rPr>
            <sz val="11"/>
            <color theme="1"/>
            <rFont val="Calibri"/>
            <family val="2"/>
            <scheme val="minor"/>
          </rPr>
          <t>Farmacia5:
En prueba</t>
        </r>
      </text>
    </comment>
    <comment ref="E31" authorId="2" shapeId="0">
      <text>
        <r>
          <rPr>
            <sz val="11"/>
            <color theme="1"/>
            <rFont val="Calibri"/>
            <family val="2"/>
            <scheme val="minor"/>
          </rPr>
          <t>Farmacia - Matías
Subir a 3500</t>
        </r>
      </text>
    </comment>
    <comment ref="A41" authorId="0" shapeId="0">
      <text>
        <r>
          <rPr>
            <sz val="11"/>
            <color theme="1"/>
            <rFont val="Calibri"/>
            <family val="2"/>
            <scheme val="minor"/>
          </rPr>
          <t xml:space="preserve">Matías:
según ministerio M0141269 pero el codigo es por 30 comp
</t>
        </r>
      </text>
    </comment>
    <comment ref="E43" authorId="2" shapeId="0">
      <text>
        <r>
          <rPr>
            <sz val="11"/>
            <color theme="1"/>
            <rFont val="Calibri"/>
            <family val="2"/>
            <scheme val="minor"/>
          </rPr>
          <t>Farmacia - Matías:
BAJAR A 300</t>
        </r>
      </text>
    </comment>
    <comment ref="E48" authorId="2" shapeId="0">
      <text>
        <r>
          <rPr>
            <sz val="11"/>
            <color theme="1"/>
            <rFont val="Calibri"/>
            <family val="2"/>
            <scheme val="minor"/>
          </rPr>
          <t>Farmacia - Matías:
Subir a 6000</t>
        </r>
      </text>
    </comment>
    <comment ref="E53" authorId="2" shapeId="0">
      <text>
        <r>
          <rPr>
            <sz val="11"/>
            <color theme="1"/>
            <rFont val="Calibri"/>
            <family val="2"/>
            <scheme val="minor"/>
          </rPr>
          <t>Farmacia - Matías:
bajar a 200</t>
        </r>
      </text>
    </comment>
    <comment ref="E55" authorId="2" shapeId="0">
      <text>
        <r>
          <rPr>
            <sz val="11"/>
            <color theme="1"/>
            <rFont val="Calibri"/>
            <family val="2"/>
            <scheme val="minor"/>
          </rPr>
          <t>Farmacia - Matías:
Bajar a 400. analizar consumo de este y los otros mtx</t>
        </r>
      </text>
    </comment>
    <comment ref="E60" authorId="2" shapeId="0">
      <text>
        <r>
          <rPr>
            <sz val="11"/>
            <color theme="1"/>
            <rFont val="Calibri"/>
            <family val="2"/>
            <scheme val="minor"/>
          </rPr>
          <t>Farmacia - Matías:
Bajar a 18000</t>
        </r>
      </text>
    </comment>
    <comment ref="B61" authorId="1" shapeId="0">
      <text>
        <r>
          <rPr>
            <sz val="11"/>
            <color theme="1"/>
            <rFont val="Calibri"/>
            <family val="2"/>
            <scheme val="minor"/>
          </rPr>
          <t>Farmacia5:
SUBIR CANTIDAD Y EVALUAR PEDIR DE 1 GR</t>
        </r>
      </text>
    </comment>
    <comment ref="E62" authorId="2" shapeId="0">
      <text>
        <r>
          <rPr>
            <sz val="11"/>
            <color theme="1"/>
            <rFont val="Calibri"/>
            <family val="2"/>
            <scheme val="minor"/>
          </rPr>
          <t>Farmacia - Matías:
+ 25 PARA SANBER</t>
        </r>
      </text>
    </comment>
    <comment ref="F65" authorId="2" shapeId="0">
      <text>
        <r>
          <rPr>
            <sz val="11"/>
            <color theme="1"/>
            <rFont val="Calibri"/>
            <family val="2"/>
            <scheme val="minor"/>
          </rPr>
          <t>Farmacia - Matías:
20 sanber, 5 gesell</t>
        </r>
      </text>
    </comment>
    <comment ref="E66" authorId="2" shapeId="0">
      <text>
        <r>
          <rPr>
            <sz val="11"/>
            <color theme="1"/>
            <rFont val="Calibri"/>
            <family val="2"/>
            <scheme val="minor"/>
          </rPr>
          <t>Farmacia - Matías:
2025 aumentar a 4000</t>
        </r>
      </text>
    </comment>
    <comment ref="F73" authorId="2" shapeId="0">
      <text>
        <r>
          <rPr>
            <sz val="11"/>
            <color theme="1"/>
            <rFont val="Calibri"/>
            <family val="2"/>
            <scheme val="minor"/>
          </rPr>
          <t>Farmacia - Matías:
50 sanber, 10 gesell</t>
        </r>
      </text>
    </comment>
    <comment ref="F74" authorId="2" shapeId="0">
      <text>
        <r>
          <rPr>
            <sz val="11"/>
            <color theme="1"/>
            <rFont val="Calibri"/>
            <family val="2"/>
            <scheme val="minor"/>
          </rPr>
          <t>Farmacia - Matías:
50 sanber, 10 gesell</t>
        </r>
      </text>
    </comment>
    <comment ref="F75" authorId="2" shapeId="0">
      <text>
        <r>
          <rPr>
            <sz val="11"/>
            <color theme="1"/>
            <rFont val="Calibri"/>
            <family val="2"/>
            <scheme val="minor"/>
          </rPr>
          <t>Farmacia - Matías:
gesell</t>
        </r>
      </text>
    </comment>
    <comment ref="F76" authorId="2" shapeId="0">
      <text>
        <r>
          <rPr>
            <sz val="11"/>
            <color theme="1"/>
            <rFont val="Calibri"/>
            <family val="2"/>
            <scheme val="minor"/>
          </rPr>
          <t>Farmacia - Matías:
50 sanber, 10 gesell</t>
        </r>
      </text>
    </comment>
    <comment ref="F79" authorId="2" shapeId="0">
      <text>
        <r>
          <rPr>
            <sz val="11"/>
            <color theme="1"/>
            <rFont val="Calibri"/>
            <family val="2"/>
            <scheme val="minor"/>
          </rPr>
          <t>Farmacia - Matías:
50 sanber, 10 gesell</t>
        </r>
      </text>
    </comment>
    <comment ref="F80" authorId="2" shapeId="0">
      <text>
        <r>
          <rPr>
            <sz val="11"/>
            <color theme="1"/>
            <rFont val="Calibri"/>
            <family val="2"/>
            <scheme val="minor"/>
          </rPr>
          <t>Farmacia - Matías:
50 sanber, 25 gesell</t>
        </r>
      </text>
    </comment>
    <comment ref="E82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+20 DE SANBER + 10 GESELL
</t>
        </r>
      </text>
    </comment>
    <comment ref="F82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20 sanber, 5 gesell
</t>
        </r>
      </text>
    </comment>
    <comment ref="M85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cotiza 250 25. </t>
        </r>
      </text>
    </comment>
    <comment ref="F87" authorId="2" shapeId="0">
      <text>
        <r>
          <rPr>
            <sz val="11"/>
            <color theme="1"/>
            <rFont val="Calibri"/>
            <family val="2"/>
            <scheme val="minor"/>
          </rPr>
          <t>Farmacia - Matías:
gesell</t>
        </r>
      </text>
    </comment>
  </commentList>
</comments>
</file>

<file path=xl/comments16.xml><?xml version="1.0" encoding="utf-8"?>
<comments xmlns="http://schemas.openxmlformats.org/spreadsheetml/2006/main">
  <authors>
    <author>Farmacia - Matías</author>
    <author>Farmacia5</author>
  </authors>
  <commentList>
    <comment ref="H8" authorId="0" shapeId="0">
      <text>
        <r>
          <rPr>
            <sz val="11"/>
            <color theme="1"/>
            <rFont val="Calibri"/>
            <family val="2"/>
            <scheme val="minor"/>
          </rPr>
          <t>Farmacia - Matías:
sumar 60 pacientes extra para oftalmo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OFTALMO SUBIR CONSUMO</t>
        </r>
      </text>
    </comment>
    <comment ref="B16" authorId="1" shapeId="0">
      <text>
        <r>
          <rPr>
            <sz val="11"/>
            <color theme="1"/>
            <rFont val="Calibri"/>
            <family val="2"/>
            <scheme val="minor"/>
          </rPr>
          <t>Farmacia5:
Solicitar a través de programa de diversidad sexual</t>
        </r>
      </text>
    </comment>
    <comment ref="E16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programa diversidad 10 gel x mes</t>
        </r>
      </text>
    </comment>
    <comment ref="T16" authorId="0" shapeId="0">
      <text>
        <r>
          <rPr>
            <sz val="11"/>
            <color theme="1"/>
            <rFont val="Calibri"/>
            <family val="2"/>
            <scheme val="minor"/>
          </rPr>
          <t>Farmacia - Matías:
CONTEMPLA CONSUMO PARA PROGRAMA DE DIVERSIDAD</t>
        </r>
      </text>
    </comment>
    <comment ref="A23" authorId="1" shapeId="0">
      <text>
        <r>
          <rPr>
            <sz val="11"/>
            <color theme="1"/>
            <rFont val="Calibri"/>
            <family val="2"/>
            <scheme val="minor"/>
          </rPr>
          <t>Farmacia5:
usar codigo M2401034</t>
        </r>
      </text>
    </comment>
    <comment ref="E23" authorId="0" shapeId="0">
      <text>
        <r>
          <rPr>
            <sz val="11"/>
            <color theme="1"/>
            <rFont val="Calibri"/>
            <family val="2"/>
            <scheme val="minor"/>
          </rPr>
          <t>Farmacia - Matías:
+ 20 DE SANBER</t>
        </r>
      </text>
    </comment>
    <comment ref="E24" authorId="0" shapeId="0">
      <text>
        <r>
          <rPr>
            <sz val="11"/>
            <color theme="1"/>
            <rFont val="Calibri"/>
            <family val="2"/>
            <scheme val="minor"/>
          </rPr>
          <t>Farmacia - Matías:
+ 20 SANBER</t>
        </r>
      </text>
    </comment>
    <comment ref="E26" authorId="0" shapeId="0">
      <text>
        <r>
          <rPr>
            <sz val="11"/>
            <color theme="1"/>
            <rFont val="Calibri"/>
            <family val="2"/>
            <scheme val="minor"/>
          </rPr>
          <t>Farmacia - Matías:
SEGÚN OFTALMO 20 MENSUALES</t>
        </r>
      </text>
    </comment>
    <comment ref="E42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+ 2 GESELL
</t>
        </r>
      </text>
    </comment>
    <comment ref="B46" authorId="1" shapeId="0">
      <text>
        <r>
          <rPr>
            <sz val="11"/>
            <color theme="1"/>
            <rFont val="Calibri"/>
            <family val="2"/>
            <scheme val="minor"/>
          </rPr>
          <t>Farmacia5:
Cambiar a M2709127 que es bude spray de 200 mcg</t>
        </r>
      </text>
    </comment>
    <comment ref="E55" authorId="0" shapeId="0">
      <text>
        <r>
          <rPr>
            <sz val="11"/>
            <color theme="1"/>
            <rFont val="Calibri"/>
            <family val="2"/>
            <scheme val="minor"/>
          </rPr>
          <t>Farmacia - Matías:
+30 DE SANBER</t>
        </r>
      </text>
    </comment>
    <comment ref="B57" authorId="0" shapeId="0">
      <text>
        <r>
          <rPr>
            <sz val="11"/>
            <color theme="1"/>
            <rFont val="Calibri"/>
            <family val="2"/>
            <scheme val="minor"/>
          </rPr>
          <t>Farmacia - Matías:
SACAR DE ACA Y DEJAR EN ATB</t>
        </r>
      </text>
    </comment>
    <comment ref="B59" authorId="1" shapeId="0">
      <text>
        <r>
          <rPr>
            <sz val="11"/>
            <color theme="1"/>
            <rFont val="Calibri"/>
            <family val="2"/>
            <scheme val="minor"/>
          </rPr>
          <t>Farmacia5:
CAMBIAR POR CODIGO M2401065 25/125</t>
        </r>
      </text>
    </comment>
    <comment ref="H65" authorId="0" shapeId="0">
      <text>
        <r>
          <rPr>
            <sz val="11"/>
            <color theme="1"/>
            <rFont val="Calibri"/>
            <family val="2"/>
            <scheme val="minor"/>
          </rPr>
          <t>Farmacia - Matías:
sumar 60 pacientes extra para oftalmo</t>
        </r>
      </text>
    </comment>
    <comment ref="B67" authorId="1" shapeId="0">
      <text>
        <r>
          <rPr>
            <sz val="11"/>
            <color theme="1"/>
            <rFont val="Calibri"/>
            <family val="2"/>
            <scheme val="minor"/>
          </rPr>
          <t xml:space="preserve">Farmacia5:
VER CONSUMOS Y SINO SACAR 
</t>
        </r>
      </text>
    </comment>
  </commentList>
</comments>
</file>

<file path=xl/comments17.xml><?xml version="1.0" encoding="utf-8"?>
<comments xmlns="http://schemas.openxmlformats.org/spreadsheetml/2006/main">
  <authors>
    <author>Farmacia - Matías</author>
    <author>Matías</author>
    <author>Farmacia5</author>
  </authors>
  <commentList>
    <comment ref="M4" authorId="0" shapeId="0">
      <text>
        <r>
          <rPr>
            <sz val="11"/>
            <color theme="1"/>
            <rFont val="Calibri"/>
            <family val="2"/>
            <scheme val="minor"/>
          </rPr>
          <t>Farmacia - Matías:
k dial</t>
        </r>
      </text>
    </comment>
    <comment ref="M5" authorId="0" shapeId="0">
      <text>
        <r>
          <rPr>
            <sz val="11"/>
            <color theme="1"/>
            <rFont val="Calibri"/>
            <family val="2"/>
            <scheme val="minor"/>
          </rPr>
          <t>Farmacia - Matías:
fresenius</t>
        </r>
      </text>
    </comment>
    <comment ref="M6" authorId="0" shapeId="0">
      <text>
        <r>
          <rPr>
            <sz val="11"/>
            <color theme="1"/>
            <rFont val="Calibri"/>
            <family val="2"/>
            <scheme val="minor"/>
          </rPr>
          <t>Farmacia - Matías:
K dial</t>
        </r>
      </text>
    </comment>
    <comment ref="A7" authorId="1" shapeId="0">
      <text>
        <r>
          <rPr>
            <sz val="11"/>
            <color theme="1"/>
            <rFont val="Calibri"/>
            <family val="2"/>
            <scheme val="minor"/>
          </rPr>
          <t>Matías:
ALTERNATIVA  M2022239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Farmacia - Matías:
VER CON NATALIA DE NEFRO PARA NO DUPLICAR PEDIDOS.</t>
        </r>
      </text>
    </comment>
    <comment ref="C7" authorId="1" shapeId="0">
      <text>
        <r>
          <rPr>
            <sz val="11"/>
            <color theme="1"/>
            <rFont val="Calibri"/>
            <family val="2"/>
            <scheme val="minor"/>
          </rPr>
          <t>Matías:
Según nefro 23 semestral</t>
        </r>
      </text>
    </comment>
    <comment ref="M7" authorId="0" shapeId="0">
      <text>
        <r>
          <rPr>
            <sz val="11"/>
            <color theme="1"/>
            <rFont val="Calibri"/>
            <family val="2"/>
            <scheme val="minor"/>
          </rPr>
          <t>Farmacia - Matías:
Fresenius</t>
        </r>
      </text>
    </comment>
    <comment ref="D8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Farmacia5:
Solicitan 250… ver con el acido acetico glacial
</t>
        </r>
      </text>
    </comment>
  </commentList>
</comments>
</file>

<file path=xl/comments18.xml><?xml version="1.0" encoding="utf-8"?>
<comments xmlns="http://schemas.openxmlformats.org/spreadsheetml/2006/main">
  <authors>
    <author>Farmacia5</author>
    <author>Matías</author>
    <author>Farmacia - Matías</author>
  </authors>
  <commentList>
    <comment ref="B3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Farmacia5:
Se solicita de rayos no adjudicar cc menores a 320 mg/ml
</t>
        </r>
      </text>
    </comment>
    <comment ref="C3" authorId="0" shapeId="0">
      <text>
        <r>
          <rPr>
            <sz val="11"/>
            <color theme="1"/>
            <rFont val="Calibri"/>
            <family val="2"/>
            <scheme val="minor"/>
          </rPr>
          <t>Farmacia5:
SEGÚN ANA 240</t>
        </r>
      </text>
    </comment>
    <comment ref="E3" authorId="1" shapeId="0">
      <text>
        <r>
          <rPr>
            <sz val="11"/>
            <color theme="1"/>
            <rFont val="Calibri"/>
            <family val="2"/>
            <scheme val="minor"/>
          </rPr>
          <t>Matías:
200 CORRESPONDE A TAC, 120 A HEMODINAMIA</t>
        </r>
      </text>
    </comment>
    <comment ref="M3" authorId="2" shapeId="0">
      <text>
        <r>
          <rPr>
            <sz val="11"/>
            <color theme="1"/>
            <rFont val="Calibri"/>
            <family val="2"/>
            <scheme val="minor"/>
          </rPr>
          <t>Farmacia - Matías:
Bacon 370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Farmacia5:
Se solicita desde rayos no adjudicar cc menores a 320 mg/ml Y OSMOLARIDAD CERCANA A 900
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Farmacia5:
según ANA 120 MENSUAL</t>
        </r>
      </text>
    </comment>
    <comment ref="E4" authorId="1" shapeId="0">
      <text>
        <r>
          <rPr>
            <sz val="11"/>
            <color theme="1"/>
            <rFont val="Calibri"/>
            <family val="2"/>
            <scheme val="minor"/>
          </rPr>
          <t>Matías:
240 CORRESPODEN A TAC, 60 A HEMODINAMIA</t>
        </r>
      </text>
    </comment>
    <comment ref="M4" authorId="2" shapeId="0">
      <text>
        <r>
          <rPr>
            <sz val="11"/>
            <color theme="1"/>
            <rFont val="Calibri"/>
            <family val="2"/>
            <scheme val="minor"/>
          </rPr>
          <t>Farmacia - Matías:
Bacon 370</t>
        </r>
      </text>
    </comment>
    <comment ref="U5" authorId="0" shapeId="0">
      <text>
        <r>
          <rPr>
            <sz val="11"/>
            <color theme="1"/>
            <rFont val="Calibri"/>
            <family val="2"/>
            <scheme val="minor"/>
          </rPr>
          <t>Farmacia5:
XENETIC 350 X 100 ML FRASCOS 1125
180 JERINGAS VACIAS DE 130 ML (1 UNIDAD POR DIA) PARA LA BOMBA EN COMODATO
180 JERINGAS DE 200 ML ( 1 UNIDAD POR DIA) PARA LA BOMBA PROPIEDAD DEL HOSPITAL 1800 CONECTORES DE BAJA PRESION 152,2 CM</t>
        </r>
      </text>
    </comment>
    <comment ref="M6" authorId="2" shapeId="0">
      <text>
        <r>
          <rPr>
            <sz val="11"/>
            <color theme="1"/>
            <rFont val="Calibri"/>
            <family val="2"/>
            <scheme val="minor"/>
          </rPr>
          <t>Farmacia - Matías:
Bayer</t>
        </r>
      </text>
    </comment>
    <comment ref="M7" authorId="2" shapeId="0">
      <text>
        <r>
          <rPr>
            <sz val="11"/>
            <color theme="1"/>
            <rFont val="Calibri"/>
            <family val="2"/>
            <scheme val="minor"/>
          </rPr>
          <t>Farmacia - Matías:
Seacrow</t>
        </r>
      </text>
    </comment>
    <comment ref="R7" authorId="2" shapeId="0">
      <text>
        <r>
          <rPr>
            <sz val="11"/>
            <color theme="1"/>
            <rFont val="Calibri"/>
            <family val="2"/>
            <scheme val="minor"/>
          </rPr>
          <t>Farmacia - Matías:
Ver cantidad intercambiada entre conector y jeringa</t>
        </r>
      </text>
    </comment>
    <comment ref="B8" authorId="1" shapeId="0">
      <text>
        <r>
          <rPr>
            <sz val="11"/>
            <color theme="1"/>
            <rFont val="Calibri"/>
            <family val="2"/>
            <scheme val="minor"/>
          </rPr>
          <t>Matías:
SEGÚN HEMODINAMIA, CONSUMO 40 PROCEDIMIENTOS POR MES DE 150 ML APROX</t>
        </r>
      </text>
    </comment>
    <comment ref="I10" authorId="2" shapeId="0">
      <text>
        <r>
          <rPr>
            <sz val="11"/>
            <color theme="1"/>
            <rFont val="Calibri"/>
            <family val="2"/>
            <scheme val="minor"/>
          </rPr>
          <t>Farmacia - Matías:
consumo aprox 10 mensuales considerando re esterilizar</t>
        </r>
      </text>
    </comment>
    <comment ref="M10" authorId="2" shapeId="0">
      <text>
        <r>
          <rPr>
            <sz val="11"/>
            <color theme="1"/>
            <rFont val="Calibri"/>
            <family val="2"/>
            <scheme val="minor"/>
          </rPr>
          <t>Farmacia - Matías:
Seacrow</t>
        </r>
      </text>
    </comment>
    <comment ref="E11" authorId="2" shapeId="0">
      <text>
        <r>
          <rPr>
            <sz val="11"/>
            <color theme="1"/>
            <rFont val="Calibri"/>
            <family val="2"/>
            <scheme val="minor"/>
          </rPr>
          <t>Farmacia - Matías:
consumo aprox 100 mensuales</t>
        </r>
      </text>
    </comment>
    <comment ref="I11" authorId="2" shapeId="0">
      <text>
        <r>
          <rPr>
            <sz val="11"/>
            <color theme="1"/>
            <rFont val="Calibri"/>
            <family val="2"/>
            <scheme val="minor"/>
          </rPr>
          <t>Farmacia - Matías:
consumo aprox 100 mensuales</t>
        </r>
      </text>
    </comment>
    <comment ref="M11" authorId="2" shapeId="0">
      <text>
        <r>
          <rPr>
            <sz val="11"/>
            <color theme="1"/>
            <rFont val="Calibri"/>
            <family val="2"/>
            <scheme val="minor"/>
          </rPr>
          <t>Farmacia - Matías:
Bayer</t>
        </r>
      </text>
    </comment>
    <comment ref="B13" authorId="2" shapeId="0">
      <text>
        <r>
          <rPr>
            <sz val="11"/>
            <color theme="1"/>
            <rFont val="Calibri"/>
            <family val="2"/>
            <scheme val="minor"/>
          </rPr>
          <t>Farmacia - Matías:
CONSUMO APROX 15 X DIA O 2 POR JERINGA</t>
        </r>
      </text>
    </comment>
    <comment ref="F13" authorId="2" shapeId="0">
      <text>
        <r>
          <rPr>
            <sz val="11"/>
            <color theme="1"/>
            <rFont val="Calibri"/>
            <family val="2"/>
            <scheme val="minor"/>
          </rPr>
          <t xml:space="preserve">Farmacia - Matías:
20 X DIA
</t>
        </r>
      </text>
    </comment>
    <comment ref="E14" authorId="0" shapeId="0">
      <text>
        <r>
          <rPr>
            <sz val="11"/>
            <color theme="1"/>
            <rFont val="Calibri"/>
            <family val="2"/>
            <scheme val="minor"/>
          </rPr>
          <t>Farmacia5:
Estimamos 2 a 5 x día de 130 ml - Estamos esperando un ingreso de una nueva bomba que habra que ver los ml que corresponde.</t>
        </r>
      </text>
    </comment>
    <comment ref="E15" authorId="2" shapeId="0">
      <text>
        <r>
          <rPr>
            <sz val="11"/>
            <color theme="1"/>
            <rFont val="Calibri"/>
            <family val="2"/>
            <scheme val="minor"/>
          </rPr>
          <t>Farmacia - Matías:
Ver consumo real, me sale 160 por mes aprox.</t>
        </r>
      </text>
    </comment>
    <comment ref="M16" authorId="0" shapeId="0">
      <text>
        <r>
          <rPr>
            <sz val="11"/>
            <color theme="1"/>
            <rFont val="Calibri"/>
            <family val="2"/>
            <scheme val="minor"/>
          </rPr>
          <t xml:space="preserve">Farmacia5:
Precio excesivo </t>
        </r>
      </text>
    </comment>
  </commentList>
</comments>
</file>

<file path=xl/comments19.xml><?xml version="1.0" encoding="utf-8"?>
<comments xmlns="http://schemas.openxmlformats.org/spreadsheetml/2006/main">
  <authors>
    <author>Farmacia - Matías</author>
    <author>Matías</author>
  </authors>
  <commentList>
    <comment ref="B4" authorId="0" shapeId="0">
      <text>
        <r>
          <rPr>
            <sz val="11"/>
            <color theme="1"/>
            <rFont val="Calibri"/>
            <family val="2"/>
            <scheme val="minor"/>
          </rPr>
          <t>Farmacia - Matías:
Solicitado por servicio de cirugia de torax. Consumo 1 kg anual o mas</t>
        </r>
      </text>
    </comment>
    <comment ref="A10" authorId="1" shapeId="0">
      <text>
        <r>
          <rPr>
            <sz val="11"/>
            <color theme="1"/>
            <rFont val="Calibri"/>
            <family val="2"/>
            <scheme val="minor"/>
          </rPr>
          <t xml:space="preserve">Matías:
Chequear con 019 de 50 mg cual se viene comprando
</t>
        </r>
      </text>
    </comment>
    <comment ref="E16" authorId="0" shapeId="0">
      <text>
        <r>
          <rPr>
            <sz val="11"/>
            <color theme="1"/>
            <rFont val="Calibri"/>
            <family val="2"/>
            <scheme val="minor"/>
          </rPr>
          <t>Farmacia - Matías:
SE CONTEMPLAN 20 FRASCOS PARA OFTALMO. NO HAY CODIGO DE 5 NI 10 ML.</t>
        </r>
      </text>
    </comment>
  </commentList>
</comments>
</file>

<file path=xl/sharedStrings.xml><?xml version="1.0" encoding="utf-8"?>
<sst xmlns="http://schemas.openxmlformats.org/spreadsheetml/2006/main" count="5620" uniqueCount="2023">
  <si>
    <t>CODIGO</t>
  </si>
  <si>
    <t>Medicamento</t>
  </si>
  <si>
    <t>Cantidad en Unidades Minimas MENSUALES</t>
  </si>
  <si>
    <t>STOCK ACTUAL</t>
  </si>
  <si>
    <t>VTO CORTO</t>
  </si>
  <si>
    <t>PENDIENTE DE ENTREGA</t>
  </si>
  <si>
    <t>OBSERVACION</t>
  </si>
  <si>
    <t>AGUA DESTILADA 5 ML INYECTABLE POR 100 AMPOLLAS</t>
  </si>
  <si>
    <t>NO</t>
  </si>
  <si>
    <t>AMITRIPTILINA 25 MG COMP X1000 UNIDADES COMPRIMIDO</t>
  </si>
  <si>
    <t>ARIPIPRAZOL 10 MG CAJA X 900 COMPRIMIDO</t>
  </si>
  <si>
    <t>RECHAZADO EN SOLICITUD DE COMPRA</t>
  </si>
  <si>
    <t>ARIPIPRAZOL 15 MG CAJA X 900 COMPRIMIDOS</t>
  </si>
  <si>
    <t>PREADJUDICADO</t>
  </si>
  <si>
    <t>ARIPIPRAZOL 5 MG BLISTER POR 30 UNIDADES COMPRIMIDO</t>
  </si>
  <si>
    <t>ARIPIPRAZOL 5 MG CAJA X 900 COMPRIMIDO</t>
  </si>
  <si>
    <t>AZITROMICINA 500 MG X 300 UNIDADES COMPRIMIDOS ORALES</t>
  </si>
  <si>
    <t>PREADJUDICADO EN COMISION DE POLITICAS MEDICAMENTOS</t>
  </si>
  <si>
    <t>BETA METIL PREDNISOLONA 500 MG 45 FRASCO AMPOLLA POLVO PARA INYECTABLE</t>
  </si>
  <si>
    <t>BETAMETASONA 0.05%(50 MG/100 ML) 10-15 ML GOTAS ENVASE DE 100 FRASCOS</t>
  </si>
  <si>
    <t>BIPERIDENO CLORHIDRATO 2MG BLISTER X1000 UNIDADES COMPRIMIDO</t>
  </si>
  <si>
    <t>CEFTRIAXONA 1G /FCO AMP FRASCO AMPOLLA X100 UNIDADES POLVO PARA INYECTABLE</t>
  </si>
  <si>
    <t>CINACALCET 30 MG (COMO CLORHIDRATO) X 30 UNIDADES COMPRIMIDOS</t>
  </si>
  <si>
    <t>CLARITROMICINA 500 MG 50 FRASCO AMPOLLA POR 500 MG POLVO LIOFILIZADO PARA INYECTABLE</t>
  </si>
  <si>
    <t>CLINDAMICINA 600MG (COMO CLINDAMICINA FOSFATO ) 100 AMPOLLA POR 4ML SOLUCION INYECTABLE</t>
  </si>
  <si>
    <t>CLORHIDRATO DE LABETALOL 5MG/ML 4 ML SOLUCION INYECTABLE 10 AMPOLLA</t>
  </si>
  <si>
    <t>CLORURO DE POTASIO 15 MEQ /5 ML SOL INYECTABLE PARA INFUSION POR 100 AMPOLLA</t>
  </si>
  <si>
    <t>CLORURO DE SODIO 20 %/10 ML INYECTABLE POR 100 AMPOLLA</t>
  </si>
  <si>
    <t>SI</t>
  </si>
  <si>
    <t xml:space="preserve">SE SOLICITARA CANJE DEBIDO A STOCK </t>
  </si>
  <si>
    <t>DIAZEPAM 10 MG - BLISTER POR 20 UNIDADES - COMPRIMIDO</t>
  </si>
  <si>
    <t>DIAZEPAM 10 MG BLISTER POR 1000 UNIDADES COMPRIMIDO</t>
  </si>
  <si>
    <t>DIAZEPAM 5 MG/COMPRIMIDO BLISTER POR 1000 UNIDADES COMPRIMIDO</t>
  </si>
  <si>
    <t>DIPIRONA 1G/2ML SOLUCION INYECTABLE POR 100 AMPOLLAS</t>
  </si>
  <si>
    <t>ESCITALOPRAM 10 MG X 30 UNIDADES COMPRIMIDO</t>
  </si>
  <si>
    <t>ESCITALOPRAM 10 MG X 900 UNIDADES COMPRIMIDO</t>
  </si>
  <si>
    <t>ESCITALOPRAM 20MG-CAJA X 1000-COMPRIMIDO</t>
  </si>
  <si>
    <t>FENITOÍNA SODICO 100 MG/2 ML CAJA 100 AMPOLLA POR 2 ML SOLUCION INYECTABLE (50 MG/ML)</t>
  </si>
  <si>
    <t>FLUOXETINA 20 MG CAJA X 1005 COMPRIMIDOS</t>
  </si>
  <si>
    <t>FLUOXETINA 20MG (COMO FLUOXETINA CLORHIDRATO 22,3 MG) BLISTER POR 1000 UNIDADES COMPRIMIDO</t>
  </si>
  <si>
    <t>FUROSEMIDA 20MG/2ML INYECTABLE 100 AMPOLLAS</t>
  </si>
  <si>
    <t>HALOPERIDOL 5MG BLISTER POR 1000 UNIDADES COMPRIMIDO</t>
  </si>
  <si>
    <t>COMPRAMOS DE 10 MG. TE PONGO COMO SI FUERA DE 5 EL DOBLE</t>
  </si>
  <si>
    <t>HIDROCORTISONA 500MG (COMO HIDROCORTISONA SUCCINATO SODICO ) 100 FA POLVO INYECTABLE</t>
  </si>
  <si>
    <t>TENEMOS DE 100 MG CONSUMO 1000 Y STOCK 2290.</t>
  </si>
  <si>
    <t>HIERRO ELEMENTAL 100 MG/5 ML (COMO HIERRO SACARATO )SOLUCION INYECTABLE X5 AMPOLLA</t>
  </si>
  <si>
    <t>IMIPENEM 500 MG + CILASTATINA 500 MG FRASCO AMPOLLA POLVO PARA INYECTABLE POR 50 UNIDADES</t>
  </si>
  <si>
    <t>KETOROLAC TROMETAMINA 30 MG/ML 100 AMPOLLA POR 1 ML INYECTABLE</t>
  </si>
  <si>
    <t>LEVOMEPROMAZINA 25 MG X 1000 UNIDADES COMPRIMIDO</t>
  </si>
  <si>
    <t>LIDOCAINA 2% 5 ML SOLUCION INYECTABLE POR 100 AMPOLLAS</t>
  </si>
  <si>
    <t>LIDOCAINA CLORHIDRATO 1 % INYECTABLE 5 ML 100 AMPOLLA</t>
  </si>
  <si>
    <t>LINEZOLID 600 MG 10 BOLSA POR 300 ML INYECTABLE</t>
  </si>
  <si>
    <t>MEROPENEM (COMO TRIHIDRATO) 1000 MG POLVO PARA INYECTABLE FRASCO AMPOLLA POR 50 UNIDADES</t>
  </si>
  <si>
    <t>MIDAZOLAM 15 MG / 3 ML SOLUCION INYECTABLE 15 MG / 3 ML X100 AMPOLLAS</t>
  </si>
  <si>
    <t>PREADJUDICACION APROBADA</t>
  </si>
  <si>
    <t>NITROPRUSIATO DE SODIO 50 MG 25 FRASCO AMPOLLA POR 50 MG POLVO LIOFILIZADO PARA INYECTABLE</t>
  </si>
  <si>
    <t>OLANZAPINA 10 MG 1 BLISTER POR 28 UNIDADES COMPRIMIDO RECUBIERTO</t>
  </si>
  <si>
    <t>OLANZAPINA 10 MG X 1008 UNIDADES COMPRIMIDO</t>
  </si>
  <si>
    <t>ONDANSETRON CLORHIDRATO 8MG/4ML 100 AMPOLLA POR 4ML SOLUCION INYECTABLE</t>
  </si>
  <si>
    <t>CON ORDEN DE COMPRA</t>
  </si>
  <si>
    <t>PAROXETINA CLORHIDRATO 20MG CAJA X1000 UNIDADES COMPRIMIDO</t>
  </si>
  <si>
    <t>PIPERACILINA SODICA 4G + TAZOBACTAM SODICO 0,5G POR 50 AMPOLLA</t>
  </si>
  <si>
    <t>PROMETAZINA 25 MG X 1000 UNIDADES COMPRIMIDO</t>
  </si>
  <si>
    <t>RANITIDINA (COMO CLORHIDRATO) 50MG/5ML POR 100 AMPOLLA</t>
  </si>
  <si>
    <t>RISPERIDONA 1MG BLISTER POR 1000 COMPRIMIDO</t>
  </si>
  <si>
    <t>RISPERIDONA 2MG BLISTER POR 1000 UNIDADES COMPRIMIDO</t>
  </si>
  <si>
    <t>RISPERIDONA 3MG BLISTER POR 1000 UNIDADES COMPRIMIDO RECUBIERTO</t>
  </si>
  <si>
    <t>SERTRALINA 100 MG (COMO SERTRALINA CLORHIDRATO ) BLISTER POR 1000 UNIDADES COMPRIMIDO RECUBIERTO</t>
  </si>
  <si>
    <t>SERTRALINA 50 MG X 1000 UNIDADES COMPRIMIDO</t>
  </si>
  <si>
    <t>SOLUCION FISIOLOGICA DE CLORURO DE SODIO 0.9% 5 ML INYECTABLE POR 100 AMPOLLA</t>
  </si>
  <si>
    <t>TIGECICLINA 50 MG 10 FRASCO AMPOLLA POR 50 MG POLVO LIOFILIZADO PARA INYECTABLE</t>
  </si>
  <si>
    <t>TIGECICLINA 50 MG 50 FRASCO AMPOLLA POR 50 MG INYECTABLE</t>
  </si>
  <si>
    <t>VANCOMICINA 500 MG (COMO VANCOMICINA CLORHIDRATO) CAJA X 100 FRASCO AMPOLLA POLVO LIOFILIZADO PARA I</t>
  </si>
  <si>
    <t>USAMOS 1500 DE 1 GR Y TENEMOS 8000</t>
  </si>
  <si>
    <t>ACICLOVIR 800 MG</t>
  </si>
  <si>
    <t>Codigo Vademe</t>
  </si>
  <si>
    <t>Descripción</t>
  </si>
  <si>
    <t>Consumo mensual estimado 2022</t>
  </si>
  <si>
    <t>Consumo mensual 1er  trimestre 2023</t>
  </si>
  <si>
    <t>Consumo mensual estimado 2024</t>
  </si>
  <si>
    <t>Consumo mensual estimado 2025</t>
  </si>
  <si>
    <t>Stock NOV 2025</t>
  </si>
  <si>
    <t>Cantidad pedida 2025</t>
  </si>
  <si>
    <t>Pendientes de entrega NOV 25</t>
  </si>
  <si>
    <t>Período de cobertura centralizada</t>
  </si>
  <si>
    <t>Solicitud</t>
  </si>
  <si>
    <t>Solicitud ampliación</t>
  </si>
  <si>
    <t>Proveedor 2026</t>
  </si>
  <si>
    <t>LP / PA</t>
  </si>
  <si>
    <t>Renglón</t>
  </si>
  <si>
    <t>OC</t>
  </si>
  <si>
    <t>OC amp</t>
  </si>
  <si>
    <t>Cantidad pedida requerim 2DO 2026</t>
  </si>
  <si>
    <t>Cantidad 2026 1er sem corregida</t>
  </si>
  <si>
    <t>Cantidad pedida requerim 2do sem 2026</t>
  </si>
  <si>
    <t>Cantidad con OC 2026</t>
  </si>
  <si>
    <t>Total para entregar 2026</t>
  </si>
  <si>
    <t>Justiprecio 2026</t>
  </si>
  <si>
    <t>Precio Proveedor 2026</t>
  </si>
  <si>
    <t>Monto Total pedido s/Justiprecio</t>
  </si>
  <si>
    <t>Monto Total adjudicado S/P. Proveedor</t>
  </si>
  <si>
    <t>Observaciones 2026</t>
  </si>
  <si>
    <t>OC original</t>
  </si>
  <si>
    <t>Ampliación</t>
  </si>
  <si>
    <t>ESTERILIZACIÓN y ALCOHOL</t>
  </si>
  <si>
    <t>YH400001</t>
  </si>
  <si>
    <t>INDICADOR INTEGRADOR CLASE 5 P/PROCESOS POR OXIDO DE ETILENO UNIDAD TIRA DE PAPEL QUE INTEGRE LOS PARAMETROS CONCENTRACIÓN DE OXIDO DE ETILENO, TEMPERATURA, TIEMPO Y HUMEDAD RELATIVA. CLASE 5, SEGUN ISO 11140-1 Ó IRAM 37101-1</t>
  </si>
  <si>
    <t>YI400302</t>
  </si>
  <si>
    <t>INDICADOR BIOLOGICO AUTOCONTENIDO P/PROCESOS POR OXIDO DE ETILENO C/ESPORAS DE BACILLUS ATROPHEAUS VEZ UNA AMPOLLA CON EL MEDIO DE CULTIVO TUBOS PLASTICOS QUE CONTIENEN NO MENOS DE 106 UFC INOCULADAS EN UNA TIRA DE PAPEL Y A SU UNIDAD. EN ENVASE PLASTICO QUE PERMITA LA RUPTURA DE LA AMPOLLA SIN FISURARSE. CON FECHA DE VENCIMIENTO, LOTE E INDICADOR QUIMICO ADECUADO. INDICADOR BIOLOGICO UNIDAD LECTURA RAPIDA PARA OXIDO DE ETILENO TIPO BT 110.</t>
  </si>
  <si>
    <t>D0852118</t>
  </si>
  <si>
    <t>APOSITO 24 GRS. UNIDAD QUIRÚRGICO 15 X 20 CM - ESTERIL</t>
  </si>
  <si>
    <t>YH104008</t>
  </si>
  <si>
    <t>INDICADOR QUIMICO EXTERNO P/PROCESOS POR CALOR HUMEDO (CLASE 1) ROLLOS DE CINTA AUTOADHESIVA DE PAPEL 20-25MM X 50 M UNIDAD APTOS P/EL CIERRE DE CUALQUIER TIPO DE PAQUETE.</t>
  </si>
  <si>
    <t>LIM02056</t>
  </si>
  <si>
    <t>ALCOHOL EN GEL UNIDAD ENVASE X 800 ML. INCLUYE COLOCACIÓN, MANTENIMIENTO Y REPOSICIÓN DE 116 DISPENSER MANUAL. A SU VEZ INCLUYE IMPLEMENTACIÓN DE SISTEMA TIPO SYSHANDEX MODULO CONTROL Y VEEDOR.</t>
  </si>
  <si>
    <t>APOSITO 15 X 20 24 GRS. UNIDAD QUIRÚRGICO ESTERIL</t>
  </si>
  <si>
    <t>D0803163</t>
  </si>
  <si>
    <t>AMPOLLAS</t>
  </si>
  <si>
    <t>M2709215</t>
  </si>
  <si>
    <t>BETAMETASONA ACETATO + BETAMETASONA FOSFATO, SUSPENSIÓN INYECTABLE DE LIBERACIÓN PROLONGADA, 3 MG/ML + 3 MG/ML, AMPOLLA DE 2 ML</t>
  </si>
  <si>
    <t>M0314120</t>
  </si>
  <si>
    <t>BUPIVACAINA C/EPINEFRINA INYECTABLE 0.5%-20ML</t>
  </si>
  <si>
    <t>SIN COBERTURA</t>
  </si>
  <si>
    <t>M2501019</t>
  </si>
  <si>
    <t>CLONIDINA INYECTABLE 150MG</t>
  </si>
  <si>
    <t xml:space="preserve"> M1701068</t>
  </si>
  <si>
    <t>DANTROLENO 20 MG FA</t>
  </si>
  <si>
    <t>M2709187</t>
  </si>
  <si>
    <t>DEXAMETASONA (COMO FOSFATO SÓDICO DE DEXAMETASONA), SOLUCIÓN INYECTABLE, 4 MG/ML, AMPOLLA DE 2 ML</t>
  </si>
  <si>
    <t>NIVEL CENTRAL</t>
  </si>
  <si>
    <t>M1703121</t>
  </si>
  <si>
    <t>DICLOFENAC, INYECTABLE, 75MG -, AMPOLLA - 3 ML</t>
  </si>
  <si>
    <t>M2615235</t>
  </si>
  <si>
    <t>ENOXAPARINA SÓDICA, SOLUCIÓN INYECTABLE, 60 MG/0,6 ML, JERINGA DE 0,6 ML</t>
  </si>
  <si>
    <t>M1201078</t>
  </si>
  <si>
    <t>HALOPERIDOL DECANOATO, INYECTABLE, 150MG - 3 ML, FRASCO AMPOLLA - 3 ML</t>
  </si>
  <si>
    <t>M1246413</t>
  </si>
  <si>
    <t>HALOPERIDOL, SOLUCIÓN INYECTABLE, 5 MG/ML, AMPOLLA DE 1 ML</t>
  </si>
  <si>
    <t>M0501118</t>
  </si>
  <si>
    <t>HIERRO SACARATO, INYECTABLE, 100MG - 5 ML, AMPOLLA - 5 ML</t>
  </si>
  <si>
    <t>M1505127</t>
  </si>
  <si>
    <t>HIOSCINA BUTILBROMURO, SOLUCIÓN INYECTABLE, 20 MG/ML, AMPOLLA DE 1 ML</t>
  </si>
  <si>
    <t>M3253111</t>
  </si>
  <si>
    <t>FILGRASTIM, INYECTABLE, 30.000.000 U.I - 1ML, FRASCO AMPOLLA</t>
  </si>
  <si>
    <t>M1708127</t>
  </si>
  <si>
    <t>KETOROLAC TROMETAMINA, AMPOLLAS, 30MG/ML -, 1 ML</t>
  </si>
  <si>
    <t>M0314159</t>
  </si>
  <si>
    <t>LIDOCAINA C/EPINEFRINA, FCO. AMPOLLA, 1 % - 20 ML</t>
  </si>
  <si>
    <t>M2310157</t>
  </si>
  <si>
    <t>METOCLOPRAMIDA, SOLUCIÓN INYECTABLE, 5 MG/ML, AMPOLLA DE 2 ML</t>
  </si>
  <si>
    <t>M0209111</t>
  </si>
  <si>
    <t>MORFINA, AMPOLLAS, 1% - 1 ML</t>
  </si>
  <si>
    <t>M4109111</t>
  </si>
  <si>
    <t>NEOSTIGMINA, AMPOLLAS, 0.5MG/ML -, 1 ML</t>
  </si>
  <si>
    <t>M3318149</t>
  </si>
  <si>
    <t>POTASIO CLORURO, AMPOLLAS, 15 MEQ - 5 ML</t>
  </si>
  <si>
    <t>M2203112</t>
  </si>
  <si>
    <t>RANITIDINA, AMPOLLAS, 50MG - 5 ML</t>
  </si>
  <si>
    <t>M0314150</t>
  </si>
  <si>
    <t>REMIFENTANILO, POLVO PARA SOLUCIÓN INYECTABLE, 5 MG</t>
  </si>
  <si>
    <t>M3629129</t>
  </si>
  <si>
    <t>VASOPRESINA SINTETICA, INYECTABLE, 20UI-1ML, AMPOLLA</t>
  </si>
  <si>
    <t>M3601116</t>
  </si>
  <si>
    <t>UNDECANOATO DE TESTOSTERONA AMPOLLA INYECTABLE 1000MG/4ML</t>
  </si>
  <si>
    <t>M1601132</t>
  </si>
  <si>
    <t>DIFENHIDRAMINA INYECTABLE 10MG/ML 1 ml</t>
  </si>
  <si>
    <t>M2517121</t>
  </si>
  <si>
    <t>ETILEFRINA INYECTABLE 10MG-1ML</t>
  </si>
  <si>
    <t>M1208121</t>
  </si>
  <si>
    <t>FENOBARBITAL INYECTABLE 100MG-2ML</t>
  </si>
  <si>
    <t>M0314130</t>
  </si>
  <si>
    <t>KETAMINA FCOAMPOLLA</t>
  </si>
  <si>
    <t>M4101008</t>
  </si>
  <si>
    <t>VECURONIO FCO AMPOLLA 10MG</t>
  </si>
  <si>
    <t>108</t>
  </si>
  <si>
    <t>M2601055</t>
  </si>
  <si>
    <t>TERLIPRESINA ACETATO-MANITOL FA+DILUY 1MG-10MG-5ML</t>
  </si>
  <si>
    <t>M3259150</t>
  </si>
  <si>
    <t>BLEOMICINA AMPOLLA 15 MG</t>
  </si>
  <si>
    <t>COMPRIMIDOS</t>
  </si>
  <si>
    <t>M1201006</t>
  </si>
  <si>
    <t>AMITRIPTILINA, COMPRIMIDOS, 75 MG</t>
  </si>
  <si>
    <t>M2306111</t>
  </si>
  <si>
    <t>BISACODILO, COMPRIMIDOS, 5 MG</t>
  </si>
  <si>
    <t>M2601099</t>
  </si>
  <si>
    <t>CILOSTAZOL, COMPRIMIDOS, 100 MG</t>
  </si>
  <si>
    <t>M0216186</t>
  </si>
  <si>
    <t>DICLOFENAC, COMPRIMIDOS, 75 MG</t>
  </si>
  <si>
    <t>M1246427</t>
  </si>
  <si>
    <t>FENITOINA (DIFENILHIDANTOINA), COMPRIMIDOS/CÁPSULAS, 100 MG</t>
  </si>
  <si>
    <t>M2501007</t>
  </si>
  <si>
    <t>LABETALOL COMPRIMIDOS 200 MG</t>
  </si>
  <si>
    <t>M3629175</t>
  </si>
  <si>
    <t>M1227112</t>
  </si>
  <si>
    <t>LEVOMEPROMAZINA, COMPRIMIDOS, 25 MG</t>
  </si>
  <si>
    <t>M1200185</t>
  </si>
  <si>
    <t>LEVETIRACETAM, COMPRIMIDOS, 1GR</t>
  </si>
  <si>
    <t>M2516112</t>
  </si>
  <si>
    <t>LOSARTAN, COMPRIMIDOS, 50 MG</t>
  </si>
  <si>
    <t>M1211111</t>
  </si>
  <si>
    <t>LORAZEPAM, COMPRIMIDOS, 1 MG</t>
  </si>
  <si>
    <t>M2709184</t>
  </si>
  <si>
    <t>MEPREDNISONA, COMPRIMIDO ORAL, 8 MG</t>
  </si>
  <si>
    <t>M3629181</t>
  </si>
  <si>
    <t>PROGESTERONA COMPRIMIDOS 200 MGRS</t>
  </si>
  <si>
    <t>M1246170</t>
  </si>
  <si>
    <t>QUETIAPINA, COMPRIMIDOS, 200 MG</t>
  </si>
  <si>
    <t>M1201124</t>
  </si>
  <si>
    <t>RISPERIDONA, COMPRIMIDOS, 2 MG</t>
  </si>
  <si>
    <t>M2601076</t>
  </si>
  <si>
    <t>ROSUVASTATINA, COMPRIMIDOS, 10 MG</t>
  </si>
  <si>
    <t>M1246429</t>
  </si>
  <si>
    <t>SERTRALINA, COMPRIMIDO, 100 MG</t>
  </si>
  <si>
    <t>M1246416</t>
  </si>
  <si>
    <t>SERTRALINA, COMPRIMIDOS, 50 MG</t>
  </si>
  <si>
    <t>M0201162</t>
  </si>
  <si>
    <t>TRAMADOL, COMPRIMIDOS, 50 MG</t>
  </si>
  <si>
    <t>M0314158</t>
  </si>
  <si>
    <t>PROPARACAINA GOTAS 15ML-500MG</t>
  </si>
  <si>
    <t>M2401074</t>
  </si>
  <si>
    <t>SALBUTAMOL-BROMURO IPRATROPIO AEROSOL 45 MCG</t>
  </si>
  <si>
    <t>M2534256</t>
  </si>
  <si>
    <t>WARFARINA 5 MG COMPRIMIDOS</t>
  </si>
  <si>
    <t>ANTIBIÓTICOS</t>
  </si>
  <si>
    <t>M1109202</t>
  </si>
  <si>
    <t>M0901111</t>
  </si>
  <si>
    <t>M0604222</t>
  </si>
  <si>
    <t>M0724163</t>
  </si>
  <si>
    <t>M1101063</t>
  </si>
  <si>
    <t>LEVOFLOXACINA 500 MG SACHET</t>
  </si>
  <si>
    <t>M0701173</t>
  </si>
  <si>
    <t>M1109216</t>
  </si>
  <si>
    <t>M1109208</t>
  </si>
  <si>
    <t>M1101076</t>
  </si>
  <si>
    <t>TIGECICLINA FRASCO AMPOLLA 50MG</t>
  </si>
  <si>
    <t>M1101055</t>
  </si>
  <si>
    <t>M3629177</t>
  </si>
  <si>
    <t>TESTOSTERONA GEL 150 GR (CAJA DE 30 SOBRES POR 5 gr C/U)</t>
  </si>
  <si>
    <t>M1109193</t>
  </si>
  <si>
    <t>NITROFURANTOINA 100 MG CAPSULAS</t>
  </si>
  <si>
    <t>SUEROS</t>
  </si>
  <si>
    <t>M4528238</t>
  </si>
  <si>
    <t>AGUA ESTERIL PARA USO PARENTERAL ENVASE X 500 ML- SIN BOLSA DE PROTECCION, UNIDAD</t>
  </si>
  <si>
    <t>M6722163</t>
  </si>
  <si>
    <t>SOLUCION FISIOLOGICA DE CLORURO SODIO 0.9% X 500 ML - SIN BOLSA DE PROTECCION UNIDAD</t>
  </si>
  <si>
    <t>M6722142</t>
  </si>
  <si>
    <t>SOLUCION DEXTROSA EN AGUA 5% X 500 ML (SIN BOLSA DE PROTECCION) UNIDAD</t>
  </si>
  <si>
    <t>M0141295</t>
  </si>
  <si>
    <t>BICARBONATO DE SODIO SOLUCION INYECTABLE MOLAR SACHET 100 ML</t>
  </si>
  <si>
    <t>M6722150</t>
  </si>
  <si>
    <t xml:space="preserve"> SOLUCION GLUCOSADA (DEXTROSA) 50% SACHET 500 ML</t>
  </si>
  <si>
    <t>M6722143</t>
  </si>
  <si>
    <t>MANITOL INYECTABLE 15% SACHET 500 ml</t>
  </si>
  <si>
    <t>VARIOS</t>
  </si>
  <si>
    <t>P2001322</t>
  </si>
  <si>
    <t>PAPEL DE ALUMINIO P/REENVASADORA DE MEDICAMENTOS 250 METROS UNIDAD
ROLLO , ROLLOS DE MATERIAL SINTETICO IMPERMEABLE PRE CONFECCIONADO PARA REENVASAR MEDICAMENTOS EN UNIDOSIS PARA MAQUINA REENVASADORA SIMIL OPUS ONE. ROLLO DE 70 MM X 75 MM. RINDE 5.000 UNIDADES DE COMPRIMIDOS / CAPSULAS ENVASADAS APROX. INCLUYE EL MATERIAL DE IMPRESION TERMICA Y LA ADQUISICION EN FORMA DE COMODATO DE MAQUINA.</t>
  </si>
  <si>
    <t>DESIERTOS</t>
  </si>
  <si>
    <t>M1201161</t>
  </si>
  <si>
    <t>ETOSUXIMIDA 250 MG CAPSULAS</t>
  </si>
  <si>
    <t>MG</t>
  </si>
  <si>
    <t>224/26</t>
  </si>
  <si>
    <t>M1246126</t>
  </si>
  <si>
    <t>TOPIRAMATO COMPRIMIDOS 100 MG</t>
  </si>
  <si>
    <t>DNM Farma</t>
  </si>
  <si>
    <t>M1246125</t>
  </si>
  <si>
    <t>TOPIRAMATO COMPRIMIDOS 50 MG</t>
  </si>
  <si>
    <t>M1201148</t>
  </si>
  <si>
    <t>ZUCLOPENTIXOL DECANOATO  DEPOT 200MG-1ML</t>
  </si>
  <si>
    <t>M4110111</t>
  </si>
  <si>
    <t>PIRIDOSTIGMINA 60 MG COMPIRMIDOS</t>
  </si>
  <si>
    <t>M0216173</t>
  </si>
  <si>
    <t>NALBUFINA INYECTABLE 10MG</t>
  </si>
  <si>
    <t>Piloña</t>
  </si>
  <si>
    <t>M2615139</t>
  </si>
  <si>
    <t>PROTAMINA SULFATO 10MG/ML - 5 ML</t>
  </si>
  <si>
    <t>M4601044</t>
  </si>
  <si>
    <t>VITAMINA C AMPOLLAS (ACIDO ASCORBICO) 1 GR</t>
  </si>
  <si>
    <t>M1246299</t>
  </si>
  <si>
    <t>LEVETIRACETAM 500 MG FA 5 ML</t>
  </si>
  <si>
    <t>Cantidad pedida requerim 1er sem 2026</t>
  </si>
  <si>
    <t>147/26</t>
  </si>
  <si>
    <t>M0314155</t>
  </si>
  <si>
    <t>BUPIVACAINA INYECTABLE 0.5%-20ML</t>
  </si>
  <si>
    <t>Norgreen</t>
  </si>
  <si>
    <t>329/26</t>
  </si>
  <si>
    <t>Desierto</t>
  </si>
  <si>
    <t>M0314131</t>
  </si>
  <si>
    <t>LIDOCAINA C/EPINEFRINA FCO AMPOLLA 2%-20ML</t>
  </si>
  <si>
    <t>332/26</t>
  </si>
  <si>
    <t>M0314151</t>
  </si>
  <si>
    <t>LIDOCAINA S/EPINEFRINA AMPOLLAS 2%-5ML</t>
  </si>
  <si>
    <t>M0314154</t>
  </si>
  <si>
    <t>LIDOCAINA S/EPINEFRINA FA 2%-20ML</t>
  </si>
  <si>
    <t>Donnax</t>
  </si>
  <si>
    <t>333/26</t>
  </si>
  <si>
    <t>M1801024</t>
  </si>
  <si>
    <t>FLUCONAZOL INYECTABLE 200MG-100ML</t>
  </si>
  <si>
    <t>M1801011</t>
  </si>
  <si>
    <t>ITRACONAZOL 100 MG CAPSULAS</t>
  </si>
  <si>
    <t xml:space="preserve"> M1805121</t>
  </si>
  <si>
    <t>ITRACONAZOL 200 MG CAPSULAS</t>
  </si>
  <si>
    <t>330/26</t>
  </si>
  <si>
    <t>M1902121</t>
  </si>
  <si>
    <t>MEBENDAZOL 100 MG COMPRIMIDOS</t>
  </si>
  <si>
    <t>331/26</t>
  </si>
  <si>
    <t>M3101060</t>
  </si>
  <si>
    <t xml:space="preserve">METRONIDAZOL + ASOCIADOS OVULOS </t>
  </si>
  <si>
    <t>M0706112</t>
  </si>
  <si>
    <t>PENICILINA SODICA FCO AMPOLLA 3.000.000UI</t>
  </si>
  <si>
    <t xml:space="preserve">M1901023 </t>
  </si>
  <si>
    <t>PIRIMETAMINA 25 MG COMPRIMIDOS</t>
  </si>
  <si>
    <t>M2523457</t>
  </si>
  <si>
    <t>HIDROCLOROTIAZIDA COMPRIMIDOS 12,5 MG</t>
  </si>
  <si>
    <t>M2310149</t>
  </si>
  <si>
    <t>MICRONEMA UNIDAD GLICERINA 12.5% LAURIL SULFOACETATO DE SODIO 1.29% SORBITOL 89.3%</t>
  </si>
  <si>
    <t>M1901046</t>
  </si>
  <si>
    <t>PERMETRINA 5% CREMA</t>
  </si>
  <si>
    <t>M1901041</t>
  </si>
  <si>
    <t>PERMETRINA LOCION 1% - 100 ML</t>
  </si>
  <si>
    <t>M2901181</t>
  </si>
  <si>
    <t>SULFADIAZINA DE PLATA-VIT A-LIDOCAINA (PLATSUL) 50 GR</t>
  </si>
  <si>
    <t>M2434183</t>
  </si>
  <si>
    <t>TIOTROPIO BROMURO CAPSULA P/INHALAR 18 MCG UNIDAD</t>
  </si>
  <si>
    <t>M4001040</t>
  </si>
  <si>
    <t>TOBRAMICINA 0,3% GOTAS</t>
  </si>
  <si>
    <t>M4001011</t>
  </si>
  <si>
    <t>TOBRAMICINA-DEXAMETASONA GOTAS 0.3%-5ML</t>
  </si>
  <si>
    <t>M2534232</t>
  </si>
  <si>
    <t>Iraola</t>
  </si>
  <si>
    <t>M4528191</t>
  </si>
  <si>
    <t>SOLUCION FISIOLOGICA 0.9% 1000 ML SIN BOLSA DE PROTECCION</t>
  </si>
  <si>
    <t>M4528194</t>
  </si>
  <si>
    <t>SOLUCION FISIOLOGICA 0.9% 2000 ML - SIN BOLSA DE PROTECCION</t>
  </si>
  <si>
    <t>M3701019</t>
  </si>
  <si>
    <t>GAMMAGLOBULINA HUMANA (IGG) 10 GR 200 ML</t>
  </si>
  <si>
    <t>16/26</t>
  </si>
  <si>
    <t>320/2026</t>
  </si>
  <si>
    <t>MORFINA AMPOLLAS 1%-1ML</t>
  </si>
  <si>
    <t>139/26</t>
  </si>
  <si>
    <t>297/2026</t>
  </si>
  <si>
    <t>298/2026</t>
  </si>
  <si>
    <t>M1901001</t>
  </si>
  <si>
    <t>ALBENDAZOL 400 MG COMPRIMIDOS</t>
  </si>
  <si>
    <t>M0701149</t>
  </si>
  <si>
    <t>CEFIXIMA 400 MG COMPRIMIDOS</t>
  </si>
  <si>
    <t>M4601009</t>
  </si>
  <si>
    <t>CALCITRIOL INYECTABLE 1MCG/ML</t>
  </si>
  <si>
    <t xml:space="preserve"> M4601012</t>
  </si>
  <si>
    <t>COMPLEJO MULTIVITAMINICOS INYECTABLE FA (TIPO RIVIAL - VI-SYNERAL - TRACUTIL)</t>
  </si>
  <si>
    <t>M7201003</t>
  </si>
  <si>
    <t>GONADOTROFINA CORIONICA HUMANA 5000UI LIOF</t>
  </si>
  <si>
    <t>M2615138</t>
  </si>
  <si>
    <t>ACIDO AMINOCAPROICO INYECTABLE 2GR-10ML</t>
  </si>
  <si>
    <t>M3501002</t>
  </si>
  <si>
    <t>COLCHICINA 1 MG COMP</t>
  </si>
  <si>
    <t>M3629126</t>
  </si>
  <si>
    <t>ESTRADIOL COMPRIMIDOS 2 MG</t>
  </si>
  <si>
    <t>M0141266</t>
  </si>
  <si>
    <t>IVABRADINA 5 MG COMPRIMIDOS</t>
  </si>
  <si>
    <t xml:space="preserve">LA199215 </t>
  </si>
  <si>
    <t>PILOCARPINA CLORHIDRATO  5 mg comprimidos</t>
  </si>
  <si>
    <t>M0141268</t>
  </si>
  <si>
    <t>TRIMETAZIDINA COMPRIMIDOS 35MG</t>
  </si>
  <si>
    <t>M4601122</t>
  </si>
  <si>
    <t>VITAMINA B 1 (TIAMINA) 300 MG COMPRIMIDOS</t>
  </si>
  <si>
    <t>M4611162</t>
  </si>
  <si>
    <t>VITAMINA B12 COMPRIMIDOS 1 MG</t>
  </si>
  <si>
    <t xml:space="preserve">aumentar consumo </t>
  </si>
  <si>
    <t>M4601039</t>
  </si>
  <si>
    <t>VITAMINA B6 (PIRIDOXINA)</t>
  </si>
  <si>
    <t>M4116119</t>
  </si>
  <si>
    <t>ONABOTULINUMTOXIN A AMPOLLA 200 UI</t>
  </si>
  <si>
    <t>M0101101</t>
  </si>
  <si>
    <t>CARBON ACTIVADO KG</t>
  </si>
  <si>
    <t>M2022252</t>
  </si>
  <si>
    <t>GASA IODOFORMADA 10% 10 x 10 CM o similar ENVASE X 15 APOSITOS</t>
  </si>
  <si>
    <t>M0116011</t>
  </si>
  <si>
    <t>TALCO MEDICINAL KG</t>
  </si>
  <si>
    <t xml:space="preserve"> M2901038</t>
  </si>
  <si>
    <t>COLAGENASA + CLORANFENICOL (IRUXOL) CREMA 15 GR</t>
  </si>
  <si>
    <t>M2901037</t>
  </si>
  <si>
    <t>COLAGENASA + CLORANFENICOL (IRUXOL) CREMA 50 GR</t>
  </si>
  <si>
    <t xml:space="preserve">M1232121 </t>
  </si>
  <si>
    <t>CLORPROMAZINA AMPOLLAS IV 2.5%-2ML</t>
  </si>
  <si>
    <t>M3409048</t>
  </si>
  <si>
    <t>INSULINA HUMANA NPH FCO AMPOLLA 100UI/10ML</t>
  </si>
  <si>
    <t>M0208111</t>
  </si>
  <si>
    <t>MEPERIDINA AMPOLLAS 100MG-2ML</t>
  </si>
  <si>
    <t xml:space="preserve"> M3301036</t>
  </si>
  <si>
    <t>PAMIDRONATO SODICO 90 MG FA</t>
  </si>
  <si>
    <t>M7015815</t>
  </si>
  <si>
    <t>SODIO CLORURO AMPOLLAS 20%-10ML</t>
  </si>
  <si>
    <t>M4402112</t>
  </si>
  <si>
    <t>SOLUCION DEXTROSADA GLUCOSADA HIPERTONICA 25%-10ML</t>
  </si>
  <si>
    <t>M7015817</t>
  </si>
  <si>
    <t>SOLUCION FISIOLOGICA FCO AMPOLLA 5ML</t>
  </si>
  <si>
    <t>M3103172</t>
  </si>
  <si>
    <t>MIFEPRISTONA UNIDAD COMPRIMIDO 200 MGR</t>
  </si>
  <si>
    <t>M4528185</t>
  </si>
  <si>
    <t>SOLUCION FISIOLOGICA (CLORURO DE SODIO 0,9 %) - 250 ML INYECTABLE SIN BOLSA DE PROTECCIÓN TOTALMENTE COLAPSABLES CON DOS SITIOS DE INSERCIÓN INDEPENDIENTES.</t>
  </si>
  <si>
    <t>M4528218</t>
  </si>
  <si>
    <t>SOLUCIÒN FISIOLOGICA TRICLORURADA (DE RINGER. ) C/LACTATO DE SODIO INYECTABLE ENVASE FLEXIBLE 500 ML - 2 SITIOS DE INSERCIÓN - SIN BOLSA DE PROTECCION</t>
  </si>
  <si>
    <t xml:space="preserve"> M4528200</t>
  </si>
  <si>
    <t>SOLUCION DEXTROSA (GLUCOSADA) EN AGUA  5% X 250 ML.- ENVASE FLEXIBLE - 2 SITIOS DE INSERCIÓN - SIN BOLSA DE PROTECCION</t>
  </si>
  <si>
    <t>M4528203</t>
  </si>
  <si>
    <t>SOLUCION DEXTROSA (GLUCOSADA) EN AGUA  5% X 100 ML.- ENVASE FLEXIBLE - 2 SITIOS DE INSERCIÓN - SIN BOLSA DE PROTECCION</t>
  </si>
  <si>
    <t>M4528209</t>
  </si>
  <si>
    <t xml:space="preserve"> SOLUCION GLUCOSADA (DEXTROSA) 10% SACHET 500 ML</t>
  </si>
  <si>
    <t>M4502214</t>
  </si>
  <si>
    <t>AGUA DESTILADA LITRO - BIDON 5-10 LT</t>
  </si>
  <si>
    <t>M4528138</t>
  </si>
  <si>
    <t>SOLUCION POLIELECTROLITICA (SODIO-MAGNESIO POT) 
500ML 526-502-61-37MG/100 (simil 627A)</t>
  </si>
  <si>
    <t>D0600001</t>
  </si>
  <si>
    <t>FILTRO P/ADM.SOL.PARENTERAL DESCARTABLE NUTRICION PARENT.C/LIPIDO 1,2 MICRONES</t>
  </si>
  <si>
    <t>Suturas SRL</t>
  </si>
  <si>
    <t>199/26</t>
  </si>
  <si>
    <t>M5003012</t>
  </si>
  <si>
    <t>FORMULA EN POLVO NUTRICIONALMENTE COMPLETA 1.5CAL/ML , HIPERCALORICA, HIPERPROTEICA CON FIBRA TIPO GOS Y FOS (PREBIOTICO). SABOR NEUTRO. LATA POR 700 GR (FORTISIP MAX)</t>
  </si>
  <si>
    <t>D0201190</t>
  </si>
  <si>
    <t>EQUIPOS PARA ADMINISTRACION DE SOLUCIONES CARDIOPLEGICAS SANGUINEAS CON BOLSA DE MEZCLA, ENFRIADOR Y PISTA DE 9 mm. 
(RIVERO N-99 ó CARDIOPACK CV 799 ó EUROSET EU 4333)</t>
  </si>
  <si>
    <t>JK Medical</t>
  </si>
  <si>
    <t>I0109004</t>
  </si>
  <si>
    <t>CONECTOR DE ALTA PRESION P/JERINGA PRELLENADA P/USO DE ESTUDIOS DE HEMODINAMIA HASTA 1200 PSI LARGO 75-90 CM</t>
  </si>
  <si>
    <t xml:space="preserve">I0701013 </t>
  </si>
  <si>
    <t>PROLONGADOR (ESPIRALADO) BIFURCADO C/DOBLE CONECTOR EN T HEMBRA 1,5 MTS. P/BOMBA DE INFUSION PARA CONTRASTE DE RESONANCIA MAGNETICA (SIMILAR A MEDRAD® SALIENT).</t>
  </si>
  <si>
    <t>Radiográfica oeste</t>
  </si>
  <si>
    <t>M2615230</t>
  </si>
  <si>
    <t>CALCIO GLUCONATO INYECTABLE 10% 10ML</t>
  </si>
  <si>
    <t>225/26</t>
  </si>
  <si>
    <t>M2615141</t>
  </si>
  <si>
    <t>DIPIRIDAMOL INYECTABLE 10MG-2ML</t>
  </si>
  <si>
    <t>M2601033</t>
  </si>
  <si>
    <t>ESTREPTOQUINASA INYECTABLE 1.500.000UI</t>
  </si>
  <si>
    <t>M2501098</t>
  </si>
  <si>
    <t>FENILEFRINA INYECTABLE 10MG-1ML</t>
  </si>
  <si>
    <t>M3801011</t>
  </si>
  <si>
    <t>FLUMAZENIL 0,5 MG AMPOLLAS</t>
  </si>
  <si>
    <t>M0141283</t>
  </si>
  <si>
    <t>DESMOPRESINA INYECTABLE 4MCG/ML 1ML</t>
  </si>
  <si>
    <t>209/26</t>
  </si>
  <si>
    <t>M2501027</t>
  </si>
  <si>
    <t>DILTIAZEM 25 MG FRASCO AMPOLLA 5 ML</t>
  </si>
  <si>
    <t>M2501038</t>
  </si>
  <si>
    <t>ENALAPRIL INYECTABLE 1.25MG</t>
  </si>
  <si>
    <t>M3706209</t>
  </si>
  <si>
    <t>GAMMAGLOBULINA ANTI RH (D) INYECTABLE 330MCG</t>
  </si>
  <si>
    <t>M4001112</t>
  </si>
  <si>
    <t>CIPROFLOXACINA-DEXAMETASONA COLRIO 0,3%-0,1%</t>
  </si>
  <si>
    <t>M1708149</t>
  </si>
  <si>
    <t>CLOBETASOL CREMA 15 gr</t>
  </si>
  <si>
    <t>M3601026</t>
  </si>
  <si>
    <t>DESMOPRESINA SPRAY NASAL 0,1 mg/ml 5 ml</t>
  </si>
  <si>
    <t>M1109194</t>
  </si>
  <si>
    <t>ERITROMICINA CAPSULAS DESCARTABLES 0.5% SOL.</t>
  </si>
  <si>
    <t xml:space="preserve"> M4023155</t>
  </si>
  <si>
    <t>FLUORESCEINA 0,25 % GOTAS</t>
  </si>
  <si>
    <t>M4023114</t>
  </si>
  <si>
    <t>M1708144</t>
  </si>
  <si>
    <t>FLUTICASONA SPRAY NASAL 50 MCG</t>
  </si>
  <si>
    <t>M4023119</t>
  </si>
  <si>
    <t xml:space="preserve">PREDNISOLONA + FENILEFRINA COLIRIO (1-0,12%) </t>
  </si>
  <si>
    <t xml:space="preserve">M0314158 </t>
  </si>
  <si>
    <t>M1232113</t>
  </si>
  <si>
    <t>CLORPROMAZINA COMPRIMIDOS 100 MG</t>
  </si>
  <si>
    <t>M1232111</t>
  </si>
  <si>
    <t>CLORPROMAZINA COMPRIMIDOS 25 MG</t>
  </si>
  <si>
    <t>M1201077</t>
  </si>
  <si>
    <t>GABAPENTIN COMPRIMIDOS 300 MG</t>
  </si>
  <si>
    <t>M3318152</t>
  </si>
  <si>
    <t>CARBONATO DE SEVELAMER 800 MG COMPRIMIDOS</t>
  </si>
  <si>
    <t>M3629166</t>
  </si>
  <si>
    <t>CINACALCET 30 MG COMPRIMIDOS</t>
  </si>
  <si>
    <t>M3501112</t>
  </si>
  <si>
    <t>ALLOPURINOL COMPRIMIDOS 300MG</t>
  </si>
  <si>
    <t>M2701022</t>
  </si>
  <si>
    <t>FLUDROCORTISONA 0,1 MG COMPRIMIDOS</t>
  </si>
  <si>
    <t>M1701023</t>
  </si>
  <si>
    <t>KETOROLAC COMPRIMIDO 20 MG</t>
  </si>
  <si>
    <t>M0200106</t>
  </si>
  <si>
    <t>METADONA 10 MG COMP</t>
  </si>
  <si>
    <t>M3601011</t>
  </si>
  <si>
    <t>METIMAZOL COMPRIMIDOS 5MG</t>
  </si>
  <si>
    <t>M2514111</t>
  </si>
  <si>
    <t>MONONITRATO DE ISOSORBIDE COMPRIMIDOS 20MG</t>
  </si>
  <si>
    <t>M0501125</t>
  </si>
  <si>
    <t>HIERRO SULFATO 200 MG COMPRIMIDOS</t>
  </si>
  <si>
    <t>CENTRALIZADA</t>
  </si>
  <si>
    <t>M1239111</t>
  </si>
  <si>
    <t>LEVODOPA CARBIDOPA COMPRIMIDOS 250MG</t>
  </si>
  <si>
    <t xml:space="preserve">M3629178  </t>
  </si>
  <si>
    <t>LEVOTIROXINA SODICA 125 MCG - COMPRIMIDO</t>
  </si>
  <si>
    <t>M3629169</t>
  </si>
  <si>
    <t>LEVOTIROXINA SODICA 50 MCG - COMPRIMIDO</t>
  </si>
  <si>
    <t>M3259582</t>
  </si>
  <si>
    <t>METOTREXATO 15 MG COMPRIMIDOS</t>
  </si>
  <si>
    <t>M3201013</t>
  </si>
  <si>
    <t>METOTREXATO 2,5 MG COMPRIMIDOS</t>
  </si>
  <si>
    <t>M3259143</t>
  </si>
  <si>
    <t>METOTREXATO 7,5 MG COMPRIMIDOS</t>
  </si>
  <si>
    <t>M2434199</t>
  </si>
  <si>
    <t>SALBUTAMOL GOTAS</t>
  </si>
  <si>
    <t>M1201139</t>
  </si>
  <si>
    <t>VENLAFAXINA COMPRIMIDOS 75MG</t>
  </si>
  <si>
    <t>M3601027</t>
  </si>
  <si>
    <t>CABERGOLINA 0,5 MG COMPRIMIDOS</t>
  </si>
  <si>
    <t>M1201067</t>
  </si>
  <si>
    <t>DIMENHIDRATO COMPRIMIDOS 50MG</t>
  </si>
  <si>
    <t>M1246428</t>
  </si>
  <si>
    <t>BUPROPIÓN 150 MG COMP</t>
  </si>
  <si>
    <t>M3006111</t>
  </si>
  <si>
    <t>ACETAZOLAMIDA COMPRIMIDOS 250MG</t>
  </si>
  <si>
    <t>M3601002</t>
  </si>
  <si>
    <t>DESMOPRESINA COMPRIMIDOS 0.1MG</t>
  </si>
  <si>
    <t>M2511111</t>
  </si>
  <si>
    <t>DIGOXINA COMPRIMIDO 0.25MG</t>
  </si>
  <si>
    <t>M2534257</t>
  </si>
  <si>
    <t>PROPRANOLOL COMPRIMIDOS 40MG</t>
  </si>
  <si>
    <t>M4601050</t>
  </si>
  <si>
    <t>VITAMINA D3 (1,25(OH)2 COLECALCIFEROL (CALCITRIOL)) capsulas 0,25 mcg</t>
  </si>
  <si>
    <t>M5010025</t>
  </si>
  <si>
    <t>POTASIO CLORURO CAPSULAS 600 MG</t>
  </si>
  <si>
    <t>M3103147</t>
  </si>
  <si>
    <t>ESTRADIOL GEL 80 GRS</t>
  </si>
  <si>
    <t xml:space="preserve"> M2615168</t>
  </si>
  <si>
    <t>ADHESIVO TISULAR EN BASE A ENBUCRILATO X 0.5 ML (HYSTOACRIL)</t>
  </si>
  <si>
    <t>M3254111</t>
  </si>
  <si>
    <t>LEUPROLIDE ACETATO 7,5 MG JERINGA PRELLENADA</t>
  </si>
  <si>
    <t>M3501114</t>
  </si>
  <si>
    <t>RASBURICASA AMPOLLAS 1,5 MG</t>
  </si>
  <si>
    <t>M3629116</t>
  </si>
  <si>
    <t>TESTOSTERONA AMPOLLAS 250MG/1ML</t>
  </si>
  <si>
    <t>M3701068</t>
  </si>
  <si>
    <t>TIMOMODULINA AMPOLLA BEBIBLE 60MG-15ML</t>
  </si>
  <si>
    <t>M4601063</t>
  </si>
  <si>
    <t>VITAMINA B1-B6-B12-FRASCO AMPOLLA LIOFILIZADO-INYECTABLE-100MG-200MG-10.000MCG</t>
  </si>
  <si>
    <t>M0301111</t>
  </si>
  <si>
    <t>TIOPENTAL SODICO FCO AMPOLLA 1GR-50ML</t>
  </si>
  <si>
    <t>M1805131</t>
  </si>
  <si>
    <t>ISAVUCONAZOL 100 MG CAPSULAS</t>
  </si>
  <si>
    <t>M1805134</t>
  </si>
  <si>
    <t>ISAVUCONAZOL FRASCO AMPOLLA 200 MGR.</t>
  </si>
  <si>
    <t>M2022268</t>
  </si>
  <si>
    <t>CLORHEXIDINA XILITOL COLUTORIO 0,12%-10% 250 ml</t>
  </si>
  <si>
    <t>M3629130</t>
  </si>
  <si>
    <t>GONADOTROFINA HUMANA MENOPAUSICA 75 UI FA (MENOPUR O SIMILAR - )</t>
  </si>
  <si>
    <t>M0502111</t>
  </si>
  <si>
    <t>ACIDO FOLICO-COMPLEJO B INYECTABLE</t>
  </si>
  <si>
    <t xml:space="preserve"> E0350323</t>
  </si>
  <si>
    <t>AEROCAMARA ADULTO VARIAS MEDIDAS</t>
  </si>
  <si>
    <t>M1246408</t>
  </si>
  <si>
    <t>CANNABIDIOL FRASCO SOLUCION ORAL. 100 MG/ML x 30 ml</t>
  </si>
  <si>
    <t>M2501040</t>
  </si>
  <si>
    <t>ESMOLOL 100 MG FRASCO AMPOLLA 10 ML</t>
  </si>
  <si>
    <t xml:space="preserve"> M3601040</t>
  </si>
  <si>
    <t>SILDENAFIL 50 MG COMPRIMIDOS</t>
  </si>
  <si>
    <t>M3201020</t>
  </si>
  <si>
    <t>CICLOSPORINA CAPSULAS 100 MG</t>
  </si>
  <si>
    <t>M3201009</t>
  </si>
  <si>
    <t>LEUCOVORINA CALCICA COMPRIMIDOS 15MG</t>
  </si>
  <si>
    <t>M2534245</t>
  </si>
  <si>
    <t>PRASUGREL 10 MG COMP</t>
  </si>
  <si>
    <t>PROGESTERONA COMPRIMIDOS 200MGRS</t>
  </si>
  <si>
    <t>M2534230</t>
  </si>
  <si>
    <t>VALSARTAN SACUBITRIL 200MG</t>
  </si>
  <si>
    <t>M2301005</t>
  </si>
  <si>
    <t>ACIDO URSODESOXICOLICO COMPRIMIDOS 300MG</t>
  </si>
  <si>
    <t>M2501111</t>
  </si>
  <si>
    <t>AMIODARONA COMPRIMIDOS 200MG</t>
  </si>
  <si>
    <t>M2709135</t>
  </si>
  <si>
    <t>BUDESONIDE 200 MCG + FORMOTEROL FUMARATO 6 MCG CAPSULAS</t>
  </si>
  <si>
    <t>M1101006</t>
  </si>
  <si>
    <t>CIPROFLOXACINA 500 MG COMPRIMIDOS</t>
  </si>
  <si>
    <t>Consumo mensual 1er  trimestre 2025</t>
  </si>
  <si>
    <t>Cantidad pedida 2023</t>
  </si>
  <si>
    <t>YH301302</t>
  </si>
  <si>
    <t>INDICADOR QUIMICO EXTERNO P/PROCESOS POR OXIDO DE ETILENO (CLASE 1) CINTA DE PAPEL 20-25 X 50 MM UNIDAD</t>
  </si>
  <si>
    <t>KIMS</t>
  </si>
  <si>
    <t>148/26</t>
  </si>
  <si>
    <t>319/2026</t>
  </si>
  <si>
    <t xml:space="preserve"> YH106003</t>
  </si>
  <si>
    <t>TEST DE BOWIE DICK PACK P/PROCESOS DE ESTERILIZACION POR CALOR HUMEDO POR UNIDAD</t>
  </si>
  <si>
    <t xml:space="preserve"> YH100005</t>
  </si>
  <si>
    <t>INDICADOR INTEGRADOR CLASE 5 P/PROCESOS POR VAPOR DE AGUA UNIDAD TIRA DE PAPEL RESULTADO INMEDIATO QUE REACCIONE A PARAMETROS CRITICOS TIEMPO TEMPERATURA Y VAPOR SATURADO ISO 11140</t>
  </si>
  <si>
    <t>YI100302</t>
  </si>
  <si>
    <t>INDICADOR BIOLOGICO UNIDAD LECTURA RAPIDA PARA VAPOR DE AGUA. INDICADOR BIOLÓGICO QUE CONTENGA Geobacillus stearothermophilus 10^6 esporas por vial PARA VAPOR DE AGUA TIPO BT 222 o 223.</t>
  </si>
  <si>
    <t>YI400301</t>
  </si>
  <si>
    <t xml:space="preserve"> INDICADOR BIOLOGICO EN FORMA DE TIRA DE ESPORA CONTENIENDO BACILLUS ATROPHEAUS Y GEOBACILUUS STEAROTHERMOPHILUS P/PROCES A LOS AGENTES DE ESTERILIZACIÒN UNIDAD INOCULADA CON AL MENOS 10 6 BA Y AL MENOS 10 5 GS ENVUELTAS EN ENVASE INDIVIDUAL PERMEABLE A LOS AGENTES DE ESTERILIZACIÓN P/PROCESOS POR CALOR SECO</t>
  </si>
  <si>
    <t>BYMED</t>
  </si>
  <si>
    <t xml:space="preserve">D0803183  </t>
  </si>
  <si>
    <t>COMPRESA GASA TEJIDA UNIDAD TEJIDA C/COLA RADIOPACA 45 X 45</t>
  </si>
  <si>
    <t>318/2026</t>
  </si>
  <si>
    <t>D0890091</t>
  </si>
  <si>
    <t xml:space="preserve">GASA TIPO TUBULAR UNIDAD MEDIDA 0,80 X 40 M. </t>
  </si>
  <si>
    <t>Igaltex</t>
  </si>
  <si>
    <t>180/26</t>
  </si>
  <si>
    <t>328/26</t>
  </si>
  <si>
    <t>Descripcion de gasa cod D0890091 
Hilado de puro algodón, tejido de punto tipo tubular o tejido plano tipo rectilíneo, limpiada, blanqueada, desengrasada y sin apresto, de color blanco, suave al tacto, no quebradiza y no crujiente al apretarla con la mano. No debe contener blanqueador óptico. Trama /urdimbre No menos de 4 pasadas por cm, 4 cadenas por cm, con una suma de ambos no menor de 10 hilos/cm².
Gramaje 22 y 36 gramos por m². Medidas Ancho: 80 cm ± 2% / Largo: 40 m ± 2%
Otros parámetros físicoquímicos Sustancias solubles en agua, sustancias tensioactivas, almidón, otros según especificaciones de FA VII Ed. Empaque Bolsa de polietileno impresa conteniendo 1 pieza de gasa x 40 m.
Embalaje Cada pieza tendrá impreso un rótulo indicando como mínimo: Denominación, Proveedor, medidas (longitud y ancho), LotePartida, otros datos de especificación si corresponde, UNIDAD DE MEDIDA KG. SE DEBERAN ENTREGAR TANTAS UNIDADES
COMO SEAN NECESESARIAS HASTA COMPLETAR LA CANTIDAD DE KG SOLICITADOS.</t>
  </si>
  <si>
    <t>YA312105</t>
  </si>
  <si>
    <t>PAPEL USO MEDICO CREPADO AZUL-VERDE BOBINA 120 CMS X 100 M DE LARGO.  CON INDICADOR QUIMICO INCORPORADO.</t>
  </si>
  <si>
    <t>305/25</t>
  </si>
  <si>
    <t>117/26</t>
  </si>
  <si>
    <t>YA222105</t>
  </si>
  <si>
    <t xml:space="preserve">PAPEL USO MEDICO LISO TIPO KRAFT BLANCO BOBINA 120 CMS DE ANCHO X 100 M DE LARGO    </t>
  </si>
  <si>
    <t>YA253305</t>
  </si>
  <si>
    <t xml:space="preserve">PAPEL USO MEDICO LISO C/INDICADOR QUIMICO BOLSA TERMOSOLDABLE 125 X 250 X 50-90 MM  C/FUELLE </t>
  </si>
  <si>
    <t>YA253308</t>
  </si>
  <si>
    <t>PAPEL USO MEDICO LISO C/INDICADOR QUIMICO BOLSA TERMOSOLDABLE 140-195 X 300-320 X 40-50 MM C/FUELLE</t>
  </si>
  <si>
    <t>YA264205</t>
  </si>
  <si>
    <t>PAPEL USO MEDICO LISO Y LAMINA TRANSPARENTE C/INDICADOR QUIMICO ENVASE MIXTO 75 MM X 200 M BOBINA POUCH P/ESTERILIZAR POR VAPOR DE AGUA Y ETO</t>
  </si>
  <si>
    <t>ABLE</t>
  </si>
  <si>
    <t>120/26</t>
  </si>
  <si>
    <t>YA264213</t>
  </si>
  <si>
    <t xml:space="preserve">PAPEL USO MEDICO LISO Y LAMINA TRANSPARENTE C/INDICADOR QUIMICO ENVASE MIXTO 100 MM X 200 M BOBINA POUCH P/ESTERILIZAR POR VAPOR DE AGUA Y ETO </t>
  </si>
  <si>
    <t>YA264223</t>
  </si>
  <si>
    <t>PAPEL USO MEDICO LISO Y LAMINA TRANSPARENTE C/INDICADOR QUIMICO ENVASE MIXTO 200 MM X 200 M BOBINA POUCH P/ESTERILIZAR POR VAPOR DE AGUA Y ETO</t>
  </si>
  <si>
    <t>Electronplast</t>
  </si>
  <si>
    <t>118/26</t>
  </si>
  <si>
    <t>YH106003</t>
  </si>
  <si>
    <t>Biscoechea</t>
  </si>
  <si>
    <t>YH100005</t>
  </si>
  <si>
    <t>C8103111</t>
  </si>
  <si>
    <t>OXIDO DE ETILENO CARTUCHO PURO X 67 GR</t>
  </si>
  <si>
    <t>119/26</t>
  </si>
  <si>
    <t>KI299007</t>
  </si>
  <si>
    <t>SAL GRUESA 50 KG (ENTREGAR EN BOLSA DE 20-25 KG)</t>
  </si>
  <si>
    <t>INDICADOR BIOLOGICO AUTOCONTENIDO P/PROCESOS POR OXIDO DE ETILENO C/ESPORAS DE BACILLUS ATROPHEAUS VEZ UNA AMPOLLA CON EL MEDIO DE CULTIVO TUBOS PLASTICOS QUE CONTIENEN NO MENOS DE 106 UFC INOCULADAS EN UNA TIRA DE PAPEL Y A SU UNIDAD. EN ENVASE PLASTICO QUE PERMITA LA RUPTURA DE LA AMPOLLA SIN FISURARSE. CON FECHA DE VENCIMIENTO, LOTE E INDICADOR QUIMICO ADECUADO. INDICADOR BIOLOGICO UNIDAD LECTURA RAPIDA PARA OXIDO DE ETILENO. INCLUYE PROVISION DE INCUBADORA PARA LECTURA DE INDICADOR.</t>
  </si>
  <si>
    <t>INDICADOR BIOLOGICO UNIDAD LECTURA RAPIDA PARA VAPOR DE AGUA. INCLUYE PROVISION DE INCUBADORA PARA LECTURA DE INDICADOR.</t>
  </si>
  <si>
    <t>INDICADOR BIOLOGICO EN FORMA DE TIRA DE ESPORA CONTENIENDO BACILLUS ATROPHEAUS Y GEOBACILUUS STEAROTHERMOPHILUS P/PROCES A LOS AGENTES DE ESTERILIZACIÒN UNIDAD INOCULADA CON AL MENOS 10 6 BA Y AL MENOS 10 5 GS ENVUELTAS EN ENVASE INDIVIDUAL PERMEABLE A LOS AGENTES DE ESTERILIZACIÓN P/PROCESOS POR CALOR SECO</t>
  </si>
  <si>
    <t>D0804117</t>
  </si>
  <si>
    <t>OBRA OXIDO DE ETILENO</t>
  </si>
  <si>
    <t>Z9991337</t>
  </si>
  <si>
    <t>MAQUINA PARA CORTAR TELA</t>
  </si>
  <si>
    <t>ARREGLO AUTOCLAVE 2</t>
  </si>
  <si>
    <t>ARREGLO AUTOCLAVE 1</t>
  </si>
  <si>
    <t>ABONO MANTENIMIENTO 2DO SEMESTRE</t>
  </si>
  <si>
    <t>YI100301</t>
  </si>
  <si>
    <t>INDICADOR BIOLOGICO AUTOCONTENIDO P/PROCESOS POR VAPOR DE AGUA CON ESPORAS DE GEOBACILUS STEAROTHERMOPHILUS 1 AMPOLLA CON EL MEDIO DE CULTIVO - UNID TUBOS PLASTICO QUE CONTIENEN NO MENOS DE 10 5 UFC INOCULADAS EN 1 TIRA DE PAPEL Y A SU VEZ ENVASE PLASTICO QUE PERMITA LA RUPTURA DE LA AMPOLLA SIN FISURARSE. CON FECHA DE VENCIMIENTO, LOTE O INDICADOR QUIMICO ADECUADO.</t>
  </si>
  <si>
    <t>DESIERTOS 2 2025</t>
  </si>
  <si>
    <t>ABONO MANTENIMIENTO 1ER SEMESTRE</t>
  </si>
  <si>
    <t>YA264228</t>
  </si>
  <si>
    <t>PAPEL USO MEDICO LISO Y LAMINA TRANSPARENTE C/INDICADOR QUIMICO ENVASE MIXTO 300 MM DE X 200M BOBINA POUCH P/ESTERILIZAR POR VAPOR DE AGUA Y ETO</t>
  </si>
  <si>
    <t>YH104003</t>
  </si>
  <si>
    <t>INDICADOR QUIMICO EXTERNO P/PROCESOS POR CALOR HUMEDO (CLASE 1) ROLLOS DE CINTA AUTOADHESIVA DE PAPEL 15-20 MM X 50 M UNIDAD APTOS P/EL CIERRE DE CUALQUIER TIPO DE PAQUETE.</t>
  </si>
  <si>
    <t>D0804118</t>
  </si>
  <si>
    <t>GASA NO TEJIDA SOBRE X 5 UNIDADES - UNIDAD SINTÉTICA 15 X 15</t>
  </si>
  <si>
    <t>D0804119</t>
  </si>
  <si>
    <t>GASA NO TEJIDA SOBRE X 3 UNIDADES - UNIDAD SINTÉTICA 20 X 40</t>
  </si>
  <si>
    <t>D0890072</t>
  </si>
  <si>
    <t>GASA NO TEJIDA ENVASE POR 5 UNIDADES MEDIDA 30 CM X 40 CM CON TESTIGO RADIOPACO</t>
  </si>
  <si>
    <t>D0803159</t>
  </si>
  <si>
    <t>APOSITO 35 GRS. UNIDAD QUIRÚRGICO 15 X 30 CM</t>
  </si>
  <si>
    <t>APOSITO 17 GRS. UNIDAD QUIRÚRGICO 10 X 15 CM</t>
  </si>
  <si>
    <t>D0803161</t>
  </si>
  <si>
    <t>APOSITO 32 GRS. UNIDAD QUIRÚRGICO 20 X 30 CM</t>
  </si>
  <si>
    <t>D0803160</t>
  </si>
  <si>
    <t>APOSITO UNIDAD QUIRÚRGICO 12 X 20</t>
  </si>
  <si>
    <t>D0803162</t>
  </si>
  <si>
    <t>APOSITO UNIDAD QUIRÚRGICO 10 X 12 CM</t>
  </si>
  <si>
    <t>FILTRO MASCARA OXIDO ETILENO</t>
  </si>
  <si>
    <t>ARREGLOS O SOLICITUDES</t>
  </si>
  <si>
    <t>743476 CON ORDEN DE COMPRA</t>
  </si>
  <si>
    <t>ok</t>
  </si>
  <si>
    <t>740324 CON ORDEN DE COMPRA</t>
  </si>
  <si>
    <t>740321 CON ORDEN DE COMPRA</t>
  </si>
  <si>
    <t>757439 VALIDACION CABINA</t>
  </si>
  <si>
    <t>760300 REPUESTOS EQUIPO (YA INSTALADOS)</t>
  </si>
  <si>
    <t>760305 VALVULAS DE SEGURIDAD</t>
  </si>
  <si>
    <t>Cantidad pedida 1 sem 2026</t>
  </si>
  <si>
    <t>Cantidad 2026 1ER sem corregida</t>
  </si>
  <si>
    <t>Cantidad 2025 2do sem</t>
  </si>
  <si>
    <t>51/25</t>
  </si>
  <si>
    <t>M2601053</t>
  </si>
  <si>
    <t>HEPARINA SODICA FCO AMPOLLA 5000UI/ML - 5 ML</t>
  </si>
  <si>
    <t>95/26</t>
  </si>
  <si>
    <t>M4001052</t>
  </si>
  <si>
    <t>ACIDO POLIACRILICO GEL OFTALMICO 2MG/1GR</t>
  </si>
  <si>
    <t>Poggi</t>
  </si>
  <si>
    <t>63/25</t>
  </si>
  <si>
    <t>M4104111</t>
  </si>
  <si>
    <t>ADRENALINA CLORHIDRATO INYECTABLE 1MG</t>
  </si>
  <si>
    <t>152/26</t>
  </si>
  <si>
    <t>M4116123</t>
  </si>
  <si>
    <t>ATRACURIUM AMPOLLAS 50MG-5ML</t>
  </si>
  <si>
    <t>153/26</t>
  </si>
  <si>
    <t>33</t>
  </si>
  <si>
    <t>M1201017</t>
  </si>
  <si>
    <t>DEXMEDETOMIDINA INYECTABLE 100MCG/ML-2ML</t>
  </si>
  <si>
    <t>350</t>
  </si>
  <si>
    <t>Richet</t>
  </si>
  <si>
    <t>149/26</t>
  </si>
  <si>
    <t>M1210131</t>
  </si>
  <si>
    <t>DIAZEPAM INYECTABLE 10MG-2ML</t>
  </si>
  <si>
    <t>154/26</t>
  </si>
  <si>
    <t>M2501032</t>
  </si>
  <si>
    <t>DOBUTAMINA INYECTABLE 250MG-20ML</t>
  </si>
  <si>
    <t>116</t>
  </si>
  <si>
    <t>ENOXAPARINA 60 MG - 0,6 ML</t>
  </si>
  <si>
    <t>M0216124</t>
  </si>
  <si>
    <t>FENTANILO BASE AMPOLLAS 50MCG/ 5ML</t>
  </si>
  <si>
    <t>M1246414</t>
  </si>
  <si>
    <t>LORAZEPAM AMPOLLAS 4 MG</t>
  </si>
  <si>
    <t>300</t>
  </si>
  <si>
    <t>M1246411</t>
  </si>
  <si>
    <t>MIDAZOLAM AMPOLLAS 5MG/ML 3 ML 15 MG</t>
  </si>
  <si>
    <t>150/26</t>
  </si>
  <si>
    <t>M2534252</t>
  </si>
  <si>
    <t>MILRINONA 10 MG FA</t>
  </si>
  <si>
    <t>1133</t>
  </si>
  <si>
    <t>M2501116</t>
  </si>
  <si>
    <t>NORADRENALINA AMPOLLAS 1MG-4ML</t>
  </si>
  <si>
    <t>M0301154</t>
  </si>
  <si>
    <t>PROPOFOL AMPOLLAS 10MG/-20ML</t>
  </si>
  <si>
    <t>Fresenius</t>
  </si>
  <si>
    <t>151/26</t>
  </si>
  <si>
    <t>M0301153</t>
  </si>
  <si>
    <t>PROPOFOL AMPOLLAS 50 ML FA</t>
  </si>
  <si>
    <t>M0200125</t>
  </si>
  <si>
    <t>REMIFENTANILO AMPOLLAS 5MG 10ML</t>
  </si>
  <si>
    <t>333</t>
  </si>
  <si>
    <t>M0314147</t>
  </si>
  <si>
    <t>ROCURONIO 10 MG FA 5 ML</t>
  </si>
  <si>
    <t>M4101040</t>
  </si>
  <si>
    <t>SUCCINILCOLINA 100 MG FA</t>
  </si>
  <si>
    <t>M0314149</t>
  </si>
  <si>
    <t>SUGAMMADEX 100 MG (100 MG/ML X 2 ML)</t>
  </si>
  <si>
    <t>Finadiet</t>
  </si>
  <si>
    <t>155/26</t>
  </si>
  <si>
    <t>M4101048</t>
  </si>
  <si>
    <t>BROMURO DE PANCURONIO AMPOLLAS 2MG/2ML</t>
  </si>
  <si>
    <t>M2000043</t>
  </si>
  <si>
    <t>CLORHEXIDINA XILITOL COLUTORIO 0,12%-10% litro</t>
  </si>
  <si>
    <t>M2501035</t>
  </si>
  <si>
    <t>DOPAMINA INYECTABLE 200MG-5ML</t>
  </si>
  <si>
    <t>M2601029</t>
  </si>
  <si>
    <t>ENOXAPARINA 40MG - 0.4ML</t>
  </si>
  <si>
    <t>477</t>
  </si>
  <si>
    <t>M2601031</t>
  </si>
  <si>
    <t>ENOXAPARINA 80MG - 0.8 ML</t>
  </si>
  <si>
    <t>387</t>
  </si>
  <si>
    <t>GAMMAGLOBULINA HUMANA 2,5 GR</t>
  </si>
  <si>
    <t>M3701018</t>
  </si>
  <si>
    <t>GAMMAGLOBULINA HUMANA 5 GR</t>
  </si>
  <si>
    <t>M2509113</t>
  </si>
  <si>
    <t>NITROPRUSIATO DE SODIO INYECTABLE 50MG</t>
  </si>
  <si>
    <t>M4101041</t>
  </si>
  <si>
    <t>SUCCINICOLINA FCO AMPOLLA 500 MG-10ML</t>
  </si>
  <si>
    <t>BLOQUEANTES NEUROMUSCULARES --&gt; A RAZON DE USAR DOSIS MAXIMA PARA UN PACIENTE DE 70 KILOS</t>
  </si>
  <si>
    <t>costo 2024</t>
  </si>
  <si>
    <t>costo dia</t>
  </si>
  <si>
    <t>ATRACURIO --&gt; DOSIS 20 MCG/KG/MIN --&gt; GOTEO DE 25 ML/HORA --&gt; PREPARACIÓN 10 AMPOLLAS (50 ML) + 100 ML --&gt; TOTAL AMPOLLAS DIA 40</t>
  </si>
  <si>
    <t>PARA INSUFICIENCIA RENAL</t>
  </si>
  <si>
    <t>VECURONIO --&gt; DOSIS 70 MCG/KG/HOR --&gt; GOTEO A 15 ML/HORA --&gt; PREPARACION 5 AMPOLLAS (50 ML) + 100 ML --&gt; TOTAL AMPOLLAS 15</t>
  </si>
  <si>
    <t>DE ELECCION PARA QUIROFANO</t>
  </si>
  <si>
    <t>PANCURONIO --&gt; DOSIS 0,12 MG/KG/HOR --&gt; GOTEO DE 25 ML/HORA --&gt; PREPARACIÓN 10 AMPOLLAS (20 ML) + 100 ML --&gt; TOTAL AMPOLLAS DIA 50</t>
  </si>
  <si>
    <t>NADIE LO QUIERE PERO ES EL MAS BARATO</t>
  </si>
  <si>
    <t>ROCURONIO --&gt; DOSIS 12 MCG/KG/MIN --&gt; GOTEO DE 30 ML/HORA --&gt; PREPARACIÓN 4 AMPOLLAS (20 ML) + 100 ML --&gt; TOTAL AMPOLLAS DIA 24</t>
  </si>
  <si>
    <t>REQUIERE ANTIDOTO</t>
  </si>
  <si>
    <t>ESPERAMOS AMPLIACIÓN PARA DEFINIR COMPRA</t>
  </si>
  <si>
    <t>NO PEDIMOS</t>
  </si>
  <si>
    <t>PEDIMOS LO PAUTADO CONTEMPLANDO LA AMPLIACION - SI NO SALE AMPLIACIÓN AGREGAMOS LA MISMA</t>
  </si>
  <si>
    <t>278/25</t>
  </si>
  <si>
    <t>M0306112</t>
  </si>
  <si>
    <t>BUPIVACAINA HIPERBARICA-AMPOLLA-INYECTABLE-0.5% - 4 ML</t>
  </si>
  <si>
    <t>93/26</t>
  </si>
  <si>
    <t>M1246400</t>
  </si>
  <si>
    <t>ETOMIDATO 2 MG/ML 20 ML</t>
  </si>
  <si>
    <t>M0314127</t>
  </si>
  <si>
    <t>LIDOCAINA C/EPINEFRINA ANESTUBO 2%-1:50000</t>
  </si>
  <si>
    <t>LIDOCAINA C/EPINEFRINA FCO AMPOLLA 1%-20ML</t>
  </si>
  <si>
    <t>M0314153</t>
  </si>
  <si>
    <t xml:space="preserve">LIDOCAINA S/EPINEFRINA 1% ampollas 5 ml </t>
  </si>
  <si>
    <t>M0314152</t>
  </si>
  <si>
    <t>LIDOCAINA S/EPINEFRINA FA 1% 20 ML</t>
  </si>
  <si>
    <t>91/26</t>
  </si>
  <si>
    <t>M0301130</t>
  </si>
  <si>
    <t>LIDOCAINA SPRAY 10%</t>
  </si>
  <si>
    <t>M0308151</t>
  </si>
  <si>
    <t>LIDOCAINA VISCOSA 2% 50 ML</t>
  </si>
  <si>
    <t>M0314116</t>
  </si>
  <si>
    <t xml:space="preserve">SEVOFLURANO 100%-250 ML. INCLUYE SERVICIO DE MANTENIMIENTO DE LOS VAPORIZADORES. </t>
  </si>
  <si>
    <t xml:space="preserve">SEVOFLURANO 100%-250 ML QUICK FILL.  INCLUYE SERVICIO DE MANTENIMIENTO DE LOS VAPORIZADORES. </t>
  </si>
  <si>
    <t>30</t>
  </si>
  <si>
    <t>25</t>
  </si>
  <si>
    <t>0</t>
  </si>
  <si>
    <t>M0301006</t>
  </si>
  <si>
    <t>BUPIVACAINA INYECTABLE 0.5%-10ML</t>
  </si>
  <si>
    <t>M0301151</t>
  </si>
  <si>
    <t>ROPIVACAINA FCO. AMPOLLA 10MG/ML - 20 ML</t>
  </si>
  <si>
    <t>08/26</t>
  </si>
  <si>
    <t>M2101029</t>
  </si>
  <si>
    <t>ACETILCISTEINA 600 MG COMPRIMIDOS EFERVESCENTES</t>
  </si>
  <si>
    <t>244/26</t>
  </si>
  <si>
    <t>M2615219</t>
  </si>
  <si>
    <t>ACIDO TRANEXAMICO 500 MG COMPRIMIDOS</t>
  </si>
  <si>
    <t>M2508112</t>
  </si>
  <si>
    <t>ALFA-METILDOPA COMPRIMIDOS 500 MG</t>
  </si>
  <si>
    <t>PILOÑA</t>
  </si>
  <si>
    <t>M2501009</t>
  </si>
  <si>
    <t>AMLODIPINA COMPRIMIDOS 10MG</t>
  </si>
  <si>
    <t>M2615212</t>
  </si>
  <si>
    <t>APIXABAN 5 MG COMPRIMIDOS</t>
  </si>
  <si>
    <t>M2615209</t>
  </si>
  <si>
    <t>ATORVASTATINA 40 MG COMP</t>
  </si>
  <si>
    <t>M2709183</t>
  </si>
  <si>
    <t>BETA METIL PREDNISONA COMPRIMIDOS 4 MG</t>
  </si>
  <si>
    <t>240/26</t>
  </si>
  <si>
    <t>BISACODILO 5 MG COMPRIMIDOS</t>
  </si>
  <si>
    <t>242/26</t>
  </si>
  <si>
    <t>M7201016</t>
  </si>
  <si>
    <t>CITRATO DE CLOMIFENO COMPRIMIDOS 50GR</t>
  </si>
  <si>
    <t>M4606112</t>
  </si>
  <si>
    <t>COMPLEJO VITAMINICO B COMPRIMIDOS</t>
  </si>
  <si>
    <t>M1708114</t>
  </si>
  <si>
    <t>DICLOFENAC SODICO-PRIDINOL MESILATO COMP 50MG-4MG</t>
  </si>
  <si>
    <t>M1601111</t>
  </si>
  <si>
    <t>DIFENHIDRAMINA COMPRIMIDOS 50 MG</t>
  </si>
  <si>
    <t>M2505111</t>
  </si>
  <si>
    <t>DILTIAZEM COMPRIMIDOS 60MG</t>
  </si>
  <si>
    <t>M3409046</t>
  </si>
  <si>
    <t>EMPAGLIFOZINA 10 MG COMPRIMIDOS</t>
  </si>
  <si>
    <t>M3002111</t>
  </si>
  <si>
    <t>ESPIRONOLACTONA 25 MG COMP</t>
  </si>
  <si>
    <t>DONNAX</t>
  </si>
  <si>
    <t>246/26</t>
  </si>
  <si>
    <t>M3626161</t>
  </si>
  <si>
    <t>LEVOTIROXINA COMPRIMIDOS 25 MCG</t>
  </si>
  <si>
    <t>M1305111</t>
  </si>
  <si>
    <t>LOPERAMIDA COMPRIMIDOS 2MG</t>
  </si>
  <si>
    <t>M1601028</t>
  </si>
  <si>
    <t>LORATADINA COMPRIMIDOS 10MG</t>
  </si>
  <si>
    <t>500</t>
  </si>
  <si>
    <t>M3401022</t>
  </si>
  <si>
    <t>METFORMINA COMPRIMIDOS 500MG</t>
  </si>
  <si>
    <t xml:space="preserve">M3601020 </t>
  </si>
  <si>
    <t>METIMAZOL 20 MG COMPRIMIDOS</t>
  </si>
  <si>
    <t>M1401111</t>
  </si>
  <si>
    <t>METOCLOPRAMIDA COMPRIMIDOS 10 MG</t>
  </si>
  <si>
    <t>M3706138</t>
  </si>
  <si>
    <t>MICOFENOLATO MOFETIL 500 MG COMPRIMIDOS</t>
  </si>
  <si>
    <t>M2501072</t>
  </si>
  <si>
    <t>NIMODIPINA COMPRIMIDOS 60MG</t>
  </si>
  <si>
    <t>M1701125</t>
  </si>
  <si>
    <t>PARACETAMOL COMPRIMIDOS 1GR</t>
  </si>
  <si>
    <t>M2310122</t>
  </si>
  <si>
    <t>POLIETILENGLICOL 3350 17 GR SOBRES</t>
  </si>
  <si>
    <t>M2534241</t>
  </si>
  <si>
    <t>VALSARTAN 160 MG COMPRIMIDOS</t>
  </si>
  <si>
    <t>M2534229</t>
  </si>
  <si>
    <t>VALSARTAN SACUBITRIL 100MG</t>
  </si>
  <si>
    <t>M2534228</t>
  </si>
  <si>
    <t>VALSARTAN SACUBITRIL 50MG</t>
  </si>
  <si>
    <t>VITAMINA B12 COMPRIMIDOS 1 o 2 MG</t>
  </si>
  <si>
    <t>M2701020</t>
  </si>
  <si>
    <t>DEXAMETASONA 8 MG COMPRIMIDOS</t>
  </si>
  <si>
    <t>ACENOCUMAROL COMPRIMIDOS 1 MG</t>
  </si>
  <si>
    <t>M1701049</t>
  </si>
  <si>
    <t>ACIDO ACETIL SALICILICO COMPRIMIDOS 500MG</t>
  </si>
  <si>
    <t>M2919246</t>
  </si>
  <si>
    <t>ACITRETINA 25 MG CAPSULAS</t>
  </si>
  <si>
    <t>M2523111</t>
  </si>
  <si>
    <t>ATENOLOL COMPRIMIDOS 100MG</t>
  </si>
  <si>
    <t xml:space="preserve"> M2601083</t>
  </si>
  <si>
    <t>ATORVASTATINA 10 MG COMPRIMIDOS</t>
  </si>
  <si>
    <t xml:space="preserve"> M1200149</t>
  </si>
  <si>
    <t>BETAHISTINA 8 MG COMPRIMIDOS</t>
  </si>
  <si>
    <t>M1601048</t>
  </si>
  <si>
    <t>DESLORATADINA 5 MG COMP</t>
  </si>
  <si>
    <t>M3103161</t>
  </si>
  <si>
    <t>DIENOGEST 2 MG COMPRIMIDOS</t>
  </si>
  <si>
    <t>M2513111</t>
  </si>
  <si>
    <t>DINITRATO DE ISOSORBIDE 5 MG COMP</t>
  </si>
  <si>
    <t>M0216165</t>
  </si>
  <si>
    <t>MORFINA 10 MG COMPRIMIDOS LIBERACION PROLONGADA</t>
  </si>
  <si>
    <t>M0216122</t>
  </si>
  <si>
    <t>MORFINA 30 MG COMPRIMIDOS LIBERACION PROLONGADA</t>
  </si>
  <si>
    <t>OXICODONA 20 MG COMP</t>
  </si>
  <si>
    <t>M2203127</t>
  </si>
  <si>
    <t>PANTOPRAZOL 20 MG CAPSULAS</t>
  </si>
  <si>
    <t>M0505134</t>
  </si>
  <si>
    <t>SULFATO FERROSO-ACIDO FOLICO COMP 525MG-0.35MG</t>
  </si>
  <si>
    <t>M4601017</t>
  </si>
  <si>
    <t>VITAMINA B1-B6-B12 250MG-250MG-3MG COMPRIMIDOS</t>
  </si>
  <si>
    <t>M4601003</t>
  </si>
  <si>
    <t>VITAMINA C COMPRIMIDOS 2 GR EFERVESCENTES</t>
  </si>
  <si>
    <t>M2615222</t>
  </si>
  <si>
    <t>VITAMINA K (FITOMENADIONA) 10 MG COMPRIMIDOS ENVASE X 10 UN</t>
  </si>
  <si>
    <t>Cantidad 2026 2do sem</t>
  </si>
  <si>
    <t xml:space="preserve"> M4208121</t>
  </si>
  <si>
    <t>ACICLOVIR COMPRIMIDOS 200 MG</t>
  </si>
  <si>
    <t>61/25</t>
  </si>
  <si>
    <t>159/26</t>
  </si>
  <si>
    <t>M4208112</t>
  </si>
  <si>
    <t>ACICLOVIR INYECTABLE 500MG</t>
  </si>
  <si>
    <t>160/26</t>
  </si>
  <si>
    <t>Gamma</t>
  </si>
  <si>
    <t>M0601113</t>
  </si>
  <si>
    <t>AMIKACINA SULFATO INYECTABLE 500MG-2ML</t>
  </si>
  <si>
    <t>M0720113</t>
  </si>
  <si>
    <t>AMPICILINA - SULBACTAM 1,5 GR FA</t>
  </si>
  <si>
    <t>M0702133</t>
  </si>
  <si>
    <t>AMPICILINA INYECTABLE 1GR</t>
  </si>
  <si>
    <t>M1804111</t>
  </si>
  <si>
    <t xml:space="preserve">  ANFOTERICINA B FRASCO AMPOLLA INYECTABLE 50 MG</t>
  </si>
  <si>
    <t>156/26</t>
  </si>
  <si>
    <t>M0801001</t>
  </si>
  <si>
    <t>AZITROMICINA 200 mg / 5 ml SUSPENSIÓN POLVO</t>
  </si>
  <si>
    <t>158/26</t>
  </si>
  <si>
    <t>M0801002</t>
  </si>
  <si>
    <t>AZITROMICINA COMPRIMIDOS 500MG</t>
  </si>
  <si>
    <t>M0701127</t>
  </si>
  <si>
    <t>AZTREONAM 1 GR FA</t>
  </si>
  <si>
    <t>M0714111</t>
  </si>
  <si>
    <t>CEFALOTINA INYECTABLE 1GR</t>
  </si>
  <si>
    <t>M0701146</t>
  </si>
  <si>
    <t>CEFAZOLINA INYECTABLE 1GR</t>
  </si>
  <si>
    <t>M0701148</t>
  </si>
  <si>
    <t>CEFEPIME 2 GR FA</t>
  </si>
  <si>
    <t>M0724122</t>
  </si>
  <si>
    <t>CEFOTAXIMA INYECTABLE 1GR</t>
  </si>
  <si>
    <t>M0718111</t>
  </si>
  <si>
    <t>CEFTAZIDIMA INYECTABLE 1GR</t>
  </si>
  <si>
    <t>M0717111</t>
  </si>
  <si>
    <t>CEFTRIAXONA INYECTABLE 1GR</t>
  </si>
  <si>
    <t>M1101034</t>
  </si>
  <si>
    <t>CIPROFLOXACINA SOLUCION INYECTABLE 200MG-100ML</t>
  </si>
  <si>
    <t>1560</t>
  </si>
  <si>
    <t>157/26</t>
  </si>
  <si>
    <t>M0801136</t>
  </si>
  <si>
    <t>CLARITROMICINA INYECTABLE 500MG</t>
  </si>
  <si>
    <t>CLINDAMICINA INYECTABLE 600MG</t>
  </si>
  <si>
    <t>COLISTINA INYECTABLE 100MG</t>
  </si>
  <si>
    <t>433</t>
  </si>
  <si>
    <t>M11R6001</t>
  </si>
  <si>
    <t>DAPSONA 100 MG COMPRIMIDOS</t>
  </si>
  <si>
    <t>57/25</t>
  </si>
  <si>
    <t>124/26</t>
  </si>
  <si>
    <t>M1109175</t>
  </si>
  <si>
    <t>DAPTOMICINA 500 MG FA</t>
  </si>
  <si>
    <t>121/26</t>
  </si>
  <si>
    <t>M1001001</t>
  </si>
  <si>
    <t>DOXICICLINA COMPRIMIDOS 100MG</t>
  </si>
  <si>
    <t>123/26</t>
  </si>
  <si>
    <t>M0701165</t>
  </si>
  <si>
    <t>ERTAPENEM INYECTABLE 1 GR FA</t>
  </si>
  <si>
    <t>M1104111</t>
  </si>
  <si>
    <t>FOSFOMICINA 1 GR AMPOLLAS</t>
  </si>
  <si>
    <t>M4201011</t>
  </si>
  <si>
    <t>GANCICLOVIR 500 MG FA</t>
  </si>
  <si>
    <t>GENTAMICINA 80 MG/ML AMPOLLAS</t>
  </si>
  <si>
    <t>M1901032</t>
  </si>
  <si>
    <t>IVERMECTINA COMPRIMIDOS 6MG</t>
  </si>
  <si>
    <t>M1801111</t>
  </si>
  <si>
    <t>KETOCONAZOL 200 MG COMPRIMIDOS</t>
  </si>
  <si>
    <t>M1109139</t>
  </si>
  <si>
    <t>LINEZOLID COMPRIMIDOS 600MG</t>
  </si>
  <si>
    <t>M1109135</t>
  </si>
  <si>
    <t>LINEZOLID SACHET 600MG</t>
  </si>
  <si>
    <t>METRONIDAZOL INYECTABLE 500MG/100ML</t>
  </si>
  <si>
    <t>122/26</t>
  </si>
  <si>
    <t>M1101075</t>
  </si>
  <si>
    <t>NORFLOXACINA 400 MG COMPRIMIDOS</t>
  </si>
  <si>
    <t>M0701179</t>
  </si>
  <si>
    <t>PIPERACILINA SODICA-TAZOBACTAM AMPOLLA 4GR</t>
  </si>
  <si>
    <t>767</t>
  </si>
  <si>
    <t>M0903111</t>
  </si>
  <si>
    <t>RIFAMPICINA CAPSULAS 300MG</t>
  </si>
  <si>
    <t>M1101033</t>
  </si>
  <si>
    <t>SULFADIAZINA COMPRIMIDO 500MG</t>
  </si>
  <si>
    <t>TIGECICLINA AMPOLLA 50MG</t>
  </si>
  <si>
    <t>13</t>
  </si>
  <si>
    <t>M1109129</t>
  </si>
  <si>
    <t>TRIMETOPRIMA-SULFAMETOXAZOL SUSPENSION 40MG-200MG/5ML</t>
  </si>
  <si>
    <t>TRIMETOPRIMA-SULFAMETOXAZOL AMPOLLAS 80MG-400MG</t>
  </si>
  <si>
    <t>M1109149</t>
  </si>
  <si>
    <t>RIFAXIMINA 200 MG COMPRIMIDOS</t>
  </si>
  <si>
    <t>M1801028</t>
  </si>
  <si>
    <t>VORICONAZOL COMPRIMIDOS 200 mg</t>
  </si>
  <si>
    <t>M1805120</t>
  </si>
  <si>
    <t>ANIDULAFUNGINA 100 MG FA</t>
  </si>
  <si>
    <t>DiHemo</t>
  </si>
  <si>
    <t>56/25</t>
  </si>
  <si>
    <t>112/26</t>
  </si>
  <si>
    <t>M1109166</t>
  </si>
  <si>
    <t>CEFTAZIDIMA + AVIBACTAM 2,5 GR</t>
  </si>
  <si>
    <t>196</t>
  </si>
  <si>
    <t>M0724149</t>
  </si>
  <si>
    <t>CEFTOLOZANO TAZOBACTAM FA 1,5 gr</t>
  </si>
  <si>
    <t>IMIPENEM-CILASTATINA AMPOLLA 500MG</t>
  </si>
  <si>
    <t>1450</t>
  </si>
  <si>
    <t>58/25</t>
  </si>
  <si>
    <t>127/26</t>
  </si>
  <si>
    <t>MEROPENEM FRASCO AMPOLLA 1GR</t>
  </si>
  <si>
    <t>VANCOMICINA FRASCO AMPOLLA 1GR</t>
  </si>
  <si>
    <t>AMIKACINA 100 MG AMP</t>
  </si>
  <si>
    <t>M1801033</t>
  </si>
  <si>
    <t>ANFOTERICINA B COMPLEJO LIPIDICO 100MG-20ML</t>
  </si>
  <si>
    <t>125</t>
  </si>
  <si>
    <t>M1801025</t>
  </si>
  <si>
    <t>CASPOFUNGINA 70 MG FA</t>
  </si>
  <si>
    <t>M1801026</t>
  </si>
  <si>
    <t>CASPOFUNGINA 50 MG FA</t>
  </si>
  <si>
    <t>M0801121</t>
  </si>
  <si>
    <t>ERITROMICINA COMPRIMIDOS 500 MG</t>
  </si>
  <si>
    <t>M1801006</t>
  </si>
  <si>
    <t>FLUCONAZOL 200 MG COMPRIMIDOS</t>
  </si>
  <si>
    <t>M1801005</t>
  </si>
  <si>
    <t>FLUCONAZOL COMPRIMIDOS 150 MG</t>
  </si>
  <si>
    <t>M1109171</t>
  </si>
  <si>
    <t>FOSFOMICINA TROMETAMOL SOBRES 3 GR</t>
  </si>
  <si>
    <t>M0724151</t>
  </si>
  <si>
    <t xml:space="preserve">IMIPENEM-CILASTATINA-RELEBACTAM </t>
  </si>
  <si>
    <t>M1101059</t>
  </si>
  <si>
    <t>LEVOFLOXACINA COMPRIMIDOS 500MG</t>
  </si>
  <si>
    <t>M3101061</t>
  </si>
  <si>
    <t>METRONIDAZOL OVULOS 500MG</t>
  </si>
  <si>
    <t>M2901105</t>
  </si>
  <si>
    <t>RIFAMICINA SPRAY 1%-30ML</t>
  </si>
  <si>
    <t>20</t>
  </si>
  <si>
    <t>M0908114</t>
  </si>
  <si>
    <t>RIFAMPICINA 600 MG FRASCO AMPOLLA</t>
  </si>
  <si>
    <t>M1109169</t>
  </si>
  <si>
    <t>RIFAXIMINA COMPRIMIDOS 550 MG</t>
  </si>
  <si>
    <t>M1101044</t>
  </si>
  <si>
    <t>TEICOPLANINA FRASCO AMPOLLA INYECTABLE 400 MG</t>
  </si>
  <si>
    <t>M1101056</t>
  </si>
  <si>
    <t>VANCOMICINA 500 MG FA</t>
  </si>
  <si>
    <t>M1801029</t>
  </si>
  <si>
    <t>VORICONAZOL AMPOLLAS 200MG</t>
  </si>
  <si>
    <t>M1801008</t>
  </si>
  <si>
    <t>ANFOTERICINA LIPOSOMAL 50 MG FA</t>
  </si>
  <si>
    <t>M1201084</t>
  </si>
  <si>
    <t>LEVODOPA-BENSERAZIDA COMPRIMIDOS 200MG</t>
  </si>
  <si>
    <t>3/26</t>
  </si>
  <si>
    <t>233/26</t>
  </si>
  <si>
    <t>M1201089</t>
  </si>
  <si>
    <t>234/26</t>
  </si>
  <si>
    <t>LEVOMEPROMAZINA COMPRIMIDOS 25MG</t>
  </si>
  <si>
    <t>Rospaw</t>
  </si>
  <si>
    <t>231/26</t>
  </si>
  <si>
    <t>M1221111</t>
  </si>
  <si>
    <t>LITIO CARBONATO COMPRIMIDOS 300MG</t>
  </si>
  <si>
    <t>LORAZEPAM 1 MG  COMPRIMIDOS</t>
  </si>
  <si>
    <t>M1211112</t>
  </si>
  <si>
    <t>LORAZEPAM COMPRIMIDOS 2.5MG</t>
  </si>
  <si>
    <t>M1200111</t>
  </si>
  <si>
    <t>OLANZAPINA COMPRIMIDOS 10MG</t>
  </si>
  <si>
    <t>M1201108</t>
  </si>
  <si>
    <t>OLANZAPINA COMPRIMIDOS 5MG</t>
  </si>
  <si>
    <t>M1201109</t>
  </si>
  <si>
    <t>OXCARBACEPINA 300 MG COMP</t>
  </si>
  <si>
    <t>M1200121</t>
  </si>
  <si>
    <t>PAROXETINA CLORHIDRATO COMPRIMIDOS 20MG</t>
  </si>
  <si>
    <t>M1200176</t>
  </si>
  <si>
    <t>PREGABALINA 150 MG COMPRIMIDOS (RANURADO)</t>
  </si>
  <si>
    <t>M1200175</t>
  </si>
  <si>
    <t>PREGABALINA COMPRIMIDOS 75MG (RANURADO)</t>
  </si>
  <si>
    <t>M1231121</t>
  </si>
  <si>
    <t>PROMETAZINA COMPRIMIDOS 25MG</t>
  </si>
  <si>
    <t>M1246145</t>
  </si>
  <si>
    <t>QUETIAPINA 100MG COMP</t>
  </si>
  <si>
    <t>QUETIAPINA 200 MG COMP</t>
  </si>
  <si>
    <t>M1246174</t>
  </si>
  <si>
    <t>QUETIAPINA COMPRIMIDOS 25 MG</t>
  </si>
  <si>
    <t>M1201123</t>
  </si>
  <si>
    <t>RISPERIDONA 1MG COMP</t>
  </si>
  <si>
    <t>235/26</t>
  </si>
  <si>
    <t>RISPERIDONA 2 MG COMP</t>
  </si>
  <si>
    <t>M1201119</t>
  </si>
  <si>
    <t>RISPERIDONA 3MG COMP</t>
  </si>
  <si>
    <t>SERTRALINA 100 MG COMP</t>
  </si>
  <si>
    <t>SERTRALINA 50MG COMP</t>
  </si>
  <si>
    <t>M1224113</t>
  </si>
  <si>
    <t>TIORIDAZINA COMPRIMIDOS 200MG</t>
  </si>
  <si>
    <t>M1246124</t>
  </si>
  <si>
    <t>TOPIRAMATO 25 MG COMP</t>
  </si>
  <si>
    <t>TOPIRAMATO COMPRIMIDOS 100MG</t>
  </si>
  <si>
    <t>TRAMADOL COMPRIMIDOS 50MG</t>
  </si>
  <si>
    <t>M1246168</t>
  </si>
  <si>
    <t>VALPROATO DE MAGNESIO COMPRIMIDOS 400MG</t>
  </si>
  <si>
    <t>Iraola Dabat</t>
  </si>
  <si>
    <t>236/26</t>
  </si>
  <si>
    <t>M1201143</t>
  </si>
  <si>
    <t>ZOLPIDEM COMPRIMIDO 10 MG</t>
  </si>
  <si>
    <t>MG Rospaw</t>
  </si>
  <si>
    <t>60</t>
  </si>
  <si>
    <t>M1225111</t>
  </si>
  <si>
    <t>CLOTIAPINA COMPRIMIDOS 40MG</t>
  </si>
  <si>
    <t>9/26</t>
  </si>
  <si>
    <t>272/26</t>
  </si>
  <si>
    <t>M1200134</t>
  </si>
  <si>
    <t>DIVALPROATO DE SODIO COMPRIMIDOS 500MG</t>
  </si>
  <si>
    <t>M1243112</t>
  </si>
  <si>
    <t>ALPRAZOLAM COMPRIMIDOS 1MG</t>
  </si>
  <si>
    <t>10/26</t>
  </si>
  <si>
    <t>269/26</t>
  </si>
  <si>
    <t>M1201003</t>
  </si>
  <si>
    <t>ALPRAZOLAM COMPRIMIDOS 2MG</t>
  </si>
  <si>
    <t>268/26</t>
  </si>
  <si>
    <t>M1219111</t>
  </si>
  <si>
    <t>AMITRIPTILINA COMPRIMIDOS 25MG</t>
  </si>
  <si>
    <t>AMITRIPTILINA COMPRIMIDOS 75MG</t>
  </si>
  <si>
    <t>266/26</t>
  </si>
  <si>
    <t>M1246286</t>
  </si>
  <si>
    <t>ARIPIPRAZOL 10MG COMP</t>
  </si>
  <si>
    <t>265/26</t>
  </si>
  <si>
    <t>M1246391</t>
  </si>
  <si>
    <t>ARIPIPRAZOL 15 MG COMP</t>
  </si>
  <si>
    <t>M1200179</t>
  </si>
  <si>
    <t>ARIPIPRAZOL 5 MG COMP</t>
  </si>
  <si>
    <t>M1201152</t>
  </si>
  <si>
    <t>BACLOFENO COMPRIMIDOS 10MG</t>
  </si>
  <si>
    <t>M1238111</t>
  </si>
  <si>
    <t>BIPERIDENO CLORHIDRATO COMPRIMIDOS 2MG</t>
  </si>
  <si>
    <t>M1202111</t>
  </si>
  <si>
    <t>CARBAMAZEPINA COMPRIMIDOS 200MG</t>
  </si>
  <si>
    <t>M1201024</t>
  </si>
  <si>
    <t>CLOBAZAM COMPRIMIDOS 10MG</t>
  </si>
  <si>
    <t>M1201029</t>
  </si>
  <si>
    <t>CLONAZEPAM COMPRIMIDOS 0.5MG</t>
  </si>
  <si>
    <t>M1201031</t>
  </si>
  <si>
    <t>CLONAZEPAM COMPRIMIDOS 2MG</t>
  </si>
  <si>
    <t>M1232122</t>
  </si>
  <si>
    <t>CLORPROMAZINA AMPOLLAS IM 0,5%-5ML</t>
  </si>
  <si>
    <t>267/26</t>
  </si>
  <si>
    <t xml:space="preserve">DNM Farma </t>
  </si>
  <si>
    <t>M1229111</t>
  </si>
  <si>
    <t>CLOZAPINA COMPRIMIDOS 100MG</t>
  </si>
  <si>
    <t>M1210112</t>
  </si>
  <si>
    <t>DIAZEPAM 10 MG COMPRIMIDOS</t>
  </si>
  <si>
    <t>M1200135</t>
  </si>
  <si>
    <t>DIVALPROATO DE SODIO COMPRIMIDOS 250 MG</t>
  </si>
  <si>
    <t xml:space="preserve"> M1200157</t>
  </si>
  <si>
    <t>ESCITALOPRAM 10 MG COMP</t>
  </si>
  <si>
    <t>M1246410</t>
  </si>
  <si>
    <t>ESCITALOPRAM 20 MG COMP</t>
  </si>
  <si>
    <t>FENITOINA CAPSULAS o COMPRIMIDOS 100MG</t>
  </si>
  <si>
    <t>M1208111</t>
  </si>
  <si>
    <t>FENOBARBITAL COMPRIMIDOS 100MG</t>
  </si>
  <si>
    <t>M1201075</t>
  </si>
  <si>
    <t>FLUOXETINA COMPRIMIDOS 20MG</t>
  </si>
  <si>
    <t>M1222112</t>
  </si>
  <si>
    <t>HALOPERIDOL COMPRIMIDOS 10 MG</t>
  </si>
  <si>
    <t>HALOPERIDOL DECANOATO INYECTABLE 150MG-3ML</t>
  </si>
  <si>
    <t>HALOPERIDOL FCO AMPOLLA 5MG-1ML IV/IM</t>
  </si>
  <si>
    <t>M1201162</t>
  </si>
  <si>
    <t>LAMOTRIGINA COMPRIMIDOS 100MG</t>
  </si>
  <si>
    <t>M1201086</t>
  </si>
  <si>
    <t>LAMOTRIGINA COMPRIMIDOS 50MG</t>
  </si>
  <si>
    <t>LEVETIRACETAM COMPRIMIDOS 1000 MG</t>
  </si>
  <si>
    <t>M1200172</t>
  </si>
  <si>
    <t>LEVETIRACETAM COMPRIMIDOS 500MG</t>
  </si>
  <si>
    <t>M1201015</t>
  </si>
  <si>
    <t>CITALOPRAM 20 MG  COMPRIMIDOS</t>
  </si>
  <si>
    <t>M1201028</t>
  </si>
  <si>
    <t>CLOMIPRAMINA COMPRIMIDOS 75 MG</t>
  </si>
  <si>
    <t>M1201025</t>
  </si>
  <si>
    <t>CLOMIPRAMINA GRAGEAS 25MG</t>
  </si>
  <si>
    <t>M1223111</t>
  </si>
  <si>
    <t>HALOPERIDOL DECANOATO FCO AMPOLLA 50MG-1ML</t>
  </si>
  <si>
    <t>M1201037</t>
  </si>
  <si>
    <t>LEVODOPA CARBIDOPA COMP-100MG-25MG</t>
  </si>
  <si>
    <t>M1246296</t>
  </si>
  <si>
    <t>PREGABALINA CAPSULA 25 MG</t>
  </si>
  <si>
    <t>M1231111</t>
  </si>
  <si>
    <t>PROMETAZINA AMPOLLAS 50MG-2ML</t>
  </si>
  <si>
    <t>M1226112</t>
  </si>
  <si>
    <t>TRIFLUOPERAZINA COMPRIMIDOS 10 MG</t>
  </si>
  <si>
    <t>15/26</t>
  </si>
  <si>
    <t>M2615233</t>
  </si>
  <si>
    <t>ACIDO TRANEXAMICO INYECTABLE 500MG</t>
  </si>
  <si>
    <t>Medpharma</t>
  </si>
  <si>
    <t>294/2026</t>
  </si>
  <si>
    <t>M2534137</t>
  </si>
  <si>
    <t>ADENOSINA INYECTABLE 3MG/-2ML</t>
  </si>
  <si>
    <t>292/2026</t>
  </si>
  <si>
    <t>M4502211</t>
  </si>
  <si>
    <t>AGUA BIDESTILADA AMPOLLAS 5ML</t>
  </si>
  <si>
    <t>289/2026</t>
  </si>
  <si>
    <t>M2434188</t>
  </si>
  <si>
    <t>AMINOFILINA INYECTABLE 240MG-10ML</t>
  </si>
  <si>
    <t>M2501121</t>
  </si>
  <si>
    <t>AMIODARONA INYECTABLE 150MG-3ML</t>
  </si>
  <si>
    <t>M1501123</t>
  </si>
  <si>
    <t>ATROPINA 1 MG/ML AMPOLLAS</t>
  </si>
  <si>
    <t>M2709182</t>
  </si>
  <si>
    <t>METILPREDNISOLONA INYECTABLE 500MG</t>
  </si>
  <si>
    <t>288/2026</t>
  </si>
  <si>
    <t>BETAMETASONA ACETATO FOSFATO AMPOLLAS 6MG 6 MG -2ML</t>
  </si>
  <si>
    <t>290/2026</t>
  </si>
  <si>
    <t>HIOSCINA BUTILBROMURO AMPOLLA DE 1 ML 20 MG/ML</t>
  </si>
  <si>
    <t>291/2026</t>
  </si>
  <si>
    <t>M3209112</t>
  </si>
  <si>
    <t>CICLOFOSFAMIDA INYECTABLE 1GR</t>
  </si>
  <si>
    <t>M4606121</t>
  </si>
  <si>
    <t>COMPLEJO VITAMINICO B AMP 2ML</t>
  </si>
  <si>
    <t>DEXAMETASONA INYECTABLE 4MG/ML</t>
  </si>
  <si>
    <t>293/2026</t>
  </si>
  <si>
    <t>DICLOFENAC INYECTABLE 75 MG</t>
  </si>
  <si>
    <t>M2511131</t>
  </si>
  <si>
    <t>DIGOXINA INYECTABLE 0.25MG</t>
  </si>
  <si>
    <t>M1701082</t>
  </si>
  <si>
    <t>DIPIRONA INYECTABLE 1GR-2ML</t>
  </si>
  <si>
    <t>M3601030</t>
  </si>
  <si>
    <t>ERITROPOYETINA INYECTABLE FA 2000 U.I</t>
  </si>
  <si>
    <t>M3601029</t>
  </si>
  <si>
    <t xml:space="preserve">ERITROPOYETINA INYECTABLE FA 4000 U.I. </t>
  </si>
  <si>
    <t>M2534240</t>
  </si>
  <si>
    <t>ESMOLOL 2500 MG FRASCO AMPOLLA 10 ML</t>
  </si>
  <si>
    <t>I0108003</t>
  </si>
  <si>
    <t>ESTERES ETILICOS DE ACIDOS GRASOS IODADOS DEL ACEITE DE ADORMIDERA AMPOLLA 48% P/V IODO (LIPIODOL)</t>
  </si>
  <si>
    <t>M1201059</t>
  </si>
  <si>
    <t>FENITOINA (DIFENILHIDANTOINA) INYECTABLE 100MG</t>
  </si>
  <si>
    <t>FILGRASTIM 300 MCG/ML FA</t>
  </si>
  <si>
    <t>M3301021</t>
  </si>
  <si>
    <t>FOSFATO DE POTASIO AMPOLLAS (3 mmol de P/mL)</t>
  </si>
  <si>
    <t>M2534251</t>
  </si>
  <si>
    <t>FUROSEMIDA AMPOLLAS 20 MG</t>
  </si>
  <si>
    <t>05/26</t>
  </si>
  <si>
    <t>M2709125</t>
  </si>
  <si>
    <t>HIDROCORTISONA INYECTABLE 100 MG</t>
  </si>
  <si>
    <t>221/26</t>
  </si>
  <si>
    <t>M2706112</t>
  </si>
  <si>
    <t>HIDROCORTISONA INYECTABLE 500MG</t>
  </si>
  <si>
    <t>HIERRO SACARATO INYECTABLE 100MG-5ML</t>
  </si>
  <si>
    <t>M3408111</t>
  </si>
  <si>
    <t>INSULINA CORRIENTE 100 UI/ML FA 10 ML</t>
  </si>
  <si>
    <t>M2501047</t>
  </si>
  <si>
    <t>ISOPROTENEROL AMPOLLA 1MG - 5 ML</t>
  </si>
  <si>
    <t>KETOROLAC TROMETAMINA AMPOLLAS 1 ML 30MG/ML</t>
  </si>
  <si>
    <t>M2501003</t>
  </si>
  <si>
    <t>LABETALOL AMPOLLAS 5MG</t>
  </si>
  <si>
    <t>216/26</t>
  </si>
  <si>
    <t>M2501025</t>
  </si>
  <si>
    <t>LEVOSIMENDAN 2,5 MG FRASCO AMPOLLA</t>
  </si>
  <si>
    <t>M3318145</t>
  </si>
  <si>
    <t>MAGNESIO SULFATO AMPOLLAS 25%</t>
  </si>
  <si>
    <t>M3101122</t>
  </si>
  <si>
    <t>METILERGONOVINA INYECTABLE 0.2MG</t>
  </si>
  <si>
    <t>219/26</t>
  </si>
  <si>
    <t>METOCLOPRAMIDA 10 MG AMPOLLAS</t>
  </si>
  <si>
    <t>217/26</t>
  </si>
  <si>
    <t>M3805111</t>
  </si>
  <si>
    <t>NALOXONA AMPOLLAS 0.4MG 1 ML</t>
  </si>
  <si>
    <t>NEOSTIGMINA AMPOLLAS 0.5MG</t>
  </si>
  <si>
    <t>M2534253</t>
  </si>
  <si>
    <t>NITROGLICERINA AMPOLLA 25MG-5ML</t>
  </si>
  <si>
    <t>200</t>
  </si>
  <si>
    <t>M3629171</t>
  </si>
  <si>
    <t>OCTREOTIDE 0,1 MG / 1 ML AMP</t>
  </si>
  <si>
    <t>M2201005</t>
  </si>
  <si>
    <t>OMEPRAZOL FRASCO AMPOLLA 40MG</t>
  </si>
  <si>
    <t>M1403127</t>
  </si>
  <si>
    <t>ONDANSETRON 8 MG AMPOLLAS</t>
  </si>
  <si>
    <t>M3102111</t>
  </si>
  <si>
    <t>OXITOCINA AMPOLLAS 5 UI-1ML</t>
  </si>
  <si>
    <t xml:space="preserve"> M0216164</t>
  </si>
  <si>
    <t>PARACETAMOL 1 GR FA 10 MG/ML 100 ML (VIDRIO O FLEX)</t>
  </si>
  <si>
    <t>218/26</t>
  </si>
  <si>
    <t>M1200154</t>
  </si>
  <si>
    <t>POLIDOCANOL AMPOLLAS 2%-2ML</t>
  </si>
  <si>
    <t>220/26</t>
  </si>
  <si>
    <t>POTASIO CLORURO AMPOLLAS 15 MEQ-5ML</t>
  </si>
  <si>
    <t xml:space="preserve">M2203112 </t>
  </si>
  <si>
    <t>RANITIDINA AMPOLLAS 50MG</t>
  </si>
  <si>
    <t>M3201129</t>
  </si>
  <si>
    <t>RITUXIMAB 100 MG FA</t>
  </si>
  <si>
    <t>Innovate Pharma</t>
  </si>
  <si>
    <t>M3201130</t>
  </si>
  <si>
    <t>RITUXIMAB 500 MG FA</t>
  </si>
  <si>
    <t>222/26</t>
  </si>
  <si>
    <t>M2615226</t>
  </si>
  <si>
    <t>TENECTEPLASE 5000 UI (25 MG) FRASCO AMPOLLA</t>
  </si>
  <si>
    <t>M0216162</t>
  </si>
  <si>
    <t>TRAMADOL 50 MG AMPOLLAS</t>
  </si>
  <si>
    <t xml:space="preserve">VASOPRESINA AMPOLLAS </t>
  </si>
  <si>
    <t>M4601031</t>
  </si>
  <si>
    <t>VITAMINA B1 (TIAMINA) 100 MG AMPOLLAS</t>
  </si>
  <si>
    <t>M2601059</t>
  </si>
  <si>
    <t>VITAMINA K (FITOMENADIONA) 10MG-1ML</t>
  </si>
  <si>
    <t>M2601007</t>
  </si>
  <si>
    <t>ACTIVADOR TISULAR DEL PLASMINOGENO FA 50MG - 50 ML (ALTEPLASA)</t>
  </si>
  <si>
    <t>M3201054</t>
  </si>
  <si>
    <t>BEVACIZUMAB 100MG-4ML FA</t>
  </si>
  <si>
    <t>D0801173</t>
  </si>
  <si>
    <t>BEVACIZUMAB 5 MG / 0,2 ML SOLUCIÓN INYECTABLE INTRAVITREA</t>
  </si>
  <si>
    <t>M3814111</t>
  </si>
  <si>
    <t>CAFEINA 25 % AMPOLLAS</t>
  </si>
  <si>
    <t>M1601031</t>
  </si>
  <si>
    <t>DIFENHIDRAMINA INYECTABLE 10MG/ML 10 ml</t>
  </si>
  <si>
    <t>M3601032</t>
  </si>
  <si>
    <t>ERITROPOYETINA 10000 UI JERINGA PRELLENADA</t>
  </si>
  <si>
    <t>HIERRO DEXTRAN O POLIMALTOSATO O YECTAFER VER</t>
  </si>
  <si>
    <t>ISOXUPRINA AMPOLLAS</t>
  </si>
  <si>
    <t>M3250115</t>
  </si>
  <si>
    <t>LEUPROLIDE ACETATO 3,75 MG JERINGA PRELLENADA</t>
  </si>
  <si>
    <t>M3601113</t>
  </si>
  <si>
    <t>LEVOTIROXINA AMPOLLA 200 MCG/ML</t>
  </si>
  <si>
    <t>M3201012</t>
  </si>
  <si>
    <t>METOTREXATO 50 MG FA</t>
  </si>
  <si>
    <t>M3102112</t>
  </si>
  <si>
    <t>OXITOCINA AMPOLLAS 10 UI</t>
  </si>
  <si>
    <t>M2501084</t>
  </si>
  <si>
    <t>PROPRANOLOL INYECTABLE 5MG-5ML</t>
  </si>
  <si>
    <t>M4401004</t>
  </si>
  <si>
    <t>SOLUCION DEXTROSADA GLUCOSADA 50%-10ML</t>
  </si>
  <si>
    <t>M4401009</t>
  </si>
  <si>
    <t>SOLUCION DEXTROSADA GLUCOSADA HIPERTONICA 25%-20ML</t>
  </si>
  <si>
    <t>M4101001</t>
  </si>
  <si>
    <t>TOXINA BOTULINICA TIPO A 100 U.I. FA</t>
  </si>
  <si>
    <t>M2708113</t>
  </si>
  <si>
    <t>TRIAMCINOLONA 40 MG FA</t>
  </si>
  <si>
    <t>SOLUCION FISIOLOGICA (CLORURO DE SODIO 0,9 %) - 500 ML INYECTABLE SIN BOLSA DE PROTECCIÓN TOTALMENTE COLAPSABLES CON DOS SITIOS DE INSERCIÓN INDEPENDIENTES.</t>
  </si>
  <si>
    <t>sin cobertura</t>
  </si>
  <si>
    <t>69/25</t>
  </si>
  <si>
    <t>238/26</t>
  </si>
  <si>
    <t>M4528188</t>
  </si>
  <si>
    <t>SOLUCION FISIOLOGICA (CLORURO DE SODIO 0,9 %) - 100 ML INYECTABLE SIN BOLSA DE PROTECCIÓN TOTALMENTE COLAPSABLES CON DOS SITIOS DE INSERCIÓN INDEPENDIENTES.</t>
  </si>
  <si>
    <t>237/26</t>
  </si>
  <si>
    <t>SOLUCION DEXTROSA (GLUCOSADA) EN AGUA  5% X 500 ML.- ENVASE FLEXIBLE - 2 SITIOS DE INSERCIÓN - SIN BOLSA DE PROTECCION</t>
  </si>
  <si>
    <t>70/25</t>
  </si>
  <si>
    <t>239/26</t>
  </si>
  <si>
    <t>AGUA BIDESTILADA.  ESTERIL INYECTABLE ENVASE FLEXIBLE  500 ML - 2 SITIOS DE INSERCIÓN - SIN BOLSA DE PROTECCION</t>
  </si>
  <si>
    <t xml:space="preserve"> SOLUCION GLUCOSADA (DEXTROSA) 10% SACHET 500ML</t>
  </si>
  <si>
    <t>M4528198</t>
  </si>
  <si>
    <t>SOLUCION DEXTROSADA(glucosada) isotonica.  INYECTABLE ENVASE  FLEXIBLE C 1 BOLSA DE PROTECCION  % - 500 ML</t>
  </si>
  <si>
    <t>M4528183</t>
  </si>
  <si>
    <t>SOLUCION FISIOLOGICA  DE CLORURO DE SODIO. INYECTABLE con 1 bolsa de proteccion fleXIBLE .C-PUNTO DE INY.ADIC.0,9 % - 500 ML</t>
  </si>
  <si>
    <t>M4528186</t>
  </si>
  <si>
    <t>SOLUCION FISIOLOGICA DE CLORURO SODIO.   0.9% X 250 ML - CON 1 BOLSA DE PROTECCION</t>
  </si>
  <si>
    <t>M4528189</t>
  </si>
  <si>
    <t>Solucion fisiologica de cloruro de sodio. ENV.FLEXIBLE. CON 1 bolsa de proteccion INYECTABLE .0.9 % - 100 ML</t>
  </si>
  <si>
    <t>M4528219</t>
  </si>
  <si>
    <t>SOLUCIÒN FISIOLOGICA TRICLORURADA (DE RINGER. ) C/LACTATO DE SODIO INYECTABLE ENVASE FLEXIBLE500 ML CON 1 bolsa proteccion</t>
  </si>
  <si>
    <t>M4528228</t>
  </si>
  <si>
    <t>AGUA BIDESTILADA.  ESTERIL INYECTABLE ENVASE FLEXIBLE 1 BOLSA DE PROTECCIÓN 500 ML</t>
  </si>
  <si>
    <t>M4528221</t>
  </si>
  <si>
    <t xml:space="preserve"> SOLUCION GLUCOSADA (DEXTROSA) 25% SACHET 500 ML</t>
  </si>
  <si>
    <t>FISIO DE 500 PEDIR EN LICITACION SEPARADA DEL RESTO</t>
  </si>
  <si>
    <t>LOS ENVASES DEBERÁN GARANTIZAR EL ESCURRIMIENTO TOTAL DE SU CONTENIDO POR GRAVEDAD SIN NECESIDAD DE INGRESO DE AIRE.- DEBEN CONTAR CON AL MENOS DOS SITIOS DE INSERCIÓN INDEPENDIENTES QUE PERMITAN SIMULTÁNEAMENTE EL AGREGADO DE MEDICAMENTOS DE FORMA SEGURA Y LA CONEXIÓN AL SISTEMA DE INFUSIÓN.</t>
  </si>
  <si>
    <t>Consumo mensual 1er trimestre 2023</t>
  </si>
  <si>
    <t>AGUA DESTILADA BIDON 10 LT</t>
  </si>
  <si>
    <t>M2010111</t>
  </si>
  <si>
    <t>AGUA OXIGENADA SOLUCION 10 VOL (LITRO)</t>
  </si>
  <si>
    <t>282/2026</t>
  </si>
  <si>
    <t>M2022228</t>
  </si>
  <si>
    <t>ALCOHOL SOLUCION 70° 1 LITRO</t>
  </si>
  <si>
    <t>Radiológica Castelar</t>
  </si>
  <si>
    <t>283/2026</t>
  </si>
  <si>
    <t>M0110021</t>
  </si>
  <si>
    <t>ALCOHOL SOLUCION 96° 1 LITRO</t>
  </si>
  <si>
    <t>LA199031</t>
  </si>
  <si>
    <t>CAL SODADA KG</t>
  </si>
  <si>
    <t>EuroSwiss</t>
  </si>
  <si>
    <t>278/2026</t>
  </si>
  <si>
    <t>M2022112</t>
  </si>
  <si>
    <t>CLORHEXIDINA SOLUCION JABONOSA 4% 500 ml</t>
  </si>
  <si>
    <t>280/2026</t>
  </si>
  <si>
    <t>LIM03009</t>
  </si>
  <si>
    <t>DETERGENTE NO IONICO TRIENZIMATICO PH NEUTRO LITRO</t>
  </si>
  <si>
    <t>EQUIPOS PARA ADMINISTRACION DE SOLUCIONES CARDIOPLEGICAS SANGUINEAS CON BOLSA DE MEZCLA, ENFRIADOR Y PISTA DE 9 mm.
(RIVERO N-99 ó CARDIOPACK CV 799 ó EUROSET EU 4333)</t>
  </si>
  <si>
    <t>I0302004</t>
  </si>
  <si>
    <t>GEL P/ECOGRAFIA POR KG - PRESENTACIÓN BIDON 3 - 5 KG</t>
  </si>
  <si>
    <t>Ceos Medica</t>
  </si>
  <si>
    <t>M2615121</t>
  </si>
  <si>
    <t>GELATINA FLUIDA MODIF.(SUCCINILADA)-SODIO CL.-HIDROXID.SODIO SOLUCION 500 ML 40-7.01-1.36GR/100ML (TIPO GELAFUNDIN,GELOPLASMA O SIMILAR)</t>
  </si>
  <si>
    <t>276/2026</t>
  </si>
  <si>
    <t>M2000026</t>
  </si>
  <si>
    <t>IODOPOVIDONA 10% SOLUCION 1 LITRO</t>
  </si>
  <si>
    <t>M2000042</t>
  </si>
  <si>
    <t>IODOPOVIDONA 10% SOLUCION 250 ML C/VALV DOSIF</t>
  </si>
  <si>
    <t>M2000028</t>
  </si>
  <si>
    <t>IODOPOVIDONA SOLUCION JABONOSA 5% - 1000 ML</t>
  </si>
  <si>
    <t>M2000034</t>
  </si>
  <si>
    <t>NITROFURAZONA SOLUCION 0.2% 1 LTS</t>
  </si>
  <si>
    <t>M2000117</t>
  </si>
  <si>
    <t>SOLUCION POLIELECTROLITICA (SODIO-MAGNESIO POT)
500ML 526-502-61-37MG/100 (simil 627A)</t>
  </si>
  <si>
    <t>M0114011</t>
  </si>
  <si>
    <t>VASELINA LIQUIDA LITRO</t>
  </si>
  <si>
    <t>M0114021</t>
  </si>
  <si>
    <t>VASELINA SOLIDA KG</t>
  </si>
  <si>
    <t>M2000003</t>
  </si>
  <si>
    <t>AGUA OXIGENADA SOLUCION 100 VOL (LITRO)</t>
  </si>
  <si>
    <t>M2000016</t>
  </si>
  <si>
    <t>CLORHEXIDINA 20% SOLUCION 500 ML</t>
  </si>
  <si>
    <t>LIM03022</t>
  </si>
  <si>
    <t>CLOROOXIDANTE ELECTROLITICO EN SOLUCION HIPERTONICA DE CLORURO DE SODIO (AMUCHINA)</t>
  </si>
  <si>
    <t>OD120077</t>
  </si>
  <si>
    <t>DETERGENTE NO IONICO TETRAENZIMATICO O SUPERIOR PH NEUTRO LITRO</t>
  </si>
  <si>
    <t>I0302010</t>
  </si>
  <si>
    <t>GEL P/ECOGRAFIA 3 KG</t>
  </si>
  <si>
    <t>M2002125</t>
  </si>
  <si>
    <t>IODOPOVIDONA SOLUCION 10%-5LTS</t>
  </si>
  <si>
    <t>M2000027</t>
  </si>
  <si>
    <t>IODOPOVIDONA SOLUCION JABONOSA 5% BIDON 5 LITROS</t>
  </si>
  <si>
    <t>M2000033</t>
  </si>
  <si>
    <t>NITROFURAZONA SOLUCION 0.2%-5LTS</t>
  </si>
  <si>
    <t>M2615149</t>
  </si>
  <si>
    <t>POLIHIDROXIETIL ALMIDON SOLUCION 6%-500ML</t>
  </si>
  <si>
    <t>M4519113</t>
  </si>
  <si>
    <t>SOLUCION CARDIOPLEGICA SANGUINEA 830ML (Simil L55)</t>
  </si>
  <si>
    <t>M4501031</t>
  </si>
  <si>
    <t>SOLUCION DE GLICINA INYECTABLE 1.5%-2000ML</t>
  </si>
  <si>
    <t>TELA ADHESIVA 10 CM X 5 MTS</t>
  </si>
  <si>
    <t>D0541334</t>
  </si>
  <si>
    <t>TUBO DE POLIESTIRENO DE SERCCION TRIANGULAR 6MG DE TIERRA DE DIATOMEAS PURIFICADA PARA DETERMINACION DE TIEMPO</t>
  </si>
  <si>
    <t>M2022250</t>
  </si>
  <si>
    <t>CLORHEXIDINA SACHET SOLUCION JABONOSA 4% X 800 ML. INCLUYE COLOCACIÓN, MANTENIMIENTO Y REPOSICIÓN DE 4 DISPENSER AUTOMATICO. A SU VEZ INCLUYE IMPLEMENTACIÓN DE SISTEMA TIPO SYSHANDEX MODULO CONTROL Y VEEDOR.</t>
  </si>
  <si>
    <t>M50AP023</t>
  </si>
  <si>
    <t xml:space="preserve">ALIMENTACIÓN PARENTERAL TOTAL ESTABLE VOLUMEN 1000 A 2000 ML-BOLSA TRICOMPARTIMENTADA-MEZCLA ENDOVENOSA  1500-2500 KCAL-BOLSA Y FILTRO CENTRAL QUE CONTENGA LIPIDOS DE CUARTA GENERACIÓN. </t>
  </si>
  <si>
    <t>72/24</t>
  </si>
  <si>
    <t>128/26</t>
  </si>
  <si>
    <t>M50AP024</t>
  </si>
  <si>
    <t xml:space="preserve">ALIMENTACIÓN PARENTERAL TOTAL ESTABLE VOLUMEN 1000 A 2000 ML-BOLSA TRICOMPARTIMENTADA-MEZCLA ENDOVENOSA  900-1400 KCAL-BOLSA Y FILTRO PERIFERICA QUE CONTENGA LIPIDOS DE CUARTA GENERACIÓN. </t>
  </si>
  <si>
    <t>M5004007</t>
  </si>
  <si>
    <t>FORMULA ENTERAL LIQUIDA, LISTA PARA USAR, HIPERCALORICA, NORMOPROTEICA, PROTEINA ENTERA SIN FIBRA 1,26 KCAL/ML. ENVASE 500 ML (NUTRISON ENERGY - FRESUBIN ENERGY). INCLUIR ADAPTADOR TIPO ENPLUS O SIMILAR.</t>
  </si>
  <si>
    <t>71/25</t>
  </si>
  <si>
    <t>205/26</t>
  </si>
  <si>
    <t>NO PEDIR</t>
  </si>
  <si>
    <t>M5004001</t>
  </si>
  <si>
    <t>FORMULA ENTERAL LISTA PARA USAR NORMOCALORICA SIN FIBRAS 1CAL/ML 1000 ML (FRESUBIN ORIGINAL - NUTRISON - OSMOLITE HN - GLUCERNA RTH). INCLUIR ADAPTADOR TIPO ENPLUS O SIMILAR.</t>
  </si>
  <si>
    <t>M5004011</t>
  </si>
  <si>
    <t xml:space="preserve"> FÓRMULA ENTERAL LISTA P/USAR HIPERCALORICA-HIPERPROTEICA-PROTEINA HIDROLIZADA- SIN FIBRA- ESPECÍFICA P/PACIENTES ESTRESADOS/ALTO RENDIMIENTO PROTEICO - EPA- 1.3 CAL/ML 500 ML. (NUTRISON PROTEIN INTENSE - FRESUBIN INTENSIVE - PROTISON-ENSURE CLINICAL RTH). SE ACLARA QUE ES CON PROTEINA ENTERA (EL CODIGO DICE PROTEINA HIDROLIZADA). INCLUIR ADAPTADOR TIPO ENPLUS O SIMILAR.</t>
  </si>
  <si>
    <t>Azcuénaga</t>
  </si>
  <si>
    <t>206/26</t>
  </si>
  <si>
    <t>M5001002</t>
  </si>
  <si>
    <t>FORMULA BEBIBLE, NUTRICIONALMENTE COMPLETA, HIPERCALORICA, NORMOPROTEICA.  BOTELLA 200/237 ML (FORTISIP - BOOST - ENSURE PLUS - FRESUBIN PLUS)</t>
  </si>
  <si>
    <t>Sols</t>
  </si>
  <si>
    <t>208/26</t>
  </si>
  <si>
    <t>M5003007</t>
  </si>
  <si>
    <t>FORMULA EN POLVO, NUTRICIONALMENTE COMPLETA, NORMOCALÓRICO, NORMOPROTÉICO, ADAPTADO PARA HIPERGLUCEMIAS. SABOR VAINILLA. POLVO 350 GR - PARA DIABETICOS (DIASIP - DIBEN - GLUCERNA)</t>
  </si>
  <si>
    <t>M5003011</t>
  </si>
  <si>
    <t>FORMULA EN POLVO NUTRICIONALMENTE COMPLETA 1,5 CAL/ML, HIPERCALORICA, HIPERPROTEICA CON FIBRA TIPO GOS Y FOS (PREBIOTICO). SABOR VAINILLA. LATA POR 350 GR (FORTISIP MAX, PURISIMA, ENSURE ADVANCE)</t>
  </si>
  <si>
    <t>Euroswiss</t>
  </si>
  <si>
    <t xml:space="preserve"> M4501085</t>
  </si>
  <si>
    <t>ACEITE DE SOJA-TRIGLICÉRIDOS CADENA MEDIA-FOSF.HUEVO-GLICERINA EMULSION GRASA CON MCT-LCT FA 20% - 500 ML (INTRALIPID)</t>
  </si>
  <si>
    <t>207/26</t>
  </si>
  <si>
    <t>M5005006</t>
  </si>
  <si>
    <t>MÓDULO DE CASEINATO DE CALCIO 250 GRS. LATA (SECALBUM - NUTREX CC - LACTOPROTEIN)</t>
  </si>
  <si>
    <t xml:space="preserve"> M5005005</t>
  </si>
  <si>
    <t>MÓDULO DE MALTODEXTRINA  (POLIMEROSA) 400 GRS. LATA</t>
  </si>
  <si>
    <t>PROTEINA LACTO SUERO (WHEY PROTEIN) 900 GR</t>
  </si>
  <si>
    <t>M50AP016</t>
  </si>
  <si>
    <t>ALIMENTACIÓN PARENTERAL TOTAL ; MEZCLA INTRAVENOSA- FÓRMULA VARIABLE CONTENIENDO CANT.VARIABLES DE AMINOACIDOS, HIDRATOS DE CARBONO, OLIGOELEMENTOS, VITAMINAS Y LÍPIDOS CON EMULSIÓN LIPÍDICA COMPUESTA POR TCM, W3 (CONTENIENDO PUFA) Y W6; DE CARBONO, OLIGOELEMENTOS, VITAMINAS Y VOLUMEN 2001 - 2500 ML. BOLSA Y FILTRO DE ADMINISTRACIÓN
 (FORMULACION MAGISTRAL)</t>
  </si>
  <si>
    <t xml:space="preserve"> M50AP013</t>
  </si>
  <si>
    <t>ALIMENTACIÓN PARENTERAL TOTAL ; MEZCLA INTRAVENOSA- FÓRMULA VARIABLE CONTENIENDO CANT.VARIABLES DE AMINOACIDOS, HIDRATOS DE CARBONO, OLIGOELEMENTOS, VITAMINAS Y LÍPIDOS CON EMULSIÓN LIPÍDICA COMPUESTA POR TCM, W3 (CONTENIENDO PUFA) Y W6; DE CARBONO, OLIGOELEMENTOS, VITAMINAS Y VOLUMEN 1501 - 2000 ML.BOLSA Y FILTRO DE ADMINISTRACIÓN (FORMULACION MAGISTRAL)</t>
  </si>
  <si>
    <t>M50AP019</t>
  </si>
  <si>
    <t>ALIMENTACIÓN PARENTERAL TOTAL ; MEZCLA INTRAVENOSA- FÓRMULA VARIABLE CONTENIENDO CANT.VARIABLES DE AMINOACIDOS, HIDRATOS DE CARBONO, OLIGOELEMENTOS, VITAMINAS Y LÍPIDOS CON EMULSIÓN LIPÍDICA COMPUESTA POR TCM, TCL, W3 (CONTENIENDO PUFA) Y W6; DE CARBONO, OLIGOELEMENTOS, VITAMINAS Y VOLUMEN &gt; 2500 ML.BOLSA Y FILTRO DE ADMINISTRACIÓN (FORMULACION MAGISTRAL)</t>
  </si>
  <si>
    <t>M5003009</t>
  </si>
  <si>
    <t>FÓRMULA EN POLVO - NORMOCALORICA-NORMOPROTEICA TCM SABOR NEUTRO P/DISFUNCIÓN GASTROINTESTINAL C/PROTEÍNA HIDROLIZADA. 1 CAL/ML 350 GRS</t>
  </si>
  <si>
    <t>M4601054</t>
  </si>
  <si>
    <t>COMPLEJO MULTIVITAMINICO COMPRIMIDOS (TIPO CENTRUM O SIMILAR)</t>
  </si>
  <si>
    <t>M5003001</t>
  </si>
  <si>
    <t>FORMULA EN POLVO NUTRICIONALMENTE NORMOCALORICA NORMOPROTEICA COMPLETA SIN FIBRA SABOR VAINILLA 1CAL/ML LATA 400 GRS (FRESUBIN - ENSURE POLVO)</t>
  </si>
  <si>
    <t>M5004012</t>
  </si>
  <si>
    <t>FÓRMULA ENTERAL LISTA P/USAR - HIPERCALORICA-HIPERPROTEICA-PROTEINA HIDROLIZADA- SIN FIBRA- TAURINA, CARNITINA, ARGININA 1.3 CAL/ML 1000 ML (SURVIMED OPD HN - ALTERNA - NUTRISON PEPTISORB)</t>
  </si>
  <si>
    <t>M3301060</t>
  </si>
  <si>
    <t>COBRE SULFATO 0,4 MG/ML - 10 ML</t>
  </si>
  <si>
    <t>M3304113</t>
  </si>
  <si>
    <t>ZINC SULFATO 1MG/ML - 10 ML AMPOLLAS</t>
  </si>
  <si>
    <t>NUTRICION PARENTERAL 4 POR DÍA</t>
  </si>
  <si>
    <t>SOLICITUD 2024. SE PIDE POR MINISTERIO SOLICITAR PARA 3 MESES. REPETIR PEDIDO PARA 2DO TRIMESTRE</t>
  </si>
  <si>
    <t>AAS 500 mg comprimidos</t>
  </si>
  <si>
    <t>65/25</t>
  </si>
  <si>
    <t>262/26</t>
  </si>
  <si>
    <t>ACETILCISTEINA 600MG COMPRIMIDOS</t>
  </si>
  <si>
    <t>ADRENALINA 1% 1ML Ampollas x 1ml</t>
  </si>
  <si>
    <t>261/26</t>
  </si>
  <si>
    <t>AGUA DESTILADA 10ML Ampollas x 5ml</t>
  </si>
  <si>
    <t>264/26</t>
  </si>
  <si>
    <t>AGUA OXIGENADA 10 VOL X1000ML</t>
  </si>
  <si>
    <t>263/26</t>
  </si>
  <si>
    <t>Amiodarona 150 mg Ampollas x 3 ml</t>
  </si>
  <si>
    <t>ATROPINA 1MG Ampollas x 1ml</t>
  </si>
  <si>
    <t>260/26</t>
  </si>
  <si>
    <t>M1246307</t>
  </si>
  <si>
    <t>BETAHISTINA 24MG comprimidos</t>
  </si>
  <si>
    <t>M2105115</t>
  </si>
  <si>
    <t>BROMHEXINA 4MG / 5ML Frascos x 100ml</t>
  </si>
  <si>
    <t>M2401059</t>
  </si>
  <si>
    <t>Bromuro Ipratropio x20 mcg Aerosol x 250 aplicador con adaptador</t>
  </si>
  <si>
    <t>M1501003</t>
  </si>
  <si>
    <t>BUTIL BROMURO DE HIOSCINA 20 MG, DIPIRONA 2500 MG / 5ML</t>
  </si>
  <si>
    <t>CEFTRIAXONA 1GR</t>
  </si>
  <si>
    <t>Dexametasona - 8mg AMPOLLAS</t>
  </si>
  <si>
    <t>DIAZEPAM 10MG AMPOLLA</t>
  </si>
  <si>
    <t>Diclofenac sódico - 75 mg AMPOLLA</t>
  </si>
  <si>
    <t>DICLOFENAC SÓDICO 75MG COMPRIMIDOS</t>
  </si>
  <si>
    <t>DIFENHIDRAMINA 10MG AMPOLLAS</t>
  </si>
  <si>
    <t>M1601010</t>
  </si>
  <si>
    <t>DIFENHIDRAMINA JARABE 0,25%</t>
  </si>
  <si>
    <t>DIPIRONA 1GR AMPOLLA</t>
  </si>
  <si>
    <t>M1701063</t>
  </si>
  <si>
    <t>DIPIRONA JARABE 120 ML 5%</t>
  </si>
  <si>
    <t>DOPAMINA 200 MG AMPOLLA</t>
  </si>
  <si>
    <t>FENITOINA SODICA 100 MG AMPOLLA</t>
  </si>
  <si>
    <t>M3001122</t>
  </si>
  <si>
    <t>HALOPERIDOL (Como Lactato) 5 Mg/Ml AMPOLLA</t>
  </si>
  <si>
    <t>HIDROCORTISONA 100 MG FA</t>
  </si>
  <si>
    <t>HIDROCORTISONA 500 MG FA</t>
  </si>
  <si>
    <t>M1701074</t>
  </si>
  <si>
    <t>IBUPROFENO AL 2% SUSPENSION 90 ML</t>
  </si>
  <si>
    <t>IODOPOVIDONA SOLUCION 10% - 1 LT</t>
  </si>
  <si>
    <t>LIDOCAINA 2% JALEA VISCOSA 50ML</t>
  </si>
  <si>
    <t>LIDOCAINA 2% AMPOLLA 5 ML</t>
  </si>
  <si>
    <t>LIDOCAINA FA 20 ML 2%</t>
  </si>
  <si>
    <t>M1401132</t>
  </si>
  <si>
    <t>METOCLOPRAMIDA 0,5% GOTAS 20 ML</t>
  </si>
  <si>
    <t>METOCLOPRAMIDA 10MG AMPOLLAS</t>
  </si>
  <si>
    <t>METOCLOPRAMIDA 10MG COMPRIMIDOS</t>
  </si>
  <si>
    <t>NITROFURAZONA 0,2% BOTELLA 1 L</t>
  </si>
  <si>
    <t>NITROGLICERINA 5 MG/ML AMPOLLA 5 ML</t>
  </si>
  <si>
    <t>OMEPRAZOL 40MG FA</t>
  </si>
  <si>
    <t>M2701006</t>
  </si>
  <si>
    <t>BUDESONIDA 200MCG AEROSOL</t>
  </si>
  <si>
    <t>M2401043</t>
  </si>
  <si>
    <t>SALBUTAMOL 100MCG AEROSOL</t>
  </si>
  <si>
    <t>SOLUCION FISIOLOGICA DE CLORURO SODIO. UNIDAD 0.9% X 500 ML</t>
  </si>
  <si>
    <t>M4116122</t>
  </si>
  <si>
    <t>SUCCINILCOLINA CLORURO AMPOLLA 100 MG (50 MG/ML)</t>
  </si>
  <si>
    <t>M2901158</t>
  </si>
  <si>
    <t>SULFADIAZINA DE PLATA+LIDOCAINA+VIT.A CREMA DERMICA</t>
  </si>
  <si>
    <t>GLUCOSADO HIPERTONICO 25% AMPOLLA</t>
  </si>
  <si>
    <t>Pendientes de entrega NOV 24</t>
  </si>
  <si>
    <t>M2608111</t>
  </si>
  <si>
    <t>ACENOCUMAROL COMPRIMIDOS 4MG</t>
  </si>
  <si>
    <t>14/26</t>
  </si>
  <si>
    <t>M4201003</t>
  </si>
  <si>
    <t>ACICLOVIR COMPRIMIDOS 800MG</t>
  </si>
  <si>
    <t>316/2026</t>
  </si>
  <si>
    <t>M1701085</t>
  </si>
  <si>
    <t>ACIDO ACETIL SALICILICO 100 MG  COMPRIMIDOS</t>
  </si>
  <si>
    <t>5300</t>
  </si>
  <si>
    <t>317/2026</t>
  </si>
  <si>
    <t>M0501002</t>
  </si>
  <si>
    <t>ACIDO FOLICO COMPRIMIDOS 5MG</t>
  </si>
  <si>
    <t>314/2026</t>
  </si>
  <si>
    <t>M2501010</t>
  </si>
  <si>
    <t>AMLODIPINA COMPRIMIDOS 5 MG</t>
  </si>
  <si>
    <t>315/2026</t>
  </si>
  <si>
    <t>M0724126</t>
  </si>
  <si>
    <t>AMOXICILINA COMPRIMIDOS 500MG</t>
  </si>
  <si>
    <t>1650</t>
  </si>
  <si>
    <t>M0701011</t>
  </si>
  <si>
    <t>AMOXICILINA-ACIDO CLAVULANICO COMP 875MG-125MG</t>
  </si>
  <si>
    <t>M3232111</t>
  </si>
  <si>
    <t>AZATIOPRINA 50 MG COMPRIMIDOS</t>
  </si>
  <si>
    <t>BETA METIL PREDNISONA COMPRIMIDOS 8 MG</t>
  </si>
  <si>
    <t>M2709185</t>
  </si>
  <si>
    <t>BETA METIL PREDNISONA COMPRIMIDOS 40MG</t>
  </si>
  <si>
    <t>BUDESONIDE 200 MCG AEROSOL S/AEROCAMARA</t>
  </si>
  <si>
    <t xml:space="preserve">CALCIO CARBONATO COMPRIMIDOS 1250 MG </t>
  </si>
  <si>
    <t>CILOSTAZOL COMPRIMIDOS 100MG</t>
  </si>
  <si>
    <t>313/2026</t>
  </si>
  <si>
    <t>M0801005</t>
  </si>
  <si>
    <t>CLARITROMICINA COMPRIMIDOS 500MG</t>
  </si>
  <si>
    <t>M1109182</t>
  </si>
  <si>
    <t>CLINDAMICINA COMPRIMIDOS 300MG</t>
  </si>
  <si>
    <t>M2615123</t>
  </si>
  <si>
    <t>CLOPIDOGREL COMPRIMIDOS 75MG</t>
  </si>
  <si>
    <t>DICLOFENAC COMPRIMIDOS 75MG</t>
  </si>
  <si>
    <t>M2519111</t>
  </si>
  <si>
    <t>ENALAPRIL 10 MG COMP</t>
  </si>
  <si>
    <t>M2519112</t>
  </si>
  <si>
    <t>ENALAPRIL 5 MG COMP</t>
  </si>
  <si>
    <t>M3002112</t>
  </si>
  <si>
    <t>ESPIRONOLACTONA COMPRIMIDOS 100MG RANURADO</t>
  </si>
  <si>
    <t>M2601024</t>
  </si>
  <si>
    <t>FENOFIBRATO 200 MG CAPSULA</t>
  </si>
  <si>
    <t>M3001111</t>
  </si>
  <si>
    <t>FUROSEMIDA COMPRIMIDOS 40MG</t>
  </si>
  <si>
    <t>M2523121</t>
  </si>
  <si>
    <t>ATENOLOL COMPRIMIDOS 50 MG</t>
  </si>
  <si>
    <t>RECHAZADO</t>
  </si>
  <si>
    <t>M2615135</t>
  </si>
  <si>
    <t xml:space="preserve">ATORVASTATINA 20 MG COMPRIMIDOS </t>
  </si>
  <si>
    <t>M2501151</t>
  </si>
  <si>
    <t>BISOPROLOL 5 MG COMPRIMIDOS</t>
  </si>
  <si>
    <t>M2534129</t>
  </si>
  <si>
    <t>CARVEDILOL 12.5 MG COMPRIMIDOS</t>
  </si>
  <si>
    <t>M2501017</t>
  </si>
  <si>
    <t>CARVEDILOL COMPRIMIDOS 25MG</t>
  </si>
  <si>
    <t>M2501112</t>
  </si>
  <si>
    <t>CARVEDILOL COMPRIMIDOS 6.25MG</t>
  </si>
  <si>
    <t>M0711111</t>
  </si>
  <si>
    <t>CEFALEXINA COMPRIMIDOS 500MG</t>
  </si>
  <si>
    <t>M1805112</t>
  </si>
  <si>
    <t>FLUCONAZOL COMPRIMIDOS 100MG</t>
  </si>
  <si>
    <t>67/25</t>
  </si>
  <si>
    <t>M3000019</t>
  </si>
  <si>
    <t>HIDROCLOROTIAZIDA COMPRIMIDOS 25MG</t>
  </si>
  <si>
    <t>214/26</t>
  </si>
  <si>
    <t>M2706121</t>
  </si>
  <si>
    <t>HIDROCORTISONA COMPRIMIDOS 10MG</t>
  </si>
  <si>
    <t>210/26</t>
  </si>
  <si>
    <t>M1901007</t>
  </si>
  <si>
    <t>HIDROXICLOROQUINA COMPRIMIDOS 200MG</t>
  </si>
  <si>
    <t>213/26</t>
  </si>
  <si>
    <t xml:space="preserve">M0505154 </t>
  </si>
  <si>
    <t>M1701075</t>
  </si>
  <si>
    <t>IBUPROFENO 400 MG COMP</t>
  </si>
  <si>
    <t>M1708130</t>
  </si>
  <si>
    <t>LEFLUNOMIDA COMPRIMIDOS 20 MG</t>
  </si>
  <si>
    <t>212/26</t>
  </si>
  <si>
    <t>LEVOTIROXINA COMPRIMIDOS 100 MCG RANURADO</t>
  </si>
  <si>
    <t>M3629178</t>
  </si>
  <si>
    <t>LOSARTAN COMPRIMIDOS 50 MG</t>
  </si>
  <si>
    <t xml:space="preserve">M2301017 </t>
  </si>
  <si>
    <t>MESALAZINA 1 GR COMPRIMIDO</t>
  </si>
  <si>
    <t>211/26</t>
  </si>
  <si>
    <t>M2310156</t>
  </si>
  <si>
    <t>MESALAZINA 1 GR SUPOSITORIO</t>
  </si>
  <si>
    <t>M2310112</t>
  </si>
  <si>
    <t>MESALAZINA 500 MG COMPRIMIDOS</t>
  </si>
  <si>
    <t>M3201128</t>
  </si>
  <si>
    <t>METOTREXATO 10 MG COMPRIMIDOS</t>
  </si>
  <si>
    <t>M1901037</t>
  </si>
  <si>
    <t>METRONIDAZOL COMPRIMIDOS 500 MG</t>
  </si>
  <si>
    <t>M1001008</t>
  </si>
  <si>
    <t>MINOCICLINA COMPRIMIDOS 100 MG</t>
  </si>
  <si>
    <t>M2401039</t>
  </si>
  <si>
    <t>MONTELUKAST COMPRIMIDOS 10MG</t>
  </si>
  <si>
    <t>M1701024</t>
  </si>
  <si>
    <t>NAPROXENO COMPRIMIDOS 500MG</t>
  </si>
  <si>
    <t>M2201123</t>
  </si>
  <si>
    <t>OMEPRAZOL 20 MG CAPSULAS</t>
  </si>
  <si>
    <t>M1701064</t>
  </si>
  <si>
    <t>PARACETAMOL 500 MG COMPRIMIDOS</t>
  </si>
  <si>
    <t>M0705112</t>
  </si>
  <si>
    <t>PENICILINA BENZATINICA FRASCO AMPOLLA 2.400.000</t>
  </si>
  <si>
    <t>100</t>
  </si>
  <si>
    <t>ROSUVASTATINA CALCICA 10 MG  COMPRIMIDO RECUBIERTO</t>
  </si>
  <si>
    <t>SALBUTAMOL AEROSOL 250 DOSIS -100MCG</t>
  </si>
  <si>
    <t>M3000011</t>
  </si>
  <si>
    <t>TAMSULOSINA CAPSULAS 0.4MG</t>
  </si>
  <si>
    <t>M1101036</t>
  </si>
  <si>
    <t>TRIMETOPRIMA-SULFAMETOXAZOL COMP 160/800 MG</t>
  </si>
  <si>
    <t>M2534231</t>
  </si>
  <si>
    <t>VALSARTAN 80 MG  - COMPRIMIDO RECUBIERTO</t>
  </si>
  <si>
    <t>M4611168</t>
  </si>
  <si>
    <t>VITAMINA D3 100,000 UI - FRASCO X 2 ML - GOTAS</t>
  </si>
  <si>
    <t>ALENDRONATO 70 MG</t>
  </si>
  <si>
    <t>AMOXICILINA CLAVULANICO SUSP 500/5</t>
  </si>
  <si>
    <t>AMOXICILINA SUSPENSION 250MG / 5ML X 90 ML</t>
  </si>
  <si>
    <t xml:space="preserve">M0724118 </t>
  </si>
  <si>
    <t>AMOXICILINA SUSPENSION 500MG / 5ML X 90 ML</t>
  </si>
  <si>
    <t>BETA METIL PREDNISONA 4 MG/ML FRASCO X 15 ML</t>
  </si>
  <si>
    <t>M0701138</t>
  </si>
  <si>
    <t>CEFALEXINA SUSPENSION 500MG / 5ML X 90 ML</t>
  </si>
  <si>
    <t>M0801133</t>
  </si>
  <si>
    <t>CLARITROMICINA SUSPENSION 250 MG / 5 ML X 60 ML</t>
  </si>
  <si>
    <t>M2310140</t>
  </si>
  <si>
    <t>EZETIMIBE 10 MG COMPRIMIDOS</t>
  </si>
  <si>
    <t>HIERRO SULFATO GOTAS</t>
  </si>
  <si>
    <t>IBUPROFENO SUSPENSION 2% 60 ML</t>
  </si>
  <si>
    <t xml:space="preserve"> M0216168</t>
  </si>
  <si>
    <t>IBUPROFENO SUSPENSION 4% 60 ML</t>
  </si>
  <si>
    <t>METRONIDAZOL SUSPENSION 250/5</t>
  </si>
  <si>
    <t xml:space="preserve"> M1701065</t>
  </si>
  <si>
    <t>PARACETAMOL 10% GOTAS ENVASE X 20 ML</t>
  </si>
  <si>
    <t>M1200183</t>
  </si>
  <si>
    <t xml:space="preserve">PRAMIPEXOL 1 MG COMPRIMIDOS </t>
  </si>
  <si>
    <t>M2709174</t>
  </si>
  <si>
    <t>PREDNISONA 5 MG COMPRIMIDO</t>
  </si>
  <si>
    <t>M2434180</t>
  </si>
  <si>
    <t>SALMETEROL 50 MCG + FLUTICASONA PROPINATO 250 MCG -  con aplicador - CAPSULA CON POLVO PARA INHALAR</t>
  </si>
  <si>
    <t>M2301043</t>
  </si>
  <si>
    <t>SULFASALAZINA 500 MG - COMPRIMIDO RECUBIERTO</t>
  </si>
  <si>
    <t>TRIMETOPRIMA-SULFAMETOXAZOL SUSPENSION</t>
  </si>
  <si>
    <t>VITAMINA D2 600000 UI / 100 ML GOTAS</t>
  </si>
  <si>
    <t>HEPARINA BAJO PESO MOLECULAR (ENOXAPARINA) 60 MG-0.6 ML JERINGA</t>
  </si>
  <si>
    <t>69/26</t>
  </si>
  <si>
    <t>M2901014</t>
  </si>
  <si>
    <t>BETAMETASONA CREMA 50MG/100GR 15 GR</t>
  </si>
  <si>
    <t>M2301012</t>
  </si>
  <si>
    <t>BISMUTO HIDROXIDO-PECTINA SUSPENSION ORAL 3GR-750MG 90 ml</t>
  </si>
  <si>
    <t>M2701009</t>
  </si>
  <si>
    <t>BUDESONIDE SOLUCION 1 MG/ML GOTAS</t>
  </si>
  <si>
    <t>M2601020</t>
  </si>
  <si>
    <t>COLESTIRAMINA POLVO SOBRES 4 GR</t>
  </si>
  <si>
    <t>M4001066</t>
  </si>
  <si>
    <t>DORZOLAMIDA 2% + TIMOLOL 5%  GOTAS 5 ml</t>
  </si>
  <si>
    <t>M4001014</t>
  </si>
  <si>
    <t>FENILEFRINA -TROPICAMIDA GOTAS 5%-5ML</t>
  </si>
  <si>
    <t>M2301051</t>
  </si>
  <si>
    <t>FOSFATO MONOSODICO-DISODICO SOLUCION ORAL 48GR-18GR/100ML-45ML</t>
  </si>
  <si>
    <t>M0404446</t>
  </si>
  <si>
    <t>HIDROXIDO DE ALUMINIO DE MAGNESIO SUSP.500MG</t>
  </si>
  <si>
    <t>M1702131</t>
  </si>
  <si>
    <t>INDOMETACINA SUPOSITORIOS 100MG</t>
  </si>
  <si>
    <t>IPRATROPIO AEROSOL 25MG/100ML</t>
  </si>
  <si>
    <t>M2401009</t>
  </si>
  <si>
    <t>IPRATROPIO BROMURO SOL. P/NEBULIZAR 25MG/100ML</t>
  </si>
  <si>
    <t>M2301112</t>
  </si>
  <si>
    <t>LACTULOSA LAXANTE JARABE 65GR/100ML - 120 ML</t>
  </si>
  <si>
    <t>M1802113</t>
  </si>
  <si>
    <t>MICONAZOL CREMA 2% 20 GR</t>
  </si>
  <si>
    <t>M1109170</t>
  </si>
  <si>
    <t>MOXIFLOXACINA GOTAS 0,5% 5 ml</t>
  </si>
  <si>
    <t>M2901084</t>
  </si>
  <si>
    <t>MUPIROCINA CREMA 2% 15 GR</t>
  </si>
  <si>
    <t>M1803152</t>
  </si>
  <si>
    <t>NISTATINA SUSPENSION ORAL 100.000UI 60 ML</t>
  </si>
  <si>
    <t>226/26</t>
  </si>
  <si>
    <t>M0101110</t>
  </si>
  <si>
    <t>POLIESTIREN SULFONATO DE CALCIO (RIC CALCIO) 5 GR SOBRES</t>
  </si>
  <si>
    <t xml:space="preserve"> M0102043</t>
  </si>
  <si>
    <t xml:space="preserve">POLIETILENGLICOL 3350 + ELECTROLITOS 70 GR (BAREX 70) </t>
  </si>
  <si>
    <t>M3301111</t>
  </si>
  <si>
    <t>POTASIO GLUCONATO ELIXIR 31.2GR/100ML - 150ML</t>
  </si>
  <si>
    <t>M2401065</t>
  </si>
  <si>
    <t>SALMETEROL-FLUTICASONA AEROSOL 125MCG-25 MCG</t>
  </si>
  <si>
    <t>M3007131  </t>
  </si>
  <si>
    <t>SODIO ZIRCONIO CICLOSILICATO SOBRES X 30 SUSPENSION ORAL 5 GR</t>
  </si>
  <si>
    <t xml:space="preserve"> M2301034</t>
  </si>
  <si>
    <t>SUCRALFATO ANTIULCEROSO SUSPENSION 20GR/100ML - 200 ML</t>
  </si>
  <si>
    <t>SULFADIAZINA DE PLATA-VIT A-LIDOCAINA (PLATSUL) 400 GR</t>
  </si>
  <si>
    <t>M2701144</t>
  </si>
  <si>
    <t>BETAMETASONA 0.05% - GOTAS FRASCO X10/15 ML</t>
  </si>
  <si>
    <t>M2709170</t>
  </si>
  <si>
    <t>BUDESONIDE C/AEROCAMARA 200MCGX200DOSIS</t>
  </si>
  <si>
    <t xml:space="preserve"> M2709142</t>
  </si>
  <si>
    <t>BUDESONIDE SPRAY 200 DOSIS 50MCG (HYPERSOL B 50 O SIMILAR)</t>
  </si>
  <si>
    <t>M1608127</t>
  </si>
  <si>
    <t>CETIRIZINA 10 MG/ML GOTAS</t>
  </si>
  <si>
    <t>M3000028</t>
  </si>
  <si>
    <t>CITRATO DE POTASIO SOBRES 3 GR 30 MEQ</t>
  </si>
  <si>
    <t>DIFENHIDRAMINA 0.25% jarabe 100 ML</t>
  </si>
  <si>
    <t>DIPIRONA 5% JARABE 120 ML</t>
  </si>
  <si>
    <t>M2304111</t>
  </si>
  <si>
    <t>FOSFATO MONOSOD DISOD SOLUCION 18-8GR/100 ML-135ML ENEMA</t>
  </si>
  <si>
    <t>M0401002</t>
  </si>
  <si>
    <t>HIDROXIDO DE MAGNESIO SUSPENSION 6.7GR/100ML - 120 ML 
(LECHE DE MAGNESIA 8,5%)</t>
  </si>
  <si>
    <t>M2301111</t>
  </si>
  <si>
    <t>LACTULOSA JARABE 65% ENVASE POR 250 ML</t>
  </si>
  <si>
    <t>M1308120</t>
  </si>
  <si>
    <t>MESALAZINA ESPUMA RECTAL 1 GR (SALOFALK)</t>
  </si>
  <si>
    <t>METOCLOPRAMIDA GOTAS 0.5%-20ML</t>
  </si>
  <si>
    <t xml:space="preserve"> M2000115</t>
  </si>
  <si>
    <t>RESINA DE COLOFINA-ESENCIA DE TREMENTINA (ADHESOL)</t>
  </si>
  <si>
    <t>M2401072</t>
  </si>
  <si>
    <t>SALBUTAMOL AEROSOL C/AEROCAMARA</t>
  </si>
  <si>
    <t>Sin cobertura</t>
  </si>
  <si>
    <t>M2401073</t>
  </si>
  <si>
    <t>SALMETEROL-FLUTICASONA AEROSOL 125MCG-50MCG</t>
  </si>
  <si>
    <t>M4023185</t>
  </si>
  <si>
    <t>SUSTANCIA VISCOELASTICA JERINGA PRE LLENADA Y CANULA ESTERIL HIALURONATO DE SODIO 1,4% PARA USO INTRAOCULAR. DISPERSIVO</t>
  </si>
  <si>
    <t>M4023184</t>
  </si>
  <si>
    <t>SUSTANCIA VISCOELASTICA JERINGA PRE LLENADA Y CANULA ESTERIL HIALURONATO DE SODIO 3% PARA USO INTRAOCULAR. COHESIVO DE ALTA DENSIDAD</t>
  </si>
  <si>
    <t>M0201159</t>
  </si>
  <si>
    <t>TRAMADOL GOTAS 10ML</t>
  </si>
  <si>
    <t xml:space="preserve"> LIM03025</t>
  </si>
  <si>
    <t>SOLUCION ANTI INCRUSTANTE OXIDIAL LITRO 
Solucion estabilizada de fosfonatos envase 1,5 kg como anti incrustante (preventivo) para el sistema de filtro de agua</t>
  </si>
  <si>
    <t>66/25</t>
  </si>
  <si>
    <t>M3000025</t>
  </si>
  <si>
    <t>CONCENTRADO DE BICARBONATO SOLUCION 10LITROS (SOL BX KDIAL)</t>
  </si>
  <si>
    <t>Pharmacenter</t>
  </si>
  <si>
    <t>189/26</t>
  </si>
  <si>
    <t>M4701002</t>
  </si>
  <si>
    <t xml:space="preserve">CONCENTRADO P/HEMODIALISIS C/GLUCOSA 10 LT (Nar SOL X16 Dil 1:45) </t>
  </si>
  <si>
    <t>Storing</t>
  </si>
  <si>
    <t>188/26</t>
  </si>
  <si>
    <t>M4701001</t>
  </si>
  <si>
    <t>CONCENTRADO P/HEMODIALISIS S/GLUCOSA 10 LT (Roja SOL X 1 Dil 1:45)</t>
  </si>
  <si>
    <t>M3000038</t>
  </si>
  <si>
    <t>ACIDO PERACETICO-PEROXIDO DE HIDROGENO 4%-2% SOL ESTERILIZANTE P/FILTRO DE DIALISIS + TIRAS REACTIVAS PARA MEDIR CONCENTRACION</t>
  </si>
  <si>
    <t>GZ305390</t>
  </si>
  <si>
    <t>ACIDO ACETICO 30% BIDON 1O LITROS (PARA MAQUINA SURDIAL)
Uso como desincrustante para máquinas</t>
  </si>
  <si>
    <t>TIRA REACTIVA PERACEITCO OXIDIAL X 100</t>
  </si>
  <si>
    <t>SOLICITAR EN EL PLIEGO LA ENTREGA DE LAS SOLUCIONES SEGÚN NECESIDAD … DADO QUE POR LO MENOS VAMOS A NECESITAR 4 ENTREGAS (DEBIDO A FALTA DE ESPACIO)</t>
  </si>
  <si>
    <t>SEGÚN DIALISIS: 9 PACIENTES POR DIA TURNO MAÑANA Y 9 TARDE. POSIBLES 4 EN LA NOCHE + LOS AGUDOS QUE APARECEN --&gt; TOTAL APROXIMADO 22 PACIENTES POR DIA --&gt; X 180 DIAS --&gt; 3960 LIQUIDOS DE DIALISIS TOTALES POR SEMESTRE</t>
  </si>
  <si>
    <t>POR CADA LIQUIDO DE DIALISIS QUE SE USA, SE USA UN BICARBONATO</t>
  </si>
  <si>
    <t>SI 4000 BICARBONATOS --&gt; 2200 X16 Y 1800 X1</t>
  </si>
  <si>
    <t>100 x semana</t>
  </si>
  <si>
    <t xml:space="preserve">SE SOLICITA SF 1000 A RAZON DE 4800 POR SEMESTRE </t>
  </si>
  <si>
    <t>PERACETICO DEBIDO A INFECCIONES SOLICITAN 3 BIDONES POR SEMANA (72 SEMESTRAL) (MAQUINA DIAMAX 2018)
Uso como desinfectante para maquinas y filtros</t>
  </si>
  <si>
    <t>ANTI INCRUSTANTE CADA BOTELLA 2 MESES</t>
  </si>
  <si>
    <t>TIRAS REACTIVAS OXI DIAL PERACETICO --&gt; PARA EQUIPO OSMOSIS PORTATIL 2/3 TIRAS X SEMANA</t>
  </si>
  <si>
    <t>HEPARINA 150 X SEMANA</t>
  </si>
  <si>
    <t xml:space="preserve">CONCENTRADO DE BICARBONATO SOLUCION 10LITROS (SOL BX KDIAL)
Se usa 1,7 volumenes por 1 volumen de concentrado acido </t>
  </si>
  <si>
    <t>I0107003</t>
  </si>
  <si>
    <t>MEDIO DE CONTRASTE IODADO NO IONICO CONCENTRACION DE IODO NO MENOR A 320 MG/ML AMPOLLA X 50ML (XENETIX/IOPAMIDOL/IOPAMIRON/OPTIRAY)</t>
  </si>
  <si>
    <t>68/25</t>
  </si>
  <si>
    <t>I0107004</t>
  </si>
  <si>
    <t>MEDIO DE CONTRASTE IODADO NO IONICO CONCENTRACION DE IODO NO MENOR A 320 MG/ML FRASCO AMPOLLA X 100ML (XENETIX/IOPAMIDOL/IOPAMIRON/OPTIRAY)</t>
  </si>
  <si>
    <t>I0109001</t>
  </si>
  <si>
    <t xml:space="preserve">CONTRASTE P/JERINGA PRELELNADA 125CC CONCENTRACION YODO NO IONICO NO MENOR A 240MG -2ML CON CONECTORES (2 x jeringa) DE BAJA PRESION (IOVERSOL / OPTIRAY 320). INCLUYE PROVISIÓN BOMBA GUERBET MODELO OPTIVANTAGE o similar. </t>
  </si>
  <si>
    <t>Azcuenaga</t>
  </si>
  <si>
    <t>138/26</t>
  </si>
  <si>
    <t>Radiografica Oeste</t>
  </si>
  <si>
    <t>6/26</t>
  </si>
  <si>
    <t>I0701015</t>
  </si>
  <si>
    <t>JERINGA PARA BOMBA P/ USO DE ESTUDIOS DE HEMODINAMIA 150 ML (SIMIL SEACROW C02-001-10)</t>
  </si>
  <si>
    <t>229/26</t>
  </si>
  <si>
    <t>I0103002</t>
  </si>
  <si>
    <t>MEDIO DE CONTRASTE IODADO IONICO  (OXITALAMATO DE MEGLUMINA) FA X 100ML CC NO &lt; A 300MG/ML(TELEBRIC CORONARIO/TRIYOSOM C)</t>
  </si>
  <si>
    <t>230/26</t>
  </si>
  <si>
    <t>HEMODINAMIA SEMANALMENTE RETIRA: IODADO NO IONICO 320 O 370 (X50ML 20 UNIDADES) (X100ML 10 UNIDADES). IODADO IONICO (X50ML 20 UNIDADES) (X100ML 10 UNIDADES)</t>
  </si>
  <si>
    <t>I0108002</t>
  </si>
  <si>
    <t xml:space="preserve">MEDIO DE CONTRASTE IODADO IONICO (OXITALAMATO DE MEGLUMINA) FA X 50 ML CC NO &lt; A 300MG/ML (TELEBRIC CORONARIO / TRIYOSOM C) </t>
  </si>
  <si>
    <t>TOMOGRAFIA SEMANALMENTE RETIRA: IODADO NO IONICO CC 320 O 370  (X50ML 40 UNIDADES) (X100ML 20 UNIDADES) Y JERINGAS 40 UNIDADES</t>
  </si>
  <si>
    <t>JERINGA P/DOBLE CABEZAL P/BOMBA DE INFUSION DE CONTRASTE 65 ML P/RESONADOR (SIMIL SEACROW C03-006-10)</t>
  </si>
  <si>
    <t>I0701006</t>
  </si>
  <si>
    <t xml:space="preserve">CARBON ACTIVADO P/MARCACION PRE-QUIRURGICA 4% - 1 ML AMPOLLA </t>
  </si>
  <si>
    <t>I0109003</t>
  </si>
  <si>
    <t xml:space="preserve"> CONECTOR DE BAJA PRESION`P/JERINGA PRELLENADA P/USO DE ESTUDIOS DE TOMOGRAFÍA</t>
  </si>
  <si>
    <t>I0701051</t>
  </si>
  <si>
    <t>JERINGA P/MEDIO DE CONTRASTE ACC/MR-200 ML P/TOMOGRAFIA (BOMBA GUERBET OPTI ONE LIEBEL-FLARSHEIM)</t>
  </si>
  <si>
    <t>I0106001</t>
  </si>
  <si>
    <t>MEDIO DE CONTRASTE P/RESONANCIA GADOLINIO FA 7,5 - 15 ML
(GADOBUTROL - GADOPENTATO DE DIMEGLUMINA)</t>
  </si>
  <si>
    <t>I0108001</t>
  </si>
  <si>
    <t xml:space="preserve">MEDIO DE CONTRASTE IODADO P/HISTEROSALPINGOGRAFIA </t>
  </si>
  <si>
    <t>EVALUAR CONTRASTE EN JERINGA PRELLENADA SI SE SIGUE PIDIENDO O NO Y COMPENSAR CON EL RESTO</t>
  </si>
  <si>
    <t>CONTRASTE IODADO NO IONICO Se solicita desde rayos no adjudicar cc menores a 320 mg/ml Y OSMOLARIDAD CERCANA A 900</t>
  </si>
  <si>
    <t>Subir pedido de jeringas y bajar de FA de Tomografia contraste no ionico</t>
  </si>
  <si>
    <t>CONSIDERAR QUE UNA BOMBA ESTA EN COMODATO CON AZCUENAGA</t>
  </si>
  <si>
    <t>HEMODINAMIA SEMANALMENTE RETIRA: IODADO NO IONICO 320 O 370 
(X50ML 20 UNIDADES) (X100ML 10 UNIDADES). IODADO IONICO (X50ML 20 UNIDADES) (X100ML 10 UNIDADES)</t>
  </si>
  <si>
    <t>ANGIOGRAFIAS (VENTRICULO, CORONARIA, ARTERIOGRAFIA MM II, VASOS DE CUELLO, RAMAS VISCERALES AORTA), ANGIOPLASTICA, REEMPLAZOS VALVULARES,</t>
  </si>
  <si>
    <t>VER DE PEDIR PARA SEGUNDO SEMESTRE CANTIDADES CORREGIDAS</t>
  </si>
  <si>
    <t xml:space="preserve">NO IONICO 300 – 320 </t>
  </si>
  <si>
    <t xml:space="preserve">JERINGA TAC PRELLENADA 2 X DIA (CADA JERINGA SE USA PARA 2 PACIENTES). </t>
  </si>
  <si>
    <t>60 PROCEMIENTOS POR MES – 200 ML POR PROCEDIMIENTO</t>
  </si>
  <si>
    <t>CONECTORES EN Y CON VALVULA 2 X DIA</t>
  </si>
  <si>
    <t>I0102002</t>
  </si>
  <si>
    <t>Iotalamato de Meglumina 250 ml ( 6 MG/ML SOLUCION ORAL 250 ML TAC (Triyoson Tomográfico)</t>
  </si>
  <si>
    <t>CONECTORES SIMPLES 25 X DIA</t>
  </si>
  <si>
    <t>Contraste p/TAC iodo 125 ml JP (Optiray 240) IOVERSOL 125 ML JER. PRELL.EQUIV. A 320 MG I/ML.</t>
  </si>
  <si>
    <t>IONICO  TELEBRIX C</t>
  </si>
  <si>
    <t>I0105001</t>
  </si>
  <si>
    <t xml:space="preserve">Contraste Sulfato de bario + Metilcel p/intestino 95 gr x 225
ML SUSP. ORAL (E-Z-CAT) </t>
  </si>
  <si>
    <t>40 PROCEDIMIENTOS X MES – 150 ML POR PROC</t>
  </si>
  <si>
    <t>I0108005</t>
  </si>
  <si>
    <t>DIATRIZOATO MEGLUMINA 120 ml ORAL  DIATRIZOATO MEGLUMINA
120 ml ORAL (TEMISTAC /GASTROVIEW)</t>
  </si>
  <si>
    <t>I0103004</t>
  </si>
  <si>
    <t>Oxitalamato de Meglumina + asoc 50 ml  (Triyosom C)</t>
  </si>
  <si>
    <t>JERINGAS HEMODINAMIA PARA 20 X SEMESTRE VER BOMBA</t>
  </si>
  <si>
    <t>I0107001</t>
  </si>
  <si>
    <t xml:space="preserve">Contraste iodado no ionico  FA 50 ml (Optiray 320)   </t>
  </si>
  <si>
    <t>CONECTORES HASTA 1200 PSI LARGO 75-90 CM 12</t>
  </si>
  <si>
    <t>I0104002</t>
  </si>
  <si>
    <t>Contraste Sulfato de Bario 340 gr (Gastropaque/Sulfear)</t>
  </si>
  <si>
    <t>I0104003</t>
  </si>
  <si>
    <t>Bario suspensión rectal x 500 ml BARIO
SULFATO MICRONIZADO
SUSPENSION USO RECTAL</t>
  </si>
  <si>
    <t>TOMOGRAFIA --&gt; SEGÚN RAYOS MANIFIESTAN CONSUMO SEMESTRAL DE 1139 FRASCOS DE 100 ML (CONTEMPLANDO EN DICHA CANTIDAD EL CONSUMO TOTAL)</t>
  </si>
  <si>
    <t>LA199046</t>
  </si>
  <si>
    <t>ETER ETILICO ML</t>
  </si>
  <si>
    <t>06/26</t>
  </si>
  <si>
    <t>KE299072</t>
  </si>
  <si>
    <t>ACIDO CROMICO 100 GR</t>
  </si>
  <si>
    <t>LP123017</t>
  </si>
  <si>
    <t>ACIDO ACETICO GLACIAL CALIDAD BIOLOGÍA MOLECULAR NORMAS ACS ISO ENV. VIDRIO ML</t>
  </si>
  <si>
    <t>KC204016</t>
  </si>
  <si>
    <t>ALCOHOL METILICO P.A. 1000 CC</t>
  </si>
  <si>
    <t>LA199019</t>
  </si>
  <si>
    <t>ALCOHOL ETILICO ABSOLUTO ML</t>
  </si>
  <si>
    <t>LA199005</t>
  </si>
  <si>
    <t>ACIDO CLORHIDRICO ML</t>
  </si>
  <si>
    <t>GZ302429</t>
  </si>
  <si>
    <t>XILOL LITRO</t>
  </si>
  <si>
    <t>LA199003</t>
  </si>
  <si>
    <t>ACETONA ML</t>
  </si>
  <si>
    <t>LA199039</t>
  </si>
  <si>
    <t>CLORURO DE SODIO GRS</t>
  </si>
  <si>
    <t>KD204004</t>
  </si>
  <si>
    <t>FOSFATO DISODICO ANHIDRO GR</t>
  </si>
  <si>
    <t>D4111128</t>
  </si>
  <si>
    <t>FRASCO PLASTICO 250 ML OPACO</t>
  </si>
  <si>
    <t>B7003114</t>
  </si>
  <si>
    <t>FRASCO PLASTICO 100 ML OPACO</t>
  </si>
  <si>
    <t>GZ799509</t>
  </si>
  <si>
    <t>FRASCO PLASTICO GOTERO 20 ML OPACO</t>
  </si>
  <si>
    <t>LA299197</t>
  </si>
  <si>
    <t>PROBETA GRADUADA S/TAPA BASE PLASTICA - 2000 ML. UNIDAD</t>
  </si>
  <si>
    <t>LA099043</t>
  </si>
  <si>
    <t>FILTRO 0,22 UM DE PORO 25 MM DIAMETRO PARA JERINGA</t>
  </si>
  <si>
    <t>LA199191</t>
  </si>
  <si>
    <t>NITRATO DE PLATA GRS</t>
  </si>
  <si>
    <t>LA299299</t>
  </si>
  <si>
    <t>ERLENMEYER 5000 ML</t>
  </si>
  <si>
    <t>M2534242</t>
  </si>
  <si>
    <t>MINOXIDIL POLVO GR</t>
  </si>
  <si>
    <t>GZ399008</t>
  </si>
  <si>
    <t>PROPILENGLICOL 1 LITRO</t>
  </si>
  <si>
    <t>M0101321</t>
  </si>
  <si>
    <t>ZINC SULFATO POLVO KG HEPTAHIDRATADO</t>
  </si>
  <si>
    <t>M0125031</t>
  </si>
  <si>
    <t>MORFINA POLVO GR</t>
  </si>
  <si>
    <t>LA299073</t>
  </si>
  <si>
    <t>ERLENMEYER 3000 ML</t>
  </si>
  <si>
    <t>LABORATORIO SOLICITO</t>
  </si>
  <si>
    <t>ACICO CLORIHIDRICO 2000</t>
  </si>
  <si>
    <t>ACETONA 2000</t>
  </si>
  <si>
    <t>CLORURO DE SODIO 100 GR</t>
  </si>
  <si>
    <t>ALCOHOL ETILICO PURO 3000</t>
  </si>
  <si>
    <t>ALCOHOL METILICO PURO 3000</t>
  </si>
  <si>
    <t>Stock NOV 2024</t>
  </si>
  <si>
    <t>Cantidad pedida 2024</t>
  </si>
  <si>
    <t>Cantidad 2025 1er sem corregida</t>
  </si>
  <si>
    <t>Cantidad con OC 2025</t>
  </si>
  <si>
    <t>Justiprecio 2025</t>
  </si>
  <si>
    <t xml:space="preserve">REFORMA AREA ESTERIL </t>
  </si>
  <si>
    <t xml:space="preserve">BALANZA </t>
  </si>
  <si>
    <t>CAPSULERO</t>
  </si>
  <si>
    <t>MATERIALES AMBULATORIOS</t>
  </si>
  <si>
    <t>MAQUINA REENVASADORA</t>
  </si>
  <si>
    <t>MAQUINA REENVASADORA (COMODATO)</t>
  </si>
  <si>
    <t>INSUMOS HELADERA FARMACIA</t>
  </si>
  <si>
    <t>AUTOCLAVE</t>
  </si>
  <si>
    <t xml:space="preserve">DESCRIPCION </t>
  </si>
  <si>
    <t>SOLICITUD</t>
  </si>
  <si>
    <t>SALDO ORIGINAL</t>
  </si>
  <si>
    <t>SALDO CON OC FINAL</t>
  </si>
  <si>
    <t xml:space="preserve"> AMPOLLAS </t>
  </si>
  <si>
    <t xml:space="preserve">COMPRIMIDOS </t>
  </si>
  <si>
    <t xml:space="preserve"> ANESTESICOS </t>
  </si>
  <si>
    <t xml:space="preserve"> ANTIBIOTICOS </t>
  </si>
  <si>
    <t xml:space="preserve"> ANTIBIOTICOS II</t>
  </si>
  <si>
    <t xml:space="preserve"> ANTIBIOTICOS III</t>
  </si>
  <si>
    <t xml:space="preserve"> ANTIBIOTICOS IV</t>
  </si>
  <si>
    <t xml:space="preserve"> ANTIBIOTICOS V</t>
  </si>
  <si>
    <t xml:space="preserve">BAJO COSTO </t>
  </si>
  <si>
    <t xml:space="preserve"> DROGAS Y LIQUIDOS + MAGISTRALES + DIALISIS</t>
  </si>
  <si>
    <t xml:space="preserve"> MEDICACION UTI </t>
  </si>
  <si>
    <t xml:space="preserve"> MEDICACION UTI II </t>
  </si>
  <si>
    <t xml:space="preserve"> ENOXAPARINAS</t>
  </si>
  <si>
    <t xml:space="preserve"> HEPARINA SODICA</t>
  </si>
  <si>
    <t>RAYOS</t>
  </si>
  <si>
    <t xml:space="preserve"> CREMAS-GOTAS-AEROSOLES </t>
  </si>
  <si>
    <t xml:space="preserve"> PSICOTROPICOS</t>
  </si>
  <si>
    <t xml:space="preserve"> ALIMENTACION</t>
  </si>
  <si>
    <t>ALCOHOL</t>
  </si>
  <si>
    <t>TOTAL</t>
  </si>
  <si>
    <t>Disval</t>
  </si>
  <si>
    <t xml:space="preserve">GASA NO TEJIDA. CADA SOBRE CONTIENE 5 UNIDADES SINTÉTICA 10 X 10 - ESTERIL. LA CANTIDAD TOTAL SE CORRESPONDE A LOS PAQUETES POR 5 UNIDADES. </t>
  </si>
  <si>
    <t>Nivel Central</t>
  </si>
  <si>
    <t>M3318150</t>
  </si>
  <si>
    <t>ORTOFTALALDEHIDO OPA BIDON 3-5 LITROS
(INCLUIR 50 TIRAS REACTIVAS CADA 10 BIDONES Y 2 BATEAS PARA SU USO).</t>
  </si>
  <si>
    <t>21/26</t>
  </si>
  <si>
    <t>Cantidad 2026 2DO sem corregida</t>
  </si>
  <si>
    <t>282/26</t>
  </si>
  <si>
    <t>Varadero</t>
  </si>
  <si>
    <t>271/26</t>
  </si>
  <si>
    <t>LEVOTIROXINA COMPRIMIDOS 100 MCG RANURADA</t>
  </si>
  <si>
    <t>Radiologia Castelar</t>
  </si>
  <si>
    <t>APOSITO 10 X 15 CM 17 GRS. UNIDAD QUIRÚRGICO ESTERIL</t>
  </si>
  <si>
    <t>LEVOMEPROMAZINA AMPOLLAS 25MG IV</t>
  </si>
  <si>
    <t>Kims</t>
  </si>
  <si>
    <t>CLINDAMICINA INYECTABLE 600MG AMPOLLA</t>
  </si>
  <si>
    <t>COLISTINA INYECTABLE 100MG FRASCO AMPOLLA</t>
  </si>
  <si>
    <t>GENTAMICINA SULFATO AMPOLLA 80MG/ EN 2ML INYECTABLE</t>
  </si>
  <si>
    <t>IMIPENEM-CILASTATINA FRASCO AMPOLLA 500MG-500MG</t>
  </si>
  <si>
    <t>MEROPENEM 1 GR INYECTABLE</t>
  </si>
  <si>
    <t>METRONIDAZOL 500MG/100ML - 100 ML SACHET</t>
  </si>
  <si>
    <t>SULFAMETOXAZOL + TRIMETOPRIMA 80 MG/ML + 16 MG/ML AMPOLLA DE 5 ML</t>
  </si>
  <si>
    <t>VANCOMICINA 1 GR INYECTABLE</t>
  </si>
  <si>
    <t>22/26</t>
  </si>
  <si>
    <t>Equipo Gemico</t>
  </si>
  <si>
    <t>23/26</t>
  </si>
  <si>
    <t>TOPIRAMATO 100 MG COMPRIMIDOS</t>
  </si>
  <si>
    <t>TOPIRAMATO 50 MG COMPRIMIDOS</t>
  </si>
  <si>
    <t>Dr. Gray</t>
  </si>
  <si>
    <t>104/26</t>
  </si>
  <si>
    <t>M6722152</t>
  </si>
  <si>
    <t>M6722168</t>
  </si>
  <si>
    <t>D0804111</t>
  </si>
  <si>
    <t>GASA HIDROFILA 10 X 10 CM UNIDAD GASA HIDROFILA 10 X 10 CM UNIDAD (Entrega en sobre x 5 unidades)</t>
  </si>
  <si>
    <t>566/26</t>
  </si>
  <si>
    <t>420/26</t>
  </si>
  <si>
    <t>438/26</t>
  </si>
  <si>
    <t>437/26</t>
  </si>
  <si>
    <t>434/26</t>
  </si>
  <si>
    <t>435/26</t>
  </si>
  <si>
    <t>433/26</t>
  </si>
  <si>
    <t>436/26</t>
  </si>
  <si>
    <t>432/26</t>
  </si>
  <si>
    <t>444/26</t>
  </si>
  <si>
    <t>443/26</t>
  </si>
  <si>
    <t>448/26</t>
  </si>
  <si>
    <t>446/26</t>
  </si>
  <si>
    <t>445/26</t>
  </si>
  <si>
    <t>450/26</t>
  </si>
  <si>
    <t>453/26</t>
  </si>
  <si>
    <t>452/26</t>
  </si>
  <si>
    <t>451/26</t>
  </si>
  <si>
    <t>413/26</t>
  </si>
  <si>
    <t>449/26</t>
  </si>
  <si>
    <t>459/26</t>
  </si>
  <si>
    <t>458/26</t>
  </si>
  <si>
    <t>460/26</t>
  </si>
  <si>
    <t>461/26</t>
  </si>
  <si>
    <t>465/26</t>
  </si>
  <si>
    <t>464/26</t>
  </si>
  <si>
    <t>463/26</t>
  </si>
  <si>
    <t>462/26</t>
  </si>
  <si>
    <t>478/26</t>
  </si>
  <si>
    <t>479/26</t>
  </si>
  <si>
    <t>480/26</t>
  </si>
  <si>
    <t>481/26</t>
  </si>
  <si>
    <t>482/26</t>
  </si>
  <si>
    <t>483/26</t>
  </si>
  <si>
    <t>484/26</t>
  </si>
  <si>
    <t>485/26</t>
  </si>
  <si>
    <t>470/26</t>
  </si>
  <si>
    <t>471/26</t>
  </si>
  <si>
    <t>472/26</t>
  </si>
  <si>
    <t>474/26</t>
  </si>
  <si>
    <t>475/26</t>
  </si>
  <si>
    <t>477/26</t>
  </si>
  <si>
    <t>513/26</t>
  </si>
  <si>
    <t>LATANOPROST GOTAS 50MCG/-2.5ML</t>
  </si>
  <si>
    <t>519/26</t>
  </si>
  <si>
    <t>518/26</t>
  </si>
  <si>
    <t>520/26</t>
  </si>
  <si>
    <t>521/26</t>
  </si>
  <si>
    <t>517/26</t>
  </si>
  <si>
    <t>545/26</t>
  </si>
  <si>
    <t>557/26</t>
  </si>
  <si>
    <t>565/26</t>
  </si>
  <si>
    <t>567/26</t>
  </si>
  <si>
    <t>Disval / MG</t>
  </si>
  <si>
    <t>568/26</t>
  </si>
  <si>
    <t>569/26</t>
  </si>
  <si>
    <t>283/26</t>
  </si>
  <si>
    <t>FUROSEMIDA 20 mg ampolla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</si>
</sst>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-&quot;$&quot;* #,##0.00_-;\-&quot;$&quot;* #,##0.00_-;_-&quot;$&quot;* &quot;-&quot;??_-;_-@_-"/>
    <numFmt numFmtId="166" formatCode="_ &quot;$&quot;\ * #,##0.00_ ;_ &quot;$&quot;\ * \-#,##0.00_ ;_ &quot;$&quot;\ * &quot;-&quot;??_ ;_ @_ "/>
    <numFmt numFmtId="167" formatCode="&quot;$&quot;\ #,##0.00"/>
    <numFmt numFmtId="168" formatCode="_ * #,##0.0_ ;_ * \-#,##0.0_ ;_ * &quot;-&quot;??_ ;_ @_ "/>
    <numFmt numFmtId="169" formatCode="_ * #,##0.00_ ;_ * \-#,##0.00_ ;_ * &quot;-&quot;??_ ;_ @_ 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sz val="8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color rgb="FF000000"/>
      <name val="Arial"/>
      <family val="2"/>
    </font>
    <font>
      <sz val="12"/>
      <color rgb="FF222222"/>
      <name val="Arial"/>
      <family val="2"/>
    </font>
    <font>
      <sz val="10"/>
      <color rgb="FF222222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8"/>
      <color theme="1"/>
      <name val="Arial"/>
      <family val="2"/>
    </font>
    <font>
      <sz val="9"/>
      <color theme="1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50404"/>
      <name val="ArialMT"/>
    </font>
    <font>
      <sz val="9"/>
      <color rgb="FF050404"/>
      <name val="ArialMT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4CCCC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165" fontId="1" fillId="0" borderId="0"/>
    <xf numFmtId="164" fontId="1" fillId="0" borderId="0"/>
    <xf numFmtId="169" fontId="8" fillId="0" borderId="0"/>
    <xf numFmtId="166" fontId="1" fillId="0" borderId="0"/>
    <xf numFmtId="0" fontId="12" fillId="0" borderId="0"/>
    <xf numFmtId="0" fontId="13" fillId="0" borderId="0"/>
    <xf numFmtId="165" fontId="8" fillId="0" borderId="0"/>
    <xf numFmtId="0" fontId="12" fillId="0" borderId="0"/>
    <xf numFmtId="165" fontId="1" fillId="0" borderId="0"/>
    <xf numFmtId="0" fontId="1" fillId="0" borderId="0"/>
    <xf numFmtId="0" fontId="1" fillId="0" borderId="0"/>
    <xf numFmtId="0" fontId="12" fillId="0" borderId="0"/>
    <xf numFmtId="165" fontId="1" fillId="0" borderId="0"/>
    <xf numFmtId="0" fontId="12" fillId="0" borderId="0"/>
    <xf numFmtId="0" fontId="31" fillId="0" borderId="0"/>
    <xf numFmtId="0" fontId="38" fillId="16" borderId="0"/>
    <xf numFmtId="0" fontId="1" fillId="17" borderId="0"/>
    <xf numFmtId="0" fontId="1" fillId="18" borderId="0"/>
    <xf numFmtId="0" fontId="1" fillId="19" borderId="0"/>
    <xf numFmtId="0" fontId="1" fillId="20" borderId="0"/>
    <xf numFmtId="0" fontId="1" fillId="21" borderId="0"/>
    <xf numFmtId="0" fontId="1" fillId="22" borderId="0"/>
    <xf numFmtId="0" fontId="45" fillId="0" borderId="0" applyNumberFormat="0" applyFill="0" applyBorder="0" applyAlignment="0" applyProtection="0"/>
    <xf numFmtId="0" fontId="46" fillId="0" borderId="40" applyNumberFormat="0" applyFill="0" applyAlignment="0" applyProtection="0"/>
    <xf numFmtId="0" fontId="47" fillId="0" borderId="41" applyNumberFormat="0" applyFill="0" applyAlignment="0" applyProtection="0"/>
    <xf numFmtId="0" fontId="48" fillId="0" borderId="42" applyNumberFormat="0" applyFill="0" applyAlignment="0" applyProtection="0"/>
    <xf numFmtId="0" fontId="48" fillId="0" borderId="0" applyNumberFormat="0" applyFill="0" applyBorder="0" applyAlignment="0" applyProtection="0"/>
    <xf numFmtId="0" fontId="49" fillId="35" borderId="0" applyNumberFormat="0" applyBorder="0" applyAlignment="0" applyProtection="0"/>
    <xf numFmtId="0" fontId="50" fillId="36" borderId="0" applyNumberFormat="0" applyBorder="0" applyAlignment="0" applyProtection="0"/>
    <xf numFmtId="0" fontId="38" fillId="16" borderId="0" applyNumberFormat="0" applyBorder="0" applyAlignment="0" applyProtection="0"/>
    <xf numFmtId="0" fontId="51" fillId="37" borderId="43" applyNumberFormat="0" applyAlignment="0" applyProtection="0"/>
    <xf numFmtId="0" fontId="52" fillId="38" borderId="44" applyNumberFormat="0" applyAlignment="0" applyProtection="0"/>
    <xf numFmtId="0" fontId="53" fillId="38" borderId="43" applyNumberFormat="0" applyAlignment="0" applyProtection="0"/>
    <xf numFmtId="0" fontId="54" fillId="0" borderId="45" applyNumberFormat="0" applyFill="0" applyAlignment="0" applyProtection="0"/>
    <xf numFmtId="0" fontId="55" fillId="39" borderId="46" applyNumberFormat="0" applyAlignment="0" applyProtection="0"/>
    <xf numFmtId="0" fontId="56" fillId="0" borderId="0" applyNumberFormat="0" applyFill="0" applyBorder="0" applyAlignment="0" applyProtection="0"/>
    <xf numFmtId="0" fontId="1" fillId="40" borderId="47" applyNumberFormat="0" applyFont="0" applyAlignment="0" applyProtection="0"/>
    <xf numFmtId="0" fontId="57" fillId="0" borderId="0" applyNumberFormat="0" applyFill="0" applyBorder="0" applyAlignment="0" applyProtection="0"/>
    <xf numFmtId="0" fontId="2" fillId="0" borderId="48" applyNumberFormat="0" applyFill="0" applyAlignment="0" applyProtection="0"/>
    <xf numFmtId="0" fontId="58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17" borderId="0" applyNumberFormat="0" applyBorder="0" applyAlignment="0" applyProtection="0"/>
    <xf numFmtId="0" fontId="58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18" borderId="0" applyNumberFormat="0" applyBorder="0" applyAlignment="0" applyProtection="0"/>
    <xf numFmtId="0" fontId="58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19" borderId="0" applyNumberFormat="0" applyBorder="0" applyAlignment="0" applyProtection="0"/>
    <xf numFmtId="0" fontId="58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20" borderId="0" applyNumberFormat="0" applyBorder="0" applyAlignment="0" applyProtection="0"/>
    <xf numFmtId="0" fontId="58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21" borderId="0" applyNumberFormat="0" applyBorder="0" applyAlignment="0" applyProtection="0"/>
    <xf numFmtId="0" fontId="58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22" borderId="0" applyNumberFormat="0" applyBorder="0" applyAlignment="0" applyProtection="0"/>
  </cellStyleXfs>
  <cellXfs count="813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5" fontId="7" fillId="0" borderId="3" xfId="1" applyFont="1" applyBorder="1" applyAlignment="1">
      <alignment horizontal="center" vertical="center"/>
    </xf>
    <xf numFmtId="165" fontId="7" fillId="0" borderId="6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7" fillId="0" borderId="0" xfId="0" applyFont="1"/>
    <xf numFmtId="165" fontId="7" fillId="0" borderId="0" xfId="0" applyNumberFormat="1" applyFont="1"/>
    <xf numFmtId="0" fontId="2" fillId="2" borderId="0" xfId="0" applyFont="1" applyFill="1" applyAlignment="1">
      <alignment horizontal="center"/>
    </xf>
    <xf numFmtId="166" fontId="0" fillId="0" borderId="0" xfId="0" applyNumberFormat="1"/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/>
    <xf numFmtId="49" fontId="11" fillId="0" borderId="3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65" fontId="7" fillId="0" borderId="0" xfId="1" applyFont="1" applyAlignment="1">
      <alignment horizontal="center" vertical="center"/>
    </xf>
    <xf numFmtId="0" fontId="4" fillId="0" borderId="3" xfId="0" applyFont="1" applyBorder="1"/>
    <xf numFmtId="0" fontId="11" fillId="0" borderId="0" xfId="0" applyFont="1" applyAlignment="1">
      <alignment horizontal="center" vertical="center"/>
    </xf>
    <xf numFmtId="13" fontId="7" fillId="0" borderId="3" xfId="0" applyNumberFormat="1" applyFont="1" applyBorder="1" applyAlignment="1">
      <alignment horizontal="center" vertical="center"/>
    </xf>
    <xf numFmtId="0" fontId="14" fillId="0" borderId="3" xfId="5" applyFont="1" applyBorder="1" applyAlignment="1">
      <alignment horizontal="center" vertical="center" wrapText="1"/>
    </xf>
    <xf numFmtId="0" fontId="7" fillId="0" borderId="3" xfId="5" applyFont="1" applyBorder="1" applyAlignment="1">
      <alignment horizontal="center" vertical="center" wrapText="1"/>
    </xf>
    <xf numFmtId="0" fontId="0" fillId="0" borderId="3" xfId="0" applyBorder="1"/>
    <xf numFmtId="0" fontId="7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165" fontId="7" fillId="0" borderId="7" xfId="1" applyFont="1" applyBorder="1" applyAlignment="1">
      <alignment horizontal="center" vertical="center"/>
    </xf>
    <xf numFmtId="165" fontId="17" fillId="0" borderId="6" xfId="1" applyFont="1" applyBorder="1" applyAlignment="1">
      <alignment horizontal="center" vertical="center"/>
    </xf>
    <xf numFmtId="165" fontId="17" fillId="0" borderId="3" xfId="1" applyFont="1" applyBorder="1" applyAlignment="1">
      <alignment horizontal="center" vertical="center"/>
    </xf>
    <xf numFmtId="165" fontId="17" fillId="0" borderId="6" xfId="7" applyFont="1" applyBorder="1" applyAlignment="1">
      <alignment horizontal="center" vertical="center"/>
    </xf>
    <xf numFmtId="165" fontId="17" fillId="0" borderId="3" xfId="7" applyFont="1" applyBorder="1" applyAlignment="1">
      <alignment horizontal="center" vertical="center"/>
    </xf>
    <xf numFmtId="167" fontId="17" fillId="0" borderId="6" xfId="0" applyNumberFormat="1" applyFont="1" applyBorder="1" applyAlignment="1">
      <alignment horizontal="center" vertical="center"/>
    </xf>
    <xf numFmtId="167" fontId="17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67" fontId="17" fillId="0" borderId="6" xfId="7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7" fontId="17" fillId="0" borderId="3" xfId="7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 wrapText="1"/>
    </xf>
    <xf numFmtId="165" fontId="7" fillId="3" borderId="3" xfId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65" fontId="17" fillId="3" borderId="3" xfId="7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3" xfId="0" applyFont="1" applyBorder="1" applyAlignment="1">
      <alignment horizontal="center"/>
    </xf>
    <xf numFmtId="166" fontId="17" fillId="0" borderId="6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9" borderId="0" xfId="0" applyFill="1" applyAlignment="1">
      <alignment wrapText="1"/>
    </xf>
    <xf numFmtId="0" fontId="7" fillId="3" borderId="3" xfId="0" applyFont="1" applyFill="1" applyBorder="1" applyAlignment="1">
      <alignment horizontal="center" wrapText="1"/>
    </xf>
    <xf numFmtId="13" fontId="7" fillId="3" borderId="3" xfId="0" applyNumberFormat="1" applyFont="1" applyFill="1" applyBorder="1" applyAlignment="1">
      <alignment horizontal="center" vertical="center" wrapText="1"/>
    </xf>
    <xf numFmtId="0" fontId="14" fillId="3" borderId="3" xfId="5" applyFont="1" applyFill="1" applyBorder="1" applyAlignment="1">
      <alignment horizontal="center" vertical="center" wrapText="1"/>
    </xf>
    <xf numFmtId="0" fontId="7" fillId="3" borderId="3" xfId="0" applyFont="1" applyFill="1" applyBorder="1"/>
    <xf numFmtId="0" fontId="11" fillId="0" borderId="3" xfId="0" applyFont="1" applyBorder="1" applyAlignment="1">
      <alignment horizontal="center" wrapText="1"/>
    </xf>
    <xf numFmtId="165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2" borderId="0" xfId="0" applyFont="1" applyFill="1"/>
    <xf numFmtId="0" fontId="0" fillId="9" borderId="0" xfId="0" applyFill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0" fontId="15" fillId="7" borderId="0" xfId="0" applyFont="1" applyFill="1" applyAlignment="1">
      <alignment vertical="center"/>
    </xf>
    <xf numFmtId="166" fontId="17" fillId="0" borderId="3" xfId="1" applyNumberFormat="1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0" fillId="6" borderId="0" xfId="0" applyFill="1"/>
    <xf numFmtId="166" fontId="0" fillId="0" borderId="3" xfId="0" applyNumberFormat="1" applyBorder="1"/>
    <xf numFmtId="0" fontId="17" fillId="0" borderId="6" xfId="0" applyFont="1" applyBorder="1" applyAlignment="1">
      <alignment horizontal="center" vertical="center"/>
    </xf>
    <xf numFmtId="0" fontId="4" fillId="0" borderId="11" xfId="0" applyFont="1" applyBorder="1"/>
    <xf numFmtId="0" fontId="20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 wrapText="1"/>
    </xf>
    <xf numFmtId="166" fontId="0" fillId="0" borderId="3" xfId="1" applyNumberFormat="1" applyFont="1" applyBorder="1"/>
    <xf numFmtId="0" fontId="0" fillId="0" borderId="3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9" borderId="3" xfId="0" applyFill="1" applyBorder="1" applyAlignment="1">
      <alignment wrapText="1"/>
    </xf>
    <xf numFmtId="0" fontId="11" fillId="0" borderId="7" xfId="0" applyFont="1" applyBorder="1" applyAlignment="1">
      <alignment horizontal="center" vertical="center"/>
    </xf>
    <xf numFmtId="165" fontId="7" fillId="0" borderId="8" xfId="1" applyFont="1" applyBorder="1" applyAlignment="1">
      <alignment horizontal="center" vertical="center"/>
    </xf>
    <xf numFmtId="0" fontId="29" fillId="11" borderId="3" xfId="0" applyFont="1" applyFill="1" applyBorder="1" applyAlignment="1">
      <alignment horizontal="center" vertical="center" wrapText="1"/>
    </xf>
    <xf numFmtId="0" fontId="4" fillId="3" borderId="0" xfId="0" applyFont="1" applyFill="1"/>
    <xf numFmtId="44" fontId="7" fillId="0" borderId="3" xfId="1" applyNumberFormat="1" applyFont="1" applyBorder="1" applyAlignment="1">
      <alignment horizontal="center" vertical="center"/>
    </xf>
    <xf numFmtId="44" fontId="17" fillId="0" borderId="3" xfId="7" applyNumberFormat="1" applyFont="1" applyBorder="1" applyAlignment="1">
      <alignment horizontal="center" vertical="center"/>
    </xf>
    <xf numFmtId="44" fontId="7" fillId="0" borderId="3" xfId="1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5" fontId="7" fillId="0" borderId="3" xfId="1" applyFont="1" applyBorder="1" applyAlignment="1">
      <alignment horizontal="center" vertical="center" wrapText="1"/>
    </xf>
    <xf numFmtId="0" fontId="27" fillId="3" borderId="3" xfId="1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wrapText="1"/>
    </xf>
    <xf numFmtId="0" fontId="0" fillId="3" borderId="3" xfId="0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0" fillId="3" borderId="0" xfId="0" applyFill="1"/>
    <xf numFmtId="49" fontId="11" fillId="3" borderId="3" xfId="0" applyNumberFormat="1" applyFont="1" applyFill="1" applyBorder="1" applyAlignment="1">
      <alignment horizontal="center" vertical="center"/>
    </xf>
    <xf numFmtId="13" fontId="7" fillId="3" borderId="3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25" fillId="0" borderId="3" xfId="0" applyFont="1" applyBorder="1" applyAlignment="1">
      <alignment horizontal="center" vertical="center"/>
    </xf>
    <xf numFmtId="0" fontId="30" fillId="8" borderId="3" xfId="0" applyFont="1" applyFill="1" applyBorder="1" applyAlignment="1">
      <alignment horizontal="center" vertical="center" wrapText="1"/>
    </xf>
    <xf numFmtId="0" fontId="30" fillId="8" borderId="3" xfId="0" applyFont="1" applyFill="1" applyBorder="1" applyAlignment="1">
      <alignment horizontal="center" vertical="center"/>
    </xf>
    <xf numFmtId="44" fontId="17" fillId="3" borderId="3" xfId="7" applyNumberFormat="1" applyFont="1" applyFill="1" applyBorder="1" applyAlignment="1">
      <alignment horizontal="center" vertical="center"/>
    </xf>
    <xf numFmtId="44" fontId="7" fillId="3" borderId="3" xfId="1" applyNumberFormat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17" fillId="0" borderId="3" xfId="7" applyNumberFormat="1" applyFont="1" applyBorder="1" applyAlignment="1">
      <alignment horizontal="center" vertical="center" wrapText="1"/>
    </xf>
    <xf numFmtId="44" fontId="7" fillId="3" borderId="3" xfId="0" applyNumberFormat="1" applyFont="1" applyFill="1" applyBorder="1" applyAlignment="1">
      <alignment horizontal="center" vertical="center" wrapText="1"/>
    </xf>
    <xf numFmtId="44" fontId="0" fillId="3" borderId="3" xfId="0" applyNumberFormat="1" applyFill="1" applyBorder="1" applyAlignment="1">
      <alignment wrapText="1"/>
    </xf>
    <xf numFmtId="44" fontId="4" fillId="0" borderId="0" xfId="0" applyNumberFormat="1" applyFont="1"/>
    <xf numFmtId="0" fontId="22" fillId="0" borderId="3" xfId="0" applyFont="1" applyBorder="1" applyAlignment="1">
      <alignment horizontal="center" vertical="center" wrapText="1"/>
    </xf>
    <xf numFmtId="44" fontId="17" fillId="0" borderId="6" xfId="7" applyNumberFormat="1" applyFont="1" applyBorder="1" applyAlignment="1">
      <alignment horizontal="center" vertical="center"/>
    </xf>
    <xf numFmtId="44" fontId="7" fillId="0" borderId="6" xfId="1" applyNumberFormat="1" applyFont="1" applyBorder="1" applyAlignment="1">
      <alignment horizontal="center" vertical="center"/>
    </xf>
    <xf numFmtId="44" fontId="4" fillId="0" borderId="3" xfId="0" applyNumberFormat="1" applyFont="1" applyBorder="1"/>
    <xf numFmtId="44" fontId="7" fillId="0" borderId="3" xfId="0" applyNumberFormat="1" applyFont="1" applyBorder="1" applyAlignment="1">
      <alignment horizontal="center" vertical="center"/>
    </xf>
    <xf numFmtId="44" fontId="17" fillId="0" borderId="3" xfId="1" applyNumberFormat="1" applyFont="1" applyBorder="1" applyAlignment="1">
      <alignment horizontal="center" vertical="center"/>
    </xf>
    <xf numFmtId="44" fontId="17" fillId="0" borderId="3" xfId="1" applyNumberFormat="1" applyFont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 wrapText="1"/>
    </xf>
    <xf numFmtId="0" fontId="24" fillId="0" borderId="0" xfId="0" applyFont="1"/>
    <xf numFmtId="0" fontId="10" fillId="0" borderId="0" xfId="0" applyFont="1" applyAlignment="1">
      <alignment horizontal="center" vertical="center" wrapText="1"/>
    </xf>
    <xf numFmtId="44" fontId="17" fillId="0" borderId="6" xfId="0" applyNumberFormat="1" applyFont="1" applyBorder="1" applyAlignment="1">
      <alignment horizontal="center" vertical="center"/>
    </xf>
    <xf numFmtId="44" fontId="7" fillId="0" borderId="6" xfId="0" applyNumberFormat="1" applyFont="1" applyBorder="1" applyAlignment="1">
      <alignment horizontal="center" vertical="center"/>
    </xf>
    <xf numFmtId="44" fontId="17" fillId="0" borderId="3" xfId="0" applyNumberFormat="1" applyFont="1" applyBorder="1" applyAlignment="1">
      <alignment horizontal="center" vertical="center"/>
    </xf>
    <xf numFmtId="44" fontId="17" fillId="0" borderId="3" xfId="7" applyNumberFormat="1" applyFont="1" applyBorder="1"/>
    <xf numFmtId="44" fontId="0" fillId="0" borderId="3" xfId="0" applyNumberFormat="1" applyBorder="1"/>
    <xf numFmtId="0" fontId="30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4" fillId="0" borderId="12" xfId="0" applyFont="1" applyBorder="1"/>
    <xf numFmtId="0" fontId="0" fillId="3" borderId="3" xfId="0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5" fontId="7" fillId="3" borderId="6" xfId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0" fillId="3" borderId="3" xfId="0" applyFill="1" applyBorder="1" applyAlignment="1">
      <alignment horizontal="center"/>
    </xf>
    <xf numFmtId="0" fontId="11" fillId="3" borderId="1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7" fillId="0" borderId="6" xfId="0" quotePrefix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7" fillId="0" borderId="7" xfId="0" applyFont="1" applyBorder="1"/>
    <xf numFmtId="0" fontId="0" fillId="6" borderId="0" xfId="0" applyFill="1" applyAlignment="1">
      <alignment horizontal="center"/>
    </xf>
    <xf numFmtId="166" fontId="0" fillId="6" borderId="0" xfId="0" applyNumberFormat="1" applyFill="1"/>
    <xf numFmtId="0" fontId="0" fillId="0" borderId="0" xfId="0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165" fontId="7" fillId="3" borderId="21" xfId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4" fontId="18" fillId="0" borderId="3" xfId="0" applyNumberFormat="1" applyFont="1" applyBorder="1" applyAlignment="1">
      <alignment horizontal="center" vertical="center" wrapText="1"/>
    </xf>
    <xf numFmtId="44" fontId="10" fillId="0" borderId="3" xfId="0" applyNumberFormat="1" applyFont="1" applyBorder="1" applyAlignment="1">
      <alignment horizontal="center" vertical="center" wrapText="1"/>
    </xf>
    <xf numFmtId="44" fontId="7" fillId="0" borderId="7" xfId="1" applyNumberFormat="1" applyFont="1" applyBorder="1" applyAlignment="1">
      <alignment horizontal="center" vertical="center"/>
    </xf>
    <xf numFmtId="0" fontId="2" fillId="12" borderId="3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 vertical="center"/>
    </xf>
    <xf numFmtId="166" fontId="17" fillId="3" borderId="3" xfId="7" applyNumberFormat="1" applyFont="1" applyFill="1" applyBorder="1" applyAlignment="1">
      <alignment horizontal="center" vertical="center"/>
    </xf>
    <xf numFmtId="0" fontId="7" fillId="3" borderId="11" xfId="0" applyFont="1" applyFill="1" applyBorder="1"/>
    <xf numFmtId="165" fontId="0" fillId="3" borderId="0" xfId="0" applyNumberFormat="1" applyFill="1"/>
    <xf numFmtId="165" fontId="7" fillId="3" borderId="15" xfId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4" fillId="3" borderId="15" xfId="0" applyFont="1" applyFill="1" applyBorder="1"/>
    <xf numFmtId="0" fontId="7" fillId="3" borderId="25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44" fontId="17" fillId="3" borderId="3" xfId="7" applyNumberFormat="1" applyFont="1" applyFill="1" applyBorder="1" applyAlignment="1">
      <alignment horizontal="center" vertical="center" wrapText="1"/>
    </xf>
    <xf numFmtId="44" fontId="7" fillId="3" borderId="3" xfId="1" applyNumberFormat="1" applyFont="1" applyFill="1" applyBorder="1" applyAlignment="1">
      <alignment horizontal="center" vertical="center" wrapText="1"/>
    </xf>
    <xf numFmtId="165" fontId="7" fillId="3" borderId="3" xfId="1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/>
    </xf>
    <xf numFmtId="0" fontId="7" fillId="3" borderId="21" xfId="0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166" fontId="0" fillId="3" borderId="3" xfId="0" applyNumberFormat="1" applyFill="1" applyBorder="1" applyAlignment="1">
      <alignment wrapText="1"/>
    </xf>
    <xf numFmtId="0" fontId="7" fillId="3" borderId="6" xfId="0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/>
    </xf>
    <xf numFmtId="165" fontId="17" fillId="0" borderId="3" xfId="7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166" fontId="7" fillId="0" borderId="3" xfId="1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165" fontId="17" fillId="0" borderId="3" xfId="7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44" fontId="7" fillId="0" borderId="3" xfId="4" applyNumberFormat="1" applyFont="1" applyBorder="1" applyAlignment="1">
      <alignment horizontal="center" vertical="center" wrapText="1"/>
    </xf>
    <xf numFmtId="44" fontId="17" fillId="0" borderId="3" xfId="7" applyNumberFormat="1" applyFont="1" applyBorder="1" applyAlignment="1">
      <alignment wrapText="1"/>
    </xf>
    <xf numFmtId="44" fontId="17" fillId="0" borderId="3" xfId="0" applyNumberFormat="1" applyFont="1" applyBorder="1" applyAlignment="1">
      <alignment wrapText="1"/>
    </xf>
    <xf numFmtId="44" fontId="7" fillId="0" borderId="3" xfId="0" applyNumberFormat="1" applyFont="1" applyBorder="1" applyAlignment="1">
      <alignment wrapText="1"/>
    </xf>
    <xf numFmtId="0" fontId="27" fillId="0" borderId="3" xfId="1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44" fontId="0" fillId="0" borderId="3" xfId="0" applyNumberFormat="1" applyBorder="1" applyAlignment="1">
      <alignment wrapText="1"/>
    </xf>
    <xf numFmtId="0" fontId="7" fillId="0" borderId="1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44" fontId="4" fillId="0" borderId="3" xfId="0" applyNumberFormat="1" applyFont="1" applyBorder="1" applyAlignment="1">
      <alignment wrapText="1"/>
    </xf>
    <xf numFmtId="0" fontId="11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4" fillId="4" borderId="3" xfId="0" applyFont="1" applyFill="1" applyBorder="1"/>
    <xf numFmtId="0" fontId="0" fillId="4" borderId="3" xfId="0" applyFill="1" applyBorder="1" applyAlignment="1">
      <alignment horizontal="center" vertical="center" wrapText="1"/>
    </xf>
    <xf numFmtId="0" fontId="4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vertical="center"/>
    </xf>
    <xf numFmtId="44" fontId="11" fillId="3" borderId="3" xfId="0" applyNumberFormat="1" applyFont="1" applyFill="1" applyBorder="1"/>
    <xf numFmtId="44" fontId="11" fillId="0" borderId="3" xfId="0" applyNumberFormat="1" applyFont="1" applyBorder="1"/>
    <xf numFmtId="0" fontId="4" fillId="4" borderId="3" xfId="0" applyFont="1" applyFill="1" applyBorder="1" applyAlignment="1">
      <alignment horizontal="center"/>
    </xf>
    <xf numFmtId="0" fontId="0" fillId="4" borderId="3" xfId="0" applyFill="1" applyBorder="1"/>
    <xf numFmtId="165" fontId="7" fillId="0" borderId="21" xfId="1" applyFont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165" fontId="7" fillId="0" borderId="17" xfId="1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horizontal="center" vertical="center"/>
    </xf>
    <xf numFmtId="17" fontId="4" fillId="0" borderId="0" xfId="0" applyNumberFormat="1" applyFont="1"/>
    <xf numFmtId="49" fontId="17" fillId="3" borderId="3" xfId="7" applyNumberFormat="1" applyFont="1" applyFill="1" applyBorder="1" applyAlignment="1">
      <alignment horizontal="center" vertical="center"/>
    </xf>
    <xf numFmtId="44" fontId="17" fillId="0" borderId="6" xfId="1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0" fontId="0" fillId="10" borderId="0" xfId="0" applyFill="1"/>
    <xf numFmtId="0" fontId="0" fillId="15" borderId="0" xfId="0" applyFill="1"/>
    <xf numFmtId="44" fontId="17" fillId="0" borderId="0" xfId="7" applyNumberFormat="1" applyFont="1" applyAlignment="1">
      <alignment horizontal="center" vertical="center"/>
    </xf>
    <xf numFmtId="44" fontId="7" fillId="0" borderId="0" xfId="1" applyNumberFormat="1" applyFont="1" applyAlignment="1">
      <alignment horizontal="center" vertical="center"/>
    </xf>
    <xf numFmtId="49" fontId="11" fillId="14" borderId="3" xfId="0" applyNumberFormat="1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0" fillId="3" borderId="3" xfId="0" applyFill="1" applyBorder="1"/>
    <xf numFmtId="165" fontId="17" fillId="3" borderId="3" xfId="1" applyFont="1" applyFill="1" applyBorder="1" applyAlignment="1">
      <alignment horizontal="center" vertical="center"/>
    </xf>
    <xf numFmtId="0" fontId="4" fillId="3" borderId="11" xfId="0" applyFont="1" applyFill="1" applyBorder="1"/>
    <xf numFmtId="165" fontId="7" fillId="0" borderId="11" xfId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 wrapText="1"/>
    </xf>
    <xf numFmtId="165" fontId="17" fillId="0" borderId="3" xfId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44" fontId="4" fillId="0" borderId="3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7" fillId="0" borderId="3" xfId="1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7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49" fontId="11" fillId="4" borderId="3" xfId="0" applyNumberFormat="1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/>
    </xf>
    <xf numFmtId="0" fontId="27" fillId="3" borderId="3" xfId="11" applyFont="1" applyFill="1" applyBorder="1" applyAlignment="1">
      <alignment horizontal="center" vertical="center" wrapText="1"/>
    </xf>
    <xf numFmtId="167" fontId="10" fillId="0" borderId="3" xfId="0" applyNumberFormat="1" applyFont="1" applyBorder="1" applyAlignment="1">
      <alignment horizontal="center" vertical="center" wrapText="1"/>
    </xf>
    <xf numFmtId="167" fontId="7" fillId="0" borderId="3" xfId="1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/>
    </xf>
    <xf numFmtId="44" fontId="4" fillId="0" borderId="6" xfId="0" applyNumberFormat="1" applyFont="1" applyBorder="1"/>
    <xf numFmtId="0" fontId="0" fillId="4" borderId="3" xfId="0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39" fillId="23" borderId="3" xfId="15" applyFont="1" applyFill="1" applyBorder="1" applyAlignment="1">
      <alignment horizontal="center" vertical="center" wrapText="1"/>
    </xf>
    <xf numFmtId="17" fontId="31" fillId="0" borderId="3" xfId="15" applyNumberFormat="1" applyBorder="1" applyAlignment="1">
      <alignment horizontal="center" vertical="center"/>
    </xf>
    <xf numFmtId="0" fontId="27" fillId="4" borderId="3" xfId="1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22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 wrapText="1"/>
    </xf>
    <xf numFmtId="165" fontId="7" fillId="3" borderId="7" xfId="1" applyFont="1" applyFill="1" applyBorder="1" applyAlignment="1">
      <alignment horizontal="center" vertical="center"/>
    </xf>
    <xf numFmtId="0" fontId="7" fillId="24" borderId="3" xfId="0" applyFont="1" applyFill="1" applyBorder="1" applyAlignment="1">
      <alignment horizontal="center" vertical="center"/>
    </xf>
    <xf numFmtId="0" fontId="7" fillId="25" borderId="3" xfId="0" applyFont="1" applyFill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7" fillId="3" borderId="3" xfId="0" applyNumberFormat="1" applyFont="1" applyFill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44" fontId="17" fillId="0" borderId="7" xfId="7" applyNumberFormat="1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6" borderId="3" xfId="0" applyFont="1" applyFill="1" applyBorder="1"/>
    <xf numFmtId="167" fontId="4" fillId="6" borderId="3" xfId="0" applyNumberFormat="1" applyFont="1" applyFill="1" applyBorder="1" applyAlignment="1">
      <alignment horizontal="center" vertical="center"/>
    </xf>
    <xf numFmtId="165" fontId="7" fillId="6" borderId="3" xfId="1" applyFont="1" applyFill="1" applyBorder="1" applyAlignment="1">
      <alignment horizontal="center" vertical="center"/>
    </xf>
    <xf numFmtId="0" fontId="0" fillId="6" borderId="3" xfId="0" applyFill="1" applyBorder="1"/>
    <xf numFmtId="0" fontId="4" fillId="3" borderId="21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28" fillId="3" borderId="3" xfId="0" applyFont="1" applyFill="1" applyBorder="1" applyAlignment="1">
      <alignment horizontal="center" vertical="center"/>
    </xf>
    <xf numFmtId="0" fontId="7" fillId="3" borderId="3" xfId="6" applyFont="1" applyFill="1" applyBorder="1" applyAlignment="1">
      <alignment horizontal="center" vertical="center"/>
    </xf>
    <xf numFmtId="44" fontId="7" fillId="0" borderId="3" xfId="4" applyNumberFormat="1" applyFont="1" applyBorder="1" applyAlignment="1">
      <alignment horizontal="center" vertical="center"/>
    </xf>
    <xf numFmtId="0" fontId="7" fillId="26" borderId="21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27" fillId="12" borderId="3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26" borderId="21" xfId="0" applyFont="1" applyFill="1" applyBorder="1" applyAlignment="1">
      <alignment horizontal="center" vertical="center" wrapText="1"/>
    </xf>
    <xf numFmtId="0" fontId="7" fillId="27" borderId="3" xfId="0" applyFont="1" applyFill="1" applyBorder="1" applyAlignment="1">
      <alignment horizontal="center" vertical="center"/>
    </xf>
    <xf numFmtId="0" fontId="7" fillId="27" borderId="3" xfId="0" applyFont="1" applyFill="1" applyBorder="1" applyAlignment="1">
      <alignment horizontal="center" vertical="center" wrapText="1"/>
    </xf>
    <xf numFmtId="0" fontId="14" fillId="27" borderId="3" xfId="0" applyFont="1" applyFill="1" applyBorder="1" applyAlignment="1">
      <alignment horizontal="center" vertical="center" wrapText="1"/>
    </xf>
    <xf numFmtId="0" fontId="31" fillId="27" borderId="3" xfId="0" applyFont="1" applyFill="1" applyBorder="1" applyAlignment="1">
      <alignment horizontal="center"/>
    </xf>
    <xf numFmtId="0" fontId="7" fillId="27" borderId="6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 vertical="center"/>
    </xf>
    <xf numFmtId="0" fontId="31" fillId="27" borderId="3" xfId="0" applyFont="1" applyFill="1" applyBorder="1" applyAlignment="1">
      <alignment horizontal="center" vertical="center"/>
    </xf>
    <xf numFmtId="0" fontId="31" fillId="27" borderId="3" xfId="0" applyFont="1" applyFill="1" applyBorder="1"/>
    <xf numFmtId="0" fontId="7" fillId="0" borderId="30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7" fillId="3" borderId="3" xfId="6" applyFont="1" applyFill="1" applyBorder="1" applyAlignment="1">
      <alignment horizontal="center" vertical="center" wrapText="1"/>
    </xf>
    <xf numFmtId="49" fontId="7" fillId="6" borderId="3" xfId="0" applyNumberFormat="1" applyFont="1" applyFill="1" applyBorder="1" applyAlignment="1">
      <alignment horizontal="center" vertical="center" wrapText="1"/>
    </xf>
    <xf numFmtId="165" fontId="17" fillId="6" borderId="3" xfId="7" applyFont="1" applyFill="1" applyBorder="1" applyAlignment="1">
      <alignment horizontal="center" vertical="center" wrapText="1"/>
    </xf>
    <xf numFmtId="165" fontId="7" fillId="6" borderId="3" xfId="1" applyFont="1" applyFill="1" applyBorder="1" applyAlignment="1">
      <alignment horizontal="center" vertical="center" wrapText="1"/>
    </xf>
    <xf numFmtId="0" fontId="4" fillId="6" borderId="0" xfId="0" applyFont="1" applyFill="1"/>
    <xf numFmtId="0" fontId="0" fillId="6" borderId="3" xfId="0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165" fontId="17" fillId="6" borderId="3" xfId="7" applyFont="1" applyFill="1" applyBorder="1" applyAlignment="1">
      <alignment horizontal="center" vertical="center"/>
    </xf>
    <xf numFmtId="165" fontId="7" fillId="6" borderId="6" xfId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7" fontId="11" fillId="3" borderId="3" xfId="0" applyNumberFormat="1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4" fillId="3" borderId="3" xfId="8" applyFont="1" applyFill="1" applyBorder="1" applyAlignment="1">
      <alignment horizontal="center" vertical="center" wrapText="1"/>
    </xf>
    <xf numFmtId="0" fontId="14" fillId="3" borderId="3" xfId="8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7" fillId="28" borderId="3" xfId="0" applyFont="1" applyFill="1" applyBorder="1" applyAlignment="1">
      <alignment horizontal="center" vertical="center"/>
    </xf>
    <xf numFmtId="0" fontId="4" fillId="28" borderId="3" xfId="0" applyFont="1" applyFill="1" applyBorder="1" applyAlignment="1">
      <alignment horizontal="center"/>
    </xf>
    <xf numFmtId="0" fontId="4" fillId="29" borderId="3" xfId="0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7" fillId="28" borderId="2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28" borderId="15" xfId="0" applyFont="1" applyFill="1" applyBorder="1" applyAlignment="1">
      <alignment horizontal="center" vertical="center"/>
    </xf>
    <xf numFmtId="0" fontId="7" fillId="29" borderId="15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28" borderId="2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wrapText="1"/>
    </xf>
    <xf numFmtId="0" fontId="23" fillId="3" borderId="3" xfId="0" applyFont="1" applyFill="1" applyBorder="1" applyAlignment="1">
      <alignment horizontal="center"/>
    </xf>
    <xf numFmtId="0" fontId="11" fillId="3" borderId="3" xfId="5" applyFont="1" applyFill="1" applyBorder="1" applyAlignment="1">
      <alignment horizontal="center"/>
    </xf>
    <xf numFmtId="0" fontId="36" fillId="3" borderId="3" xfId="0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/>
    </xf>
    <xf numFmtId="0" fontId="37" fillId="3" borderId="3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6" fillId="0" borderId="0" xfId="0" applyFont="1" applyAlignment="1">
      <alignment vertical="center"/>
    </xf>
    <xf numFmtId="0" fontId="7" fillId="12" borderId="0" xfId="0" applyFont="1" applyFill="1" applyAlignment="1">
      <alignment horizontal="center"/>
    </xf>
    <xf numFmtId="0" fontId="7" fillId="12" borderId="0" xfId="0" applyFont="1" applyFill="1"/>
    <xf numFmtId="0" fontId="4" fillId="12" borderId="0" xfId="0" applyFont="1" applyFill="1"/>
    <xf numFmtId="0" fontId="0" fillId="12" borderId="0" xfId="0" applyFill="1"/>
    <xf numFmtId="0" fontId="0" fillId="12" borderId="0" xfId="0" applyFill="1" applyAlignment="1">
      <alignment horizontal="center"/>
    </xf>
    <xf numFmtId="0" fontId="7" fillId="0" borderId="3" xfId="0" quotePrefix="1" applyFont="1" applyBorder="1" applyAlignment="1">
      <alignment horizontal="center" vertical="center"/>
    </xf>
    <xf numFmtId="49" fontId="17" fillId="4" borderId="3" xfId="0" applyNumberFormat="1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0" fontId="40" fillId="4" borderId="20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7" fillId="26" borderId="3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wrapText="1"/>
    </xf>
    <xf numFmtId="0" fontId="7" fillId="4" borderId="2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7" fillId="4" borderId="21" xfId="0" applyFont="1" applyFill="1" applyBorder="1" applyAlignment="1">
      <alignment horizontal="center" vertical="center" wrapText="1"/>
    </xf>
    <xf numFmtId="49" fontId="7" fillId="4" borderId="6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7" fillId="6" borderId="3" xfId="0" applyFont="1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5" fontId="17" fillId="3" borderId="7" xfId="7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11" fillId="4" borderId="17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vertical="center"/>
    </xf>
    <xf numFmtId="0" fontId="11" fillId="4" borderId="6" xfId="0" applyFont="1" applyFill="1" applyBorder="1" applyAlignment="1">
      <alignment horizontal="center"/>
    </xf>
    <xf numFmtId="49" fontId="11" fillId="3" borderId="6" xfId="0" applyNumberFormat="1" applyFont="1" applyFill="1" applyBorder="1" applyAlignment="1">
      <alignment horizontal="center"/>
    </xf>
    <xf numFmtId="44" fontId="0" fillId="0" borderId="6" xfId="0" applyNumberFormat="1" applyBorder="1" applyAlignment="1">
      <alignment horizontal="center" vertical="center" wrapText="1"/>
    </xf>
    <xf numFmtId="44" fontId="17" fillId="0" borderId="7" xfId="1" applyNumberFormat="1" applyFont="1" applyBorder="1" applyAlignment="1">
      <alignment horizontal="center" vertical="center"/>
    </xf>
    <xf numFmtId="44" fontId="0" fillId="0" borderId="6" xfId="0" applyNumberFormat="1" applyBorder="1"/>
    <xf numFmtId="0" fontId="40" fillId="3" borderId="3" xfId="0" applyFont="1" applyFill="1" applyBorder="1" applyAlignment="1">
      <alignment horizontal="center" vertical="center"/>
    </xf>
    <xf numFmtId="0" fontId="40" fillId="3" borderId="3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vertical="center"/>
    </xf>
    <xf numFmtId="0" fontId="42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vertical="center"/>
    </xf>
    <xf numFmtId="0" fontId="42" fillId="30" borderId="3" xfId="0" applyFont="1" applyFill="1" applyBorder="1" applyAlignment="1">
      <alignment horizontal="center" vertical="center" wrapText="1"/>
    </xf>
    <xf numFmtId="44" fontId="0" fillId="0" borderId="6" xfId="0" applyNumberFormat="1" applyBorder="1" applyAlignment="1">
      <alignment horizontal="center" vertical="center"/>
    </xf>
    <xf numFmtId="0" fontId="7" fillId="27" borderId="6" xfId="0" applyFont="1" applyFill="1" applyBorder="1" applyAlignment="1">
      <alignment horizontal="center" vertical="center" wrapText="1"/>
    </xf>
    <xf numFmtId="0" fontId="7" fillId="27" borderId="17" xfId="0" applyFont="1" applyFill="1" applyBorder="1" applyAlignment="1">
      <alignment horizontal="center" vertical="center" wrapText="1"/>
    </xf>
    <xf numFmtId="0" fontId="31" fillId="27" borderId="6" xfId="0" applyFont="1" applyFill="1" applyBorder="1" applyAlignment="1">
      <alignment horizontal="center"/>
    </xf>
    <xf numFmtId="0" fontId="7" fillId="27" borderId="17" xfId="0" applyFont="1" applyFill="1" applyBorder="1" applyAlignment="1">
      <alignment horizontal="center" vertical="center"/>
    </xf>
    <xf numFmtId="0" fontId="27" fillId="3" borderId="6" xfId="11" applyFont="1" applyFill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0" fillId="6" borderId="21" xfId="0" applyFill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/>
    </xf>
    <xf numFmtId="0" fontId="0" fillId="3" borderId="11" xfId="0" applyFill="1" applyBorder="1"/>
    <xf numFmtId="0" fontId="7" fillId="0" borderId="8" xfId="6" applyFont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44" fontId="18" fillId="0" borderId="6" xfId="0" applyNumberFormat="1" applyFont="1" applyBorder="1" applyAlignment="1">
      <alignment horizontal="center" vertical="center" wrapText="1"/>
    </xf>
    <xf numFmtId="44" fontId="10" fillId="0" borderId="6" xfId="0" applyNumberFormat="1" applyFont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/>
    </xf>
    <xf numFmtId="165" fontId="7" fillId="3" borderId="3" xfId="0" applyNumberFormat="1" applyFont="1" applyFill="1" applyBorder="1"/>
    <xf numFmtId="0" fontId="7" fillId="3" borderId="0" xfId="0" applyFont="1" applyFill="1"/>
    <xf numFmtId="0" fontId="7" fillId="4" borderId="3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14" fillId="4" borderId="3" xfId="5" applyFont="1" applyFill="1" applyBorder="1" applyAlignment="1">
      <alignment horizontal="center" vertical="center" wrapText="1"/>
    </xf>
    <xf numFmtId="0" fontId="23" fillId="3" borderId="3" xfId="0" applyFont="1" applyFill="1" applyBorder="1"/>
    <xf numFmtId="0" fontId="7" fillId="29" borderId="3" xfId="0" applyFont="1" applyFill="1" applyBorder="1" applyAlignment="1">
      <alignment horizontal="center" vertical="center"/>
    </xf>
    <xf numFmtId="0" fontId="31" fillId="28" borderId="3" xfId="0" applyFont="1" applyFill="1" applyBorder="1" applyAlignment="1">
      <alignment horizontal="center"/>
    </xf>
    <xf numFmtId="0" fontId="7" fillId="28" borderId="6" xfId="0" applyFont="1" applyFill="1" applyBorder="1" applyAlignment="1">
      <alignment horizontal="center" vertical="center"/>
    </xf>
    <xf numFmtId="0" fontId="31" fillId="28" borderId="15" xfId="0" applyFont="1" applyFill="1" applyBorder="1"/>
    <xf numFmtId="49" fontId="7" fillId="6" borderId="3" xfId="0" applyNumberFormat="1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17" fontId="11" fillId="6" borderId="3" xfId="0" applyNumberFormat="1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4" borderId="3" xfId="8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0" fontId="7" fillId="31" borderId="3" xfId="0" applyFont="1" applyFill="1" applyBorder="1" applyAlignment="1">
      <alignment horizontal="center" vertical="center"/>
    </xf>
    <xf numFmtId="17" fontId="11" fillId="4" borderId="3" xfId="0" applyNumberFormat="1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 vertical="center"/>
    </xf>
    <xf numFmtId="0" fontId="14" fillId="4" borderId="3" xfId="12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vertical="center"/>
    </xf>
    <xf numFmtId="49" fontId="11" fillId="3" borderId="3" xfId="0" applyNumberFormat="1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7" fillId="4" borderId="3" xfId="6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7" fillId="4" borderId="16" xfId="0" applyFont="1" applyFill="1" applyBorder="1" applyAlignment="1">
      <alignment horizontal="center" vertical="center"/>
    </xf>
    <xf numFmtId="0" fontId="7" fillId="3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0" fillId="4" borderId="17" xfId="0" applyFill="1" applyBorder="1" applyAlignment="1">
      <alignment horizontal="center"/>
    </xf>
    <xf numFmtId="0" fontId="10" fillId="4" borderId="17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0" fillId="4" borderId="21" xfId="0" applyFill="1" applyBorder="1"/>
    <xf numFmtId="0" fontId="0" fillId="4" borderId="21" xfId="0" applyFill="1" applyBorder="1" applyAlignment="1">
      <alignment horizontal="center"/>
    </xf>
    <xf numFmtId="0" fontId="0" fillId="4" borderId="11" xfId="0" applyFill="1" applyBorder="1"/>
    <xf numFmtId="0" fontId="17" fillId="4" borderId="3" xfId="0" applyFont="1" applyFill="1" applyBorder="1" applyAlignment="1">
      <alignment horizontal="center" vertical="center"/>
    </xf>
    <xf numFmtId="0" fontId="27" fillId="4" borderId="3" xfId="11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7" fillId="32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/>
    </xf>
    <xf numFmtId="0" fontId="7" fillId="14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wrapText="1"/>
    </xf>
    <xf numFmtId="49" fontId="11" fillId="4" borderId="3" xfId="0" applyNumberFormat="1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7" fillId="4" borderId="3" xfId="0" applyFont="1" applyFill="1" applyBorder="1"/>
    <xf numFmtId="0" fontId="19" fillId="4" borderId="3" xfId="0" applyFont="1" applyFill="1" applyBorder="1" applyAlignment="1">
      <alignment horizontal="center" vertical="center" wrapText="1"/>
    </xf>
    <xf numFmtId="0" fontId="7" fillId="31" borderId="3" xfId="0" applyFont="1" applyFill="1" applyBorder="1" applyAlignment="1">
      <alignment horizontal="center"/>
    </xf>
    <xf numFmtId="0" fontId="26" fillId="31" borderId="3" xfId="0" applyFont="1" applyFill="1" applyBorder="1" applyAlignment="1">
      <alignment horizontal="center" vertical="center"/>
    </xf>
    <xf numFmtId="0" fontId="31" fillId="31" borderId="3" xfId="0" applyFont="1" applyFill="1" applyBorder="1" applyAlignment="1">
      <alignment horizontal="center"/>
    </xf>
    <xf numFmtId="0" fontId="7" fillId="31" borderId="6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3" fillId="33" borderId="6" xfId="0" applyFont="1" applyFill="1" applyBorder="1" applyAlignment="1">
      <alignment horizontal="center" vertical="center"/>
    </xf>
    <xf numFmtId="0" fontId="30" fillId="33" borderId="3" xfId="0" applyFont="1" applyFill="1" applyBorder="1" applyAlignment="1">
      <alignment horizontal="center" vertical="center" wrapText="1"/>
    </xf>
    <xf numFmtId="0" fontId="30" fillId="33" borderId="3" xfId="0" applyFont="1" applyFill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7" fillId="4" borderId="3" xfId="6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7" fillId="32" borderId="3" xfId="0" applyFont="1" applyFill="1" applyBorder="1" applyAlignment="1">
      <alignment horizontal="center"/>
    </xf>
    <xf numFmtId="0" fontId="26" fillId="32" borderId="3" xfId="0" applyFont="1" applyFill="1" applyBorder="1" applyAlignment="1">
      <alignment horizontal="center" vertical="center"/>
    </xf>
    <xf numFmtId="0" fontId="31" fillId="32" borderId="3" xfId="0" applyFont="1" applyFill="1" applyBorder="1" applyAlignment="1">
      <alignment horizontal="center"/>
    </xf>
    <xf numFmtId="13" fontId="7" fillId="4" borderId="3" xfId="0" applyNumberFormat="1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vertical="center"/>
    </xf>
    <xf numFmtId="0" fontId="40" fillId="4" borderId="3" xfId="0" applyFont="1" applyFill="1" applyBorder="1" applyAlignment="1">
      <alignment horizontal="center" vertical="center" wrapText="1"/>
    </xf>
    <xf numFmtId="17" fontId="11" fillId="0" borderId="3" xfId="0" applyNumberFormat="1" applyFont="1" applyBorder="1" applyAlignment="1">
      <alignment horizontal="center"/>
    </xf>
    <xf numFmtId="0" fontId="4" fillId="34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 vertical="center"/>
    </xf>
    <xf numFmtId="0" fontId="7" fillId="34" borderId="15" xfId="0" applyFont="1" applyFill="1" applyBorder="1" applyAlignment="1">
      <alignment horizontal="center" vertical="center"/>
    </xf>
    <xf numFmtId="165" fontId="7" fillId="3" borderId="0" xfId="1" applyFont="1" applyFill="1" applyAlignment="1">
      <alignment horizontal="center" vertical="center"/>
    </xf>
    <xf numFmtId="0" fontId="4" fillId="3" borderId="21" xfId="0" applyFont="1" applyFill="1" applyBorder="1"/>
    <xf numFmtId="0" fontId="14" fillId="3" borderId="23" xfId="8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/>
    </xf>
    <xf numFmtId="0" fontId="4" fillId="28" borderId="6" xfId="0" applyFont="1" applyFill="1" applyBorder="1" applyAlignment="1">
      <alignment horizontal="center" vertical="center" wrapText="1"/>
    </xf>
    <xf numFmtId="0" fontId="7" fillId="31" borderId="15" xfId="0" applyFont="1" applyFill="1" applyBorder="1" applyAlignment="1">
      <alignment horizontal="center" vertical="center" wrapText="1"/>
    </xf>
    <xf numFmtId="0" fontId="7" fillId="28" borderId="21" xfId="0" applyFont="1" applyFill="1" applyBorder="1" applyAlignment="1">
      <alignment horizontal="center" vertical="center"/>
    </xf>
    <xf numFmtId="0" fontId="31" fillId="6" borderId="15" xfId="0" applyFont="1" applyFill="1" applyBorder="1" applyAlignment="1">
      <alignment horizontal="center" vertical="center"/>
    </xf>
    <xf numFmtId="0" fontId="7" fillId="31" borderId="21" xfId="0" applyFont="1" applyFill="1" applyBorder="1" applyAlignment="1">
      <alignment horizontal="center" vertical="center" wrapText="1"/>
    </xf>
    <xf numFmtId="0" fontId="40" fillId="3" borderId="20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14" fillId="3" borderId="3" xfId="12" applyFont="1" applyFill="1" applyBorder="1" applyAlignment="1">
      <alignment horizontal="center" vertical="center" wrapText="1"/>
    </xf>
    <xf numFmtId="0" fontId="0" fillId="4" borderId="3" xfId="0" applyFill="1" applyBorder="1" applyAlignment="1">
      <alignment wrapText="1"/>
    </xf>
    <xf numFmtId="49" fontId="11" fillId="4" borderId="3" xfId="0" applyNumberFormat="1" applyFont="1" applyFill="1" applyBorder="1" applyAlignment="1">
      <alignment horizontal="center" wrapText="1"/>
    </xf>
    <xf numFmtId="17" fontId="7" fillId="4" borderId="3" xfId="0" applyNumberFormat="1" applyFont="1" applyFill="1" applyBorder="1" applyAlignment="1">
      <alignment horizontal="center" vertical="center" wrapText="1"/>
    </xf>
    <xf numFmtId="168" fontId="22" fillId="4" borderId="3" xfId="0" applyNumberFormat="1" applyFont="1" applyFill="1" applyBorder="1" applyAlignment="1">
      <alignment horizontal="center" vertical="center" wrapText="1"/>
    </xf>
    <xf numFmtId="0" fontId="14" fillId="4" borderId="23" xfId="8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14" fillId="4" borderId="3" xfId="8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 wrapText="1"/>
    </xf>
    <xf numFmtId="0" fontId="7" fillId="31" borderId="25" xfId="0" applyFont="1" applyFill="1" applyBorder="1" applyAlignment="1">
      <alignment horizontal="center" vertical="center" wrapText="1"/>
    </xf>
    <xf numFmtId="0" fontId="43" fillId="3" borderId="3" xfId="0" applyFont="1" applyFill="1" applyBorder="1" applyAlignment="1">
      <alignment vertical="center"/>
    </xf>
    <xf numFmtId="0" fontId="42" fillId="3" borderId="3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vertical="center"/>
    </xf>
    <xf numFmtId="165" fontId="0" fillId="0" borderId="0" xfId="0" applyNumberFormat="1"/>
    <xf numFmtId="44" fontId="11" fillId="0" borderId="3" xfId="0" applyNumberFormat="1" applyFont="1" applyBorder="1" applyAlignment="1">
      <alignment horizontal="center" vertical="center"/>
    </xf>
    <xf numFmtId="0" fontId="7" fillId="4" borderId="15" xfId="0" applyFont="1" applyFill="1" applyBorder="1"/>
    <xf numFmtId="44" fontId="7" fillId="6" borderId="3" xfId="1" applyNumberFormat="1" applyFont="1" applyFill="1" applyBorder="1" applyAlignment="1">
      <alignment horizontal="center" vertical="center"/>
    </xf>
    <xf numFmtId="49" fontId="7" fillId="6" borderId="6" xfId="0" applyNumberFormat="1" applyFont="1" applyFill="1" applyBorder="1" applyAlignment="1">
      <alignment horizontal="center" vertical="center"/>
    </xf>
    <xf numFmtId="44" fontId="7" fillId="6" borderId="3" xfId="0" applyNumberFormat="1" applyFont="1" applyFill="1" applyBorder="1" applyAlignment="1">
      <alignment horizontal="center" vertical="center"/>
    </xf>
    <xf numFmtId="0" fontId="7" fillId="34" borderId="6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 wrapText="1"/>
    </xf>
    <xf numFmtId="44" fontId="7" fillId="6" borderId="3" xfId="4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44" fontId="17" fillId="6" borderId="6" xfId="1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17" fontId="7" fillId="3" borderId="3" xfId="0" applyNumberFormat="1" applyFont="1" applyFill="1" applyBorder="1" applyAlignment="1">
      <alignment horizontal="center" vertical="center" wrapText="1"/>
    </xf>
    <xf numFmtId="44" fontId="7" fillId="6" borderId="3" xfId="1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 wrapText="1"/>
    </xf>
    <xf numFmtId="44" fontId="17" fillId="6" borderId="3" xfId="7" applyNumberFormat="1" applyFont="1" applyFill="1" applyBorder="1" applyAlignment="1">
      <alignment horizontal="center" vertical="center"/>
    </xf>
    <xf numFmtId="0" fontId="7" fillId="34" borderId="17" xfId="0" applyFont="1" applyFill="1" applyBorder="1" applyAlignment="1">
      <alignment horizontal="center" vertical="center" wrapText="1"/>
    </xf>
    <xf numFmtId="0" fontId="14" fillId="6" borderId="6" xfId="8" applyFont="1" applyFill="1" applyBorder="1" applyAlignment="1">
      <alignment horizontal="center" vertical="center" wrapText="1"/>
    </xf>
    <xf numFmtId="0" fontId="4" fillId="6" borderId="0" xfId="0" applyFont="1" applyFill="1" applyAlignment="1">
      <alignment wrapText="1"/>
    </xf>
    <xf numFmtId="0" fontId="7" fillId="32" borderId="15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wrapText="1"/>
    </xf>
    <xf numFmtId="165" fontId="7" fillId="6" borderId="6" xfId="1" applyFont="1" applyFill="1" applyBorder="1" applyAlignment="1">
      <alignment horizontal="center" vertical="center" wrapText="1"/>
    </xf>
    <xf numFmtId="44" fontId="17" fillId="6" borderId="6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wrapText="1"/>
    </xf>
    <xf numFmtId="0" fontId="10" fillId="3" borderId="21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44" fontId="17" fillId="6" borderId="3" xfId="7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7" fillId="32" borderId="25" xfId="0" applyFont="1" applyFill="1" applyBorder="1" applyAlignment="1">
      <alignment horizontal="center" vertical="center" wrapText="1"/>
    </xf>
    <xf numFmtId="0" fontId="0" fillId="3" borderId="21" xfId="0" applyFill="1" applyBorder="1"/>
    <xf numFmtId="0" fontId="11" fillId="3" borderId="0" xfId="0" applyFont="1" applyFill="1" applyAlignment="1">
      <alignment horizontal="center" wrapText="1"/>
    </xf>
    <xf numFmtId="0" fontId="7" fillId="3" borderId="15" xfId="0" applyFont="1" applyFill="1" applyBorder="1"/>
    <xf numFmtId="0" fontId="4" fillId="0" borderId="0" xfId="0" applyFont="1"/>
    <xf numFmtId="0" fontId="4" fillId="0" borderId="0" xfId="0" applyFont="1"/>
    <xf numFmtId="0" fontId="32" fillId="4" borderId="3" xfId="0" applyFont="1" applyFill="1" applyBorder="1" applyAlignment="1">
      <alignment vertical="center" wrapText="1"/>
    </xf>
    <xf numFmtId="0" fontId="11" fillId="4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8" xfId="0" applyFill="1" applyBorder="1"/>
    <xf numFmtId="0" fontId="0" fillId="6" borderId="25" xfId="0" applyFill="1" applyBorder="1"/>
    <xf numFmtId="0" fontId="4" fillId="0" borderId="7" xfId="0" applyFont="1" applyBorder="1" applyAlignment="1">
      <alignment vertical="center"/>
    </xf>
    <xf numFmtId="0" fontId="4" fillId="0" borderId="7" xfId="0" applyFont="1" applyBorder="1"/>
    <xf numFmtId="44" fontId="4" fillId="0" borderId="7" xfId="0" applyNumberFormat="1" applyFont="1" applyBorder="1" applyAlignment="1">
      <alignment horizontal="center" vertical="center"/>
    </xf>
    <xf numFmtId="165" fontId="7" fillId="0" borderId="7" xfId="1" applyFont="1" applyBorder="1" applyAlignment="1">
      <alignment horizontal="center" vertical="center" wrapText="1"/>
    </xf>
    <xf numFmtId="0" fontId="62" fillId="3" borderId="3" xfId="0" applyFont="1" applyFill="1" applyBorder="1" applyAlignment="1">
      <alignment horizontal="center" vertical="center" wrapText="1"/>
    </xf>
    <xf numFmtId="8" fontId="62" fillId="3" borderId="3" xfId="0" applyNumberFormat="1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1" fillId="0" borderId="3" xfId="5" applyFont="1" applyBorder="1" applyAlignment="1">
      <alignment horizontal="center" vertical="center" wrapText="1"/>
    </xf>
    <xf numFmtId="8" fontId="0" fillId="0" borderId="3" xfId="0" applyNumberFormat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165" fontId="0" fillId="0" borderId="0" xfId="0" applyNumberFormat="1" applyAlignment="1">
      <alignment wrapText="1"/>
    </xf>
    <xf numFmtId="0" fontId="0" fillId="6" borderId="25" xfId="0" applyFill="1" applyBorder="1" applyAlignment="1">
      <alignment horizontal="center"/>
    </xf>
    <xf numFmtId="0" fontId="4" fillId="0" borderId="0" xfId="0" applyFont="1"/>
    <xf numFmtId="165" fontId="7" fillId="6" borderId="7" xfId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4" fillId="13" borderId="24" xfId="0" applyFont="1" applyFill="1" applyBorder="1" applyAlignment="1">
      <alignment horizontal="center"/>
    </xf>
    <xf numFmtId="0" fontId="7" fillId="13" borderId="24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44" fontId="17" fillId="0" borderId="8" xfId="7" applyNumberFormat="1" applyFont="1" applyFill="1" applyBorder="1" applyAlignment="1">
      <alignment horizontal="center" vertical="center"/>
    </xf>
    <xf numFmtId="44" fontId="7" fillId="0" borderId="8" xfId="1" applyNumberFormat="1" applyFont="1" applyFill="1" applyBorder="1" applyAlignment="1">
      <alignment horizontal="center" vertical="center"/>
    </xf>
    <xf numFmtId="0" fontId="4" fillId="0" borderId="0" xfId="0" applyFont="1"/>
    <xf numFmtId="0" fontId="31" fillId="0" borderId="30" xfId="15" applyFill="1" applyBorder="1" applyAlignment="1">
      <alignment horizontal="center" vertical="center"/>
    </xf>
    <xf numFmtId="165" fontId="7" fillId="6" borderId="8" xfId="1" applyFont="1" applyFill="1" applyBorder="1" applyAlignment="1">
      <alignment horizontal="center" vertical="center" wrapText="1"/>
    </xf>
    <xf numFmtId="0" fontId="31" fillId="0" borderId="3" xfId="15" applyBorder="1" applyAlignment="1">
      <alignment horizontal="center" vertical="center"/>
    </xf>
    <xf numFmtId="0" fontId="0" fillId="0" borderId="6" xfId="0" applyBorder="1"/>
    <xf numFmtId="0" fontId="31" fillId="5" borderId="3" xfId="15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11" xfId="0" applyBorder="1"/>
    <xf numFmtId="0" fontId="4" fillId="0" borderId="0" xfId="0" applyFont="1"/>
    <xf numFmtId="0" fontId="10" fillId="3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 wrapText="1"/>
    </xf>
    <xf numFmtId="0" fontId="14" fillId="0" borderId="3" xfId="12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 vertical="center" wrapText="1"/>
    </xf>
    <xf numFmtId="0" fontId="11" fillId="3" borderId="3" xfId="5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4" fillId="4" borderId="3" xfId="0" applyFont="1" applyFill="1" applyBorder="1" applyAlignment="1">
      <alignment vertical="center"/>
    </xf>
    <xf numFmtId="0" fontId="0" fillId="12" borderId="3" xfId="0" applyFill="1" applyBorder="1" applyAlignment="1">
      <alignment horizontal="center" vertical="center" wrapText="1"/>
    </xf>
    <xf numFmtId="0" fontId="62" fillId="12" borderId="3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wrapText="1"/>
    </xf>
    <xf numFmtId="0" fontId="3" fillId="12" borderId="3" xfId="0" applyFont="1" applyFill="1" applyBorder="1" applyAlignment="1">
      <alignment horizontal="center" vertical="center" wrapText="1"/>
    </xf>
    <xf numFmtId="8" fontId="62" fillId="12" borderId="3" xfId="0" applyNumberFormat="1" applyFont="1" applyFill="1" applyBorder="1" applyAlignment="1">
      <alignment horizontal="center" vertical="center" wrapText="1"/>
    </xf>
    <xf numFmtId="0" fontId="11" fillId="12" borderId="3" xfId="5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/>
    </xf>
    <xf numFmtId="0" fontId="4" fillId="12" borderId="3" xfId="0" applyFont="1" applyFill="1" applyBorder="1"/>
    <xf numFmtId="0" fontId="6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8" fontId="62" fillId="4" borderId="3" xfId="0" applyNumberFormat="1" applyFont="1" applyFill="1" applyBorder="1" applyAlignment="1">
      <alignment horizontal="center" vertical="center" wrapText="1"/>
    </xf>
    <xf numFmtId="0" fontId="11" fillId="4" borderId="3" xfId="5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6" borderId="25" xfId="0" applyNumberFormat="1" applyFill="1" applyBorder="1"/>
    <xf numFmtId="0" fontId="11" fillId="0" borderId="3" xfId="0" applyNumberFormat="1" applyFont="1" applyBorder="1" applyAlignment="1">
      <alignment horizontal="center" vertical="center" wrapText="1"/>
    </xf>
    <xf numFmtId="0" fontId="7" fillId="0" borderId="3" xfId="0" applyNumberFormat="1" applyFont="1" applyBorder="1"/>
    <xf numFmtId="0" fontId="7" fillId="3" borderId="3" xfId="0" applyNumberFormat="1" applyFont="1" applyFill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 wrapText="1"/>
    </xf>
    <xf numFmtId="0" fontId="0" fillId="6" borderId="0" xfId="0" applyNumberFormat="1" applyFill="1"/>
    <xf numFmtId="0" fontId="7" fillId="3" borderId="3" xfId="0" applyNumberFormat="1" applyFont="1" applyFill="1" applyBorder="1" applyAlignment="1">
      <alignment horizontal="center" vertical="center" wrapText="1"/>
    </xf>
    <xf numFmtId="0" fontId="11" fillId="3" borderId="3" xfId="0" applyNumberFormat="1" applyFont="1" applyFill="1" applyBorder="1" applyAlignment="1">
      <alignment horizontal="center" vertical="center" wrapText="1"/>
    </xf>
    <xf numFmtId="0" fontId="7" fillId="3" borderId="6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0" fillId="6" borderId="3" xfId="0" applyNumberFormat="1" applyFill="1" applyBorder="1"/>
    <xf numFmtId="0" fontId="4" fillId="3" borderId="3" xfId="0" applyNumberFormat="1" applyFont="1" applyFill="1" applyBorder="1"/>
    <xf numFmtId="0" fontId="4" fillId="0" borderId="3" xfId="0" applyNumberFormat="1" applyFont="1" applyBorder="1" applyAlignment="1">
      <alignment wrapText="1"/>
    </xf>
    <xf numFmtId="0" fontId="4" fillId="3" borderId="3" xfId="0" applyNumberFormat="1" applyFont="1" applyFill="1" applyBorder="1" applyAlignment="1">
      <alignment wrapText="1"/>
    </xf>
    <xf numFmtId="0" fontId="11" fillId="14" borderId="3" xfId="0" applyNumberFormat="1" applyFont="1" applyFill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0" fillId="0" borderId="0" xfId="0" applyNumberFormat="1"/>
    <xf numFmtId="0" fontId="4" fillId="0" borderId="7" xfId="0" applyFont="1" applyBorder="1" applyAlignment="1">
      <alignment horizontal="center"/>
    </xf>
    <xf numFmtId="0" fontId="11" fillId="0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 wrapText="1"/>
    </xf>
    <xf numFmtId="0" fontId="62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wrapText="1"/>
    </xf>
    <xf numFmtId="0" fontId="3" fillId="0" borderId="3" xfId="0" applyFont="1" applyFill="1" applyBorder="1" applyAlignment="1">
      <alignment horizontal="center" vertical="center" wrapText="1"/>
    </xf>
    <xf numFmtId="8" fontId="62" fillId="0" borderId="3" xfId="0" applyNumberFormat="1" applyFont="1" applyFill="1" applyBorder="1" applyAlignment="1">
      <alignment horizontal="center" vertical="center" wrapText="1"/>
    </xf>
    <xf numFmtId="0" fontId="11" fillId="0" borderId="3" xfId="5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49" fontId="11" fillId="0" borderId="3" xfId="0" applyNumberFormat="1" applyFont="1" applyFill="1" applyBorder="1" applyAlignment="1">
      <alignment horizontal="center"/>
    </xf>
    <xf numFmtId="0" fontId="0" fillId="0" borderId="3" xfId="0" applyNumberFormat="1" applyBorder="1"/>
    <xf numFmtId="44" fontId="0" fillId="0" borderId="3" xfId="0" applyNumberFormat="1" applyBorder="1" applyAlignment="1">
      <alignment horizontal="center" vertical="center"/>
    </xf>
    <xf numFmtId="0" fontId="0" fillId="0" borderId="3" xfId="0" applyFill="1" applyBorder="1"/>
    <xf numFmtId="0" fontId="7" fillId="0" borderId="8" xfId="0" applyFont="1" applyBorder="1" applyAlignment="1">
      <alignment horizontal="right" vertical="center"/>
    </xf>
    <xf numFmtId="0" fontId="31" fillId="5" borderId="3" xfId="15" applyFill="1" applyBorder="1" applyAlignment="1">
      <alignment horizontal="center" vertical="center"/>
    </xf>
    <xf numFmtId="0" fontId="0" fillId="0" borderId="6" xfId="0" applyBorder="1" applyAlignment="1"/>
    <xf numFmtId="0" fontId="31" fillId="0" borderId="3" xfId="15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0" fillId="0" borderId="19" xfId="0" applyBorder="1" applyAlignment="1"/>
    <xf numFmtId="0" fontId="10" fillId="0" borderId="9" xfId="0" applyFont="1" applyBorder="1" applyAlignment="1">
      <alignment horizontal="center" vertical="center" wrapText="1"/>
    </xf>
    <xf numFmtId="0" fontId="0" fillId="0" borderId="37" xfId="0" applyBorder="1" applyAlignment="1"/>
    <xf numFmtId="0" fontId="9" fillId="0" borderId="2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0" fillId="0" borderId="33" xfId="0" applyBorder="1" applyAlignment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8" xfId="0" applyBorder="1" applyAlignment="1"/>
    <xf numFmtId="0" fontId="10" fillId="0" borderId="13" xfId="0" applyFont="1" applyBorder="1" applyAlignment="1">
      <alignment horizontal="center" vertical="center" wrapText="1"/>
    </xf>
    <xf numFmtId="0" fontId="0" fillId="0" borderId="14" xfId="0" applyBorder="1" applyAlignment="1"/>
    <xf numFmtId="0" fontId="10" fillId="0" borderId="2" xfId="0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 wrapText="1"/>
    </xf>
    <xf numFmtId="0" fontId="0" fillId="0" borderId="8" xfId="0" applyNumberFormat="1" applyBorder="1" applyAlignment="1"/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34" xfId="0" applyBorder="1" applyAlignment="1"/>
    <xf numFmtId="0" fontId="0" fillId="0" borderId="6" xfId="0" applyBorder="1" applyAlignment="1">
      <alignment horizontal="center"/>
    </xf>
    <xf numFmtId="0" fontId="10" fillId="0" borderId="35" xfId="0" applyFont="1" applyBorder="1" applyAlignment="1">
      <alignment horizontal="center" vertical="center" wrapText="1"/>
    </xf>
    <xf numFmtId="0" fontId="0" fillId="0" borderId="5" xfId="0" applyBorder="1" applyAlignment="1"/>
    <xf numFmtId="0" fontId="10" fillId="0" borderId="36" xfId="0" applyFont="1" applyBorder="1" applyAlignment="1">
      <alignment horizontal="center" vertical="center" wrapText="1"/>
    </xf>
    <xf numFmtId="0" fontId="0" fillId="0" borderId="27" xfId="0" applyBorder="1" applyAlignment="1"/>
    <xf numFmtId="0" fontId="10" fillId="0" borderId="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0" fillId="0" borderId="30" xfId="0" applyBorder="1" applyAlignment="1"/>
    <xf numFmtId="0" fontId="9" fillId="0" borderId="28" xfId="0" applyFont="1" applyBorder="1" applyAlignment="1">
      <alignment horizontal="center" vertical="center" wrapText="1"/>
    </xf>
    <xf numFmtId="0" fontId="0" fillId="0" borderId="29" xfId="0" applyBorder="1" applyAlignment="1"/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0" fillId="0" borderId="15" xfId="0" applyBorder="1" applyAlignment="1"/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11" xfId="0" applyBorder="1" applyAlignment="1"/>
    <xf numFmtId="0" fontId="10" fillId="0" borderId="31" xfId="0" applyFont="1" applyBorder="1" applyAlignment="1">
      <alignment horizontal="center" vertical="center" wrapText="1"/>
    </xf>
    <xf numFmtId="0" fontId="0" fillId="0" borderId="38" xfId="0" applyBorder="1" applyAlignment="1"/>
    <xf numFmtId="0" fontId="41" fillId="0" borderId="6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/>
    <xf numFmtId="0" fontId="9" fillId="12" borderId="2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0" fillId="0" borderId="39" xfId="0" applyBorder="1" applyAlignment="1"/>
  </cellXfs>
  <cellStyles count="64">
    <cellStyle name="20% - Énfasis1" xfId="41" builtinId="30" customBuiltin="1"/>
    <cellStyle name="20% - Énfasis2" xfId="45" builtinId="34" customBuiltin="1"/>
    <cellStyle name="20% - Énfasis3" xfId="49" builtinId="38" customBuiltin="1"/>
    <cellStyle name="20% - Énfasis4" xfId="53" builtinId="42" customBuiltin="1"/>
    <cellStyle name="20% - Énfasis5" xfId="57" builtinId="46" customBuiltin="1"/>
    <cellStyle name="20% - Énfasis6" xfId="61" builtinId="50" customBuiltin="1"/>
    <cellStyle name="40% - Énfasis1" xfId="42" builtinId="31" customBuiltin="1"/>
    <cellStyle name="40% - Énfasis2" xfId="46" builtinId="35" customBuiltin="1"/>
    <cellStyle name="40% - Énfasis3" xfId="50" builtinId="39" customBuiltin="1"/>
    <cellStyle name="40% - Énfasis4" xfId="54" builtinId="43" customBuiltin="1"/>
    <cellStyle name="40% - Énfasis5" xfId="58" builtinId="47" customBuiltin="1"/>
    <cellStyle name="40% - Énfasis6" xfId="62" builtinId="51" customBuiltin="1"/>
    <cellStyle name="60% - Énfasis1" xfId="43" builtinId="32" customBuiltin="1"/>
    <cellStyle name="60% - Énfasis1 2" xfId="17"/>
    <cellStyle name="60% - Énfasis2" xfId="47" builtinId="36" customBuiltin="1"/>
    <cellStyle name="60% - Énfasis2 2" xfId="18"/>
    <cellStyle name="60% - Énfasis3" xfId="51" builtinId="40" customBuiltin="1"/>
    <cellStyle name="60% - Énfasis3 2" xfId="19"/>
    <cellStyle name="60% - Énfasis4" xfId="55" builtinId="44" customBuiltin="1"/>
    <cellStyle name="60% - Énfasis4 2" xfId="20"/>
    <cellStyle name="60% - Énfasis5" xfId="59" builtinId="48" customBuiltin="1"/>
    <cellStyle name="60% - Énfasis5 2" xfId="21"/>
    <cellStyle name="60% - Énfasis6" xfId="63" builtinId="52" customBuiltin="1"/>
    <cellStyle name="60% - Énfasis6 2" xfId="22"/>
    <cellStyle name="Buena" xfId="28" builtinId="26" customBuiltin="1"/>
    <cellStyle name="Cálculo" xfId="33" builtinId="22" customBuiltin="1"/>
    <cellStyle name="Celda de comprobación" xfId="35" builtinId="23" customBuiltin="1"/>
    <cellStyle name="Celda vinculada" xfId="34" builtinId="24" customBuiltin="1"/>
    <cellStyle name="Encabezado 1" xfId="24" builtinId="16" customBuiltin="1"/>
    <cellStyle name="Encabezado 4" xfId="27" builtinId="19" customBuiltin="1"/>
    <cellStyle name="Énfasis1" xfId="40" builtinId="29" customBuiltin="1"/>
    <cellStyle name="Énfasis2" xfId="44" builtinId="33" customBuiltin="1"/>
    <cellStyle name="Énfasis3" xfId="48" builtinId="37" customBuiltin="1"/>
    <cellStyle name="Énfasis4" xfId="52" builtinId="41" customBuiltin="1"/>
    <cellStyle name="Énfasis5" xfId="56" builtinId="45" customBuiltin="1"/>
    <cellStyle name="Énfasis6" xfId="60" builtinId="49" customBuiltin="1"/>
    <cellStyle name="Entrada" xfId="31" builtinId="20" customBuiltin="1"/>
    <cellStyle name="Incorrecto" xfId="29" builtinId="27" customBuiltin="1"/>
    <cellStyle name="Millares 2" xfId="3"/>
    <cellStyle name="Moneda" xfId="1" builtinId="4"/>
    <cellStyle name="Moneda 2" xfId="2"/>
    <cellStyle name="Moneda 3" xfId="4"/>
    <cellStyle name="Moneda 4" xfId="7"/>
    <cellStyle name="Moneda 5" xfId="9"/>
    <cellStyle name="Moneda 6" xfId="13"/>
    <cellStyle name="Neutral" xfId="30" builtinId="28" customBuiltin="1"/>
    <cellStyle name="Neutral 2" xfId="16"/>
    <cellStyle name="Normal" xfId="0" builtinId="0"/>
    <cellStyle name="Normal 2" xfId="5"/>
    <cellStyle name="Normal 2 2" xfId="12"/>
    <cellStyle name="Normal 3" xfId="8"/>
    <cellStyle name="Normal 3 3" xfId="11"/>
    <cellStyle name="Normal 4" xfId="14"/>
    <cellStyle name="Normal 5" xfId="10"/>
    <cellStyle name="Normal 6" xfId="15"/>
    <cellStyle name="Normal_lab 3c2000 pedido" xfId="6"/>
    <cellStyle name="Notas" xfId="37" builtinId="10" customBuiltin="1"/>
    <cellStyle name="Salida" xfId="32" builtinId="21" customBuiltin="1"/>
    <cellStyle name="Texto de advertencia" xfId="36" builtinId="11" customBuiltin="1"/>
    <cellStyle name="Texto explicativo" xfId="38" builtinId="53" customBuiltin="1"/>
    <cellStyle name="Título" xfId="23" builtinId="15" customBuiltin="1"/>
    <cellStyle name="Título 2" xfId="25" builtinId="17" customBuiltin="1"/>
    <cellStyle name="Título 3" xfId="26" builtinId="18" customBuiltin="1"/>
    <cellStyle name="Total" xfId="39" builtinId="25" customBuiltin="1"/>
  </cellStyles>
  <dxfs count="15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4"/>
      <tableStyleElement type="headerRow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ourspreadsheetname (1)"/>
    </sheetNames>
    <sheetDataSet>
      <sheetData sheetId="0" refreshError="1">
        <row r="2">
          <cell r="A2" t="str">
            <v>DISPENSACION DE FARMACIA - CONSULTA DE STOCK EN FARMACIA (DEPOSITO Y DESPACHO) - HOSPITAL HOSPITAL INTERZONAL GENERAL DE AGUDOS DR. OSCAR ALENDE</v>
          </cell>
          <cell r="B2">
            <v>0</v>
          </cell>
          <cell r="C2">
            <v>0</v>
          </cell>
        </row>
        <row r="3">
          <cell r="A3" t="str">
            <v>CODARTICULO</v>
          </cell>
          <cell r="B3" t="str">
            <v>DESCRIPCION</v>
          </cell>
          <cell r="C3" t="str">
            <v>STOCKENDEPOSITO</v>
          </cell>
        </row>
        <row r="4">
          <cell r="A4" t="str">
            <v>M2608111</v>
          </cell>
          <cell r="B4" t="str">
            <v>ACENOCUMAROL--COMPRIMIDOS-4 MG</v>
          </cell>
          <cell r="C4">
            <v>2000</v>
          </cell>
        </row>
        <row r="5">
          <cell r="A5" t="str">
            <v>M3006111</v>
          </cell>
          <cell r="B5" t="str">
            <v>ACETAZOLAMIDA--COMPRIMIDO-250 MG</v>
          </cell>
          <cell r="C5">
            <v>0</v>
          </cell>
        </row>
        <row r="6">
          <cell r="A6" t="str">
            <v>M2101029</v>
          </cell>
          <cell r="B6" t="str">
            <v>ACETILCISTEINA--COMPRIMIDOS EFERVESCENTES-600MG</v>
          </cell>
          <cell r="C6">
            <v>90</v>
          </cell>
        </row>
        <row r="7">
          <cell r="A7" t="str">
            <v>M4208112</v>
          </cell>
          <cell r="B7" t="str">
            <v>ACICLOVIR-FRASCO AMPOLLA-INYECTABLE-500 MG</v>
          </cell>
          <cell r="C7">
            <v>750</v>
          </cell>
        </row>
        <row r="8">
          <cell r="A8" t="str">
            <v>M4201003</v>
          </cell>
          <cell r="B8" t="str">
            <v>ACICLOVIR--COMPRIMIDOS-800 MG</v>
          </cell>
          <cell r="C8">
            <v>2520</v>
          </cell>
        </row>
        <row r="9">
          <cell r="A9" t="str">
            <v>M4208121</v>
          </cell>
          <cell r="B9" t="str">
            <v>ACICLOVIR--COMPRIMIDO-200 MG</v>
          </cell>
          <cell r="C9">
            <v>0</v>
          </cell>
        </row>
        <row r="10">
          <cell r="A10" t="str">
            <v>GZ305390</v>
          </cell>
          <cell r="B10" t="str">
            <v>ACIDO ACETICO---LITRO</v>
          </cell>
          <cell r="C10">
            <v>12</v>
          </cell>
        </row>
        <row r="11">
          <cell r="A11" t="str">
            <v>LP123017</v>
          </cell>
          <cell r="B11" t="str">
            <v>ACIDO ACETICO GLACIAL-MILILITROS-CALIDAD BIOLOGÃA MOLECULAR NORMAS ACS ISO-ENV. VIDRIO</v>
          </cell>
          <cell r="C11">
            <v>3000</v>
          </cell>
        </row>
        <row r="12">
          <cell r="A12" t="str">
            <v>M1701049</v>
          </cell>
          <cell r="B12" t="str">
            <v>ACIDO ACETIL SALICILICO--COMPRIMIDO-500 MG</v>
          </cell>
          <cell r="C12">
            <v>0</v>
          </cell>
        </row>
        <row r="13">
          <cell r="A13" t="str">
            <v>M1701085</v>
          </cell>
          <cell r="B13" t="str">
            <v>ACIDO ACETIL SALICILICO--COMPRIMIDO-100 MG</v>
          </cell>
          <cell r="C13">
            <v>3000</v>
          </cell>
        </row>
        <row r="14">
          <cell r="A14" t="str">
            <v>M2615138</v>
          </cell>
          <cell r="B14" t="str">
            <v>ACIDO AMINOCAPROICO-AMPOLLA-INYECTABLE-2GR - 10 ML</v>
          </cell>
          <cell r="C14">
            <v>0</v>
          </cell>
        </row>
        <row r="15">
          <cell r="A15" t="str">
            <v>M0105042</v>
          </cell>
          <cell r="B15" t="str">
            <v>ACIDO CITRICO ANHIDRO USP/BP--KG-</v>
          </cell>
          <cell r="C15">
            <v>0</v>
          </cell>
        </row>
        <row r="16">
          <cell r="A16" t="str">
            <v>KE299072</v>
          </cell>
          <cell r="B16" t="str">
            <v>ACIDO CROMICO---GR</v>
          </cell>
          <cell r="C16">
            <v>0</v>
          </cell>
        </row>
        <row r="17">
          <cell r="A17" t="str">
            <v>M0501006</v>
          </cell>
          <cell r="B17" t="str">
            <v>ACIDO FOLICO--COMPRIMIDO-10 MG</v>
          </cell>
          <cell r="C17">
            <v>0</v>
          </cell>
        </row>
        <row r="18">
          <cell r="A18" t="str">
            <v>M0501002</v>
          </cell>
          <cell r="B18" t="str">
            <v>ACIDO FOLICO--COMPRIMIDO-5 MG</v>
          </cell>
          <cell r="C18">
            <v>3500</v>
          </cell>
        </row>
        <row r="19">
          <cell r="A19" t="str">
            <v>M0502111</v>
          </cell>
          <cell r="B19" t="str">
            <v>ACIDO FOLICO-COMPLEJO B-AMPOLLA-INYECTABLE-15MG - 2ML</v>
          </cell>
          <cell r="C19">
            <v>0</v>
          </cell>
        </row>
        <row r="20">
          <cell r="A20" t="str">
            <v>M4001052</v>
          </cell>
          <cell r="B20" t="str">
            <v>ACIDO POLIACRILICO-UNIDAD-GEL OFTÃLMICO-2MG/1GR - 10GR</v>
          </cell>
          <cell r="C20">
            <v>0</v>
          </cell>
        </row>
        <row r="21">
          <cell r="A21" t="str">
            <v>M2615219</v>
          </cell>
          <cell r="B21" t="str">
            <v>ACIDO TRANEXAMICO--COMPRIMIDO-500 MG</v>
          </cell>
          <cell r="C21">
            <v>0</v>
          </cell>
        </row>
        <row r="22">
          <cell r="A22" t="str">
            <v>M2501157</v>
          </cell>
          <cell r="B22" t="str">
            <v>ACIDO TRANEXAMICO-AMPOLLA-INYECTABLE-500MG-10ML</v>
          </cell>
          <cell r="C22">
            <v>0</v>
          </cell>
        </row>
        <row r="23">
          <cell r="A23" t="str">
            <v>M2301005</v>
          </cell>
          <cell r="B23" t="str">
            <v>ACIDO URSODESOXICOLICO--COMPRIMIDO-300 MG</v>
          </cell>
          <cell r="C23">
            <v>0</v>
          </cell>
        </row>
        <row r="24">
          <cell r="A24" t="str">
            <v>M2601007</v>
          </cell>
          <cell r="B24" t="str">
            <v>ACTIVADOR TISULAR DEL PLASMINOGENO-FRASCO AMPOLLA-INYECTABLE-50MG - 50 ML</v>
          </cell>
          <cell r="C24">
            <v>0</v>
          </cell>
        </row>
        <row r="25">
          <cell r="A25" t="str">
            <v>M2534137</v>
          </cell>
          <cell r="B25" t="str">
            <v>ADENOSINA-AMPOLLA-INYECTABLE-3MG/ML - 2 ML</v>
          </cell>
          <cell r="C25">
            <v>260</v>
          </cell>
        </row>
        <row r="26">
          <cell r="A26" t="str">
            <v>M2615168</v>
          </cell>
          <cell r="B26" t="str">
            <v>ADHESIVO TISULAR-ENVASE X 0.5 ML-EN BASE A ENBUCRILATO-</v>
          </cell>
          <cell r="C26">
            <v>0</v>
          </cell>
        </row>
        <row r="27">
          <cell r="A27" t="str">
            <v>M4104111</v>
          </cell>
          <cell r="B27" t="str">
            <v>ADRENALINA CLORHIDRATO-AMPOLLA-INYECTABLE-1MG(0.1%-1%.)- 1 ML</v>
          </cell>
          <cell r="C27">
            <v>1400</v>
          </cell>
        </row>
        <row r="28">
          <cell r="A28" t="str">
            <v>E0350323</v>
          </cell>
          <cell r="B28" t="str">
            <v>AEROCAMARA-UNIDAD-TIPO C/MASCARA P/ADULTO-USO PARA NEBULIZAR - MATERIAL PLASTICO</v>
          </cell>
          <cell r="C28">
            <v>70</v>
          </cell>
        </row>
        <row r="29">
          <cell r="A29" t="str">
            <v>M4501004</v>
          </cell>
          <cell r="B29" t="str">
            <v>AGUA BIDESTILADA ESTERIL--INYECTABLE:ENVASE SEMIRRIGIDO-500 ML</v>
          </cell>
          <cell r="C29">
            <v>0</v>
          </cell>
        </row>
        <row r="30">
          <cell r="A30" t="str">
            <v>M4502111</v>
          </cell>
          <cell r="B30" t="str">
            <v>AGUA DESTILADA---500 ML</v>
          </cell>
          <cell r="C30">
            <v>0</v>
          </cell>
        </row>
        <row r="31">
          <cell r="A31" t="str">
            <v>M4502211</v>
          </cell>
          <cell r="B31" t="str">
            <v>AGUA DESTILADA ESTERIL-UNIDAD-INYECTABLE.AMPOLLA - FRASCO AMPOLLA-5 ML</v>
          </cell>
          <cell r="C31">
            <v>7600</v>
          </cell>
        </row>
        <row r="32">
          <cell r="A32" t="str">
            <v>M4528228</v>
          </cell>
          <cell r="B32" t="str">
            <v>AGUA ESTERIL PARA USO PARENTERAL-UNIDAD--ENVASE X 500ML-CON 1 BOLSA DE PROTECCION</v>
          </cell>
          <cell r="C32">
            <v>960</v>
          </cell>
        </row>
        <row r="33">
          <cell r="A33" t="str">
            <v>M4528227</v>
          </cell>
          <cell r="B33" t="str">
            <v>AGUA ESTERIL PARA USO PARENTERAL-UNIDAD--ENVASE X 500 ML- SIN BOLSA DE PROTECCION</v>
          </cell>
          <cell r="C33">
            <v>4453</v>
          </cell>
        </row>
        <row r="34">
          <cell r="A34" t="str">
            <v>M2000003</v>
          </cell>
          <cell r="B34" t="str">
            <v>AGUA OXIGENADA-LITRO-SOLUCION-100 VOL. -</v>
          </cell>
          <cell r="C34">
            <v>0</v>
          </cell>
        </row>
        <row r="35">
          <cell r="A35" t="str">
            <v>M2010112</v>
          </cell>
          <cell r="B35" t="str">
            <v>AGUA OXIGENADA-500 ML-SOLUCION-10 VOL. -</v>
          </cell>
          <cell r="C35">
            <v>1</v>
          </cell>
        </row>
        <row r="36">
          <cell r="A36" t="str">
            <v>M2010111</v>
          </cell>
          <cell r="B36" t="str">
            <v>AGUA OXIGENADA-LITRO-SOLUCION-10 VOL. -</v>
          </cell>
          <cell r="C36">
            <v>0</v>
          </cell>
        </row>
        <row r="37">
          <cell r="A37" t="str">
            <v>M1901001</v>
          </cell>
          <cell r="B37" t="str">
            <v>ALBENDAZOL--COMPRIMIDO-400 MG</v>
          </cell>
          <cell r="C37">
            <v>0</v>
          </cell>
        </row>
        <row r="38">
          <cell r="A38" t="str">
            <v>M2615131</v>
          </cell>
          <cell r="B38" t="str">
            <v>ALBUMINA HUMANA-FRASCO AMPOLLA-INYECTABLE-20% - 50 ML</v>
          </cell>
          <cell r="C38">
            <v>0</v>
          </cell>
        </row>
        <row r="39">
          <cell r="A39" t="str">
            <v>M0110021</v>
          </cell>
          <cell r="B39" t="str">
            <v>ALCOHOL-LITRO-SOLUCION-96% -</v>
          </cell>
          <cell r="C39">
            <v>0</v>
          </cell>
        </row>
        <row r="40">
          <cell r="A40" t="str">
            <v>LIM02056</v>
          </cell>
          <cell r="B40" t="str">
            <v>ALCOHOL EN GEL-UNIDAD--ENVASE X 800 ML</v>
          </cell>
          <cell r="C40">
            <v>671</v>
          </cell>
        </row>
        <row r="41">
          <cell r="A41" t="str">
            <v>M2022228</v>
          </cell>
          <cell r="B41" t="str">
            <v>ALCOHOL ETILICO-ENVASE BOTELLA PLÃSTICA X 1000 ML-USO MEDICINAL-70%</v>
          </cell>
          <cell r="C41">
            <v>2746</v>
          </cell>
        </row>
        <row r="42">
          <cell r="A42" t="str">
            <v>LA199019</v>
          </cell>
          <cell r="B42" t="str">
            <v>ALCOHOL ETILICO ABSOLUTO---ML</v>
          </cell>
          <cell r="C42">
            <v>2000</v>
          </cell>
        </row>
        <row r="43">
          <cell r="A43" t="str">
            <v>M2022267</v>
          </cell>
          <cell r="B43" t="str">
            <v>ALCOHOL ETÃLICO-BIDÃ“N DE 20 LITROS-SOLUCIÃ“N-96 %</v>
          </cell>
          <cell r="C43">
            <v>60</v>
          </cell>
        </row>
        <row r="44">
          <cell r="A44" t="str">
            <v>KC204016</v>
          </cell>
          <cell r="B44" t="str">
            <v>ALCOHOL METILICO P.A.---1000 CC</v>
          </cell>
          <cell r="C44">
            <v>1</v>
          </cell>
        </row>
        <row r="45">
          <cell r="A45" t="str">
            <v>M3823111</v>
          </cell>
          <cell r="B45" t="str">
            <v>ALCOHOL V/V--SOLUCION-70 %</v>
          </cell>
          <cell r="C45">
            <v>0</v>
          </cell>
        </row>
        <row r="46">
          <cell r="A46" t="str">
            <v>M3301047</v>
          </cell>
          <cell r="B46" t="str">
            <v>ALENDRONATO SODICO--COMPRIMIDO-70 MG</v>
          </cell>
          <cell r="C46">
            <v>0</v>
          </cell>
        </row>
        <row r="47">
          <cell r="A47" t="str">
            <v>M2508112</v>
          </cell>
          <cell r="B47" t="str">
            <v>ALFA-METILDOPA--COMPRIMIDO-500 MG</v>
          </cell>
          <cell r="C47">
            <v>0</v>
          </cell>
        </row>
        <row r="48">
          <cell r="A48" t="str">
            <v>M50AP019</v>
          </cell>
          <cell r="B48" t="str">
            <v>ALIMENTACIÃ“N PARENTERAL TOTAL ; MEZCLA INTRAVENOSA- FÃ“RMULA VARIABLE-DE CARBONO, OLIGOELEMENTOS, VITAMINAS Y-VOLUMEN &gt; 2500 ML.BOLSA Y FILTRO DE ADMINISTRACIÃ“N-FÃ“RMULA VARIABLE</v>
          </cell>
          <cell r="C48">
            <v>0</v>
          </cell>
        </row>
        <row r="49">
          <cell r="A49" t="str">
            <v>M50AP016</v>
          </cell>
          <cell r="B49" t="str">
            <v>ALIMENTACIÃ“N PARENTERAL TOTAL ; MEZCLA INTRAVENOSA- FÃ“RMULA VARIABLE-DE CARBONO, OLIGOELEMENTOS, VITAMINAS Y-VOLUMEN 2001 - 2500 ML. BOLSA Y FILTRO DE ADMINISTRACIÃ“N-FÃ“RMULA VARIABLE</v>
          </cell>
          <cell r="C49">
            <v>0</v>
          </cell>
        </row>
        <row r="50">
          <cell r="A50" t="str">
            <v>M50AP013</v>
          </cell>
          <cell r="B50" t="str">
            <v>ALIMENTACIÃ“N PARENTERAL TOTAL ; MEZCLA INTRAVENOSA- FÃ“RMULA VARIABLE-DE CARBONO, OLIGOELEMENTOS, VITAMINAS Y-VOLUMEN 1501 - 2000 ML.BOLSA Y FILTRO DE ADMINISTRACIÃ“N-FÃ“RMULA VARIABLE</v>
          </cell>
          <cell r="C50">
            <v>0</v>
          </cell>
        </row>
        <row r="51">
          <cell r="A51" t="str">
            <v>M50AP023</v>
          </cell>
          <cell r="B51" t="str">
            <v>ALIMENTACIÃ“N PARENTERAL TOTAL ESTABLE VOLUMEN 1000 A 2000 ML-BOLSA TRICOMPARTIMENTADA-MEZCLA ENDOVENOSA-1500-2500KCAL-BOLSA Y FILTRO-CONTENIENDO AMINOACIDOS, HIDRATOS DE CARBONO Y-LIPIDOS, CONTENIDO CALORICO ENTRE</v>
          </cell>
          <cell r="C51">
            <v>1204</v>
          </cell>
        </row>
        <row r="52">
          <cell r="A52" t="str">
            <v>M50AP024</v>
          </cell>
          <cell r="B52" t="str">
            <v>ALIMENTACIÃ“N PARENTERAL TOTAL ESTABLE.BOLSA TRICOMPARTIMENTADA-VOLUMEN 1000 A 2000 ML. MEZCLA INTRAVENOSA CONTENIENDO-BOLSA Y FILTRO DE ADMINISTRACIÃ“N-AMINOACIDOS, HIDRATOS DE CARBONO Y LIPIDOS-CONTENIDO CALORICO ENTRE 900-1400KCAL</v>
          </cell>
          <cell r="C52">
            <v>16</v>
          </cell>
        </row>
        <row r="53">
          <cell r="A53" t="str">
            <v>M3501116</v>
          </cell>
          <cell r="B53" t="str">
            <v>ALLOPURINOL-20 UNIDADES-COMPRIMIDOS/PASTILLAS/TABLETAS/GRAGEAS-300 MG</v>
          </cell>
          <cell r="C53">
            <v>0</v>
          </cell>
        </row>
        <row r="54">
          <cell r="A54" t="str">
            <v>M3000199</v>
          </cell>
          <cell r="B54" t="str">
            <v>ALLOPURINOL--COMPRIMIDO-100 MG</v>
          </cell>
          <cell r="C54">
            <v>0</v>
          </cell>
        </row>
        <row r="55">
          <cell r="A55" t="str">
            <v>M3501112</v>
          </cell>
          <cell r="B55" t="str">
            <v>ALOPURINOL--COMPRIMIDO-300 MG</v>
          </cell>
          <cell r="C55">
            <v>1400</v>
          </cell>
        </row>
        <row r="56">
          <cell r="A56" t="str">
            <v>M1243112</v>
          </cell>
          <cell r="B56" t="str">
            <v>ALPRAZOLAM--COMPRIMIDO-1 MG</v>
          </cell>
          <cell r="C56">
            <v>1500</v>
          </cell>
        </row>
        <row r="57">
          <cell r="A57" t="str">
            <v>M1201003</v>
          </cell>
          <cell r="B57" t="str">
            <v>ALPRAZOLAM--COMPRIMIDO-2 MG</v>
          </cell>
          <cell r="C57">
            <v>8000</v>
          </cell>
        </row>
        <row r="58">
          <cell r="A58" t="str">
            <v>M1243111</v>
          </cell>
          <cell r="B58" t="str">
            <v>ALPRAZOLAM--COMPRIMIDO-0.5 MG</v>
          </cell>
          <cell r="C58">
            <v>0</v>
          </cell>
        </row>
        <row r="59">
          <cell r="A59" t="str">
            <v>M0601113</v>
          </cell>
          <cell r="B59" t="str">
            <v>AMIKACINA SULFATO-AMPOLLA-SOLUCIÃ“N INYECTABLE-500MG - 2 ML</v>
          </cell>
          <cell r="C59">
            <v>810</v>
          </cell>
        </row>
        <row r="60">
          <cell r="A60" t="str">
            <v>M0601012</v>
          </cell>
          <cell r="B60" t="str">
            <v>AMIKACINA SULFATO--AMPOLLAS-500MG - 2 ML</v>
          </cell>
          <cell r="C60">
            <v>0</v>
          </cell>
        </row>
        <row r="61">
          <cell r="A61" t="str">
            <v>M2434112</v>
          </cell>
          <cell r="B61" t="str">
            <v>AMINOFILINA-AMPOLLA-INYECTABLE-240MG - 10 ML</v>
          </cell>
          <cell r="C61">
            <v>50</v>
          </cell>
        </row>
        <row r="62">
          <cell r="A62" t="str">
            <v>M2501121</v>
          </cell>
          <cell r="B62" t="str">
            <v>AMIODARONA-AMPOLLA-INYECTABLE-150MG - 3 ML</v>
          </cell>
          <cell r="C62">
            <v>580</v>
          </cell>
        </row>
        <row r="63">
          <cell r="A63" t="str">
            <v>M2501005</v>
          </cell>
          <cell r="B63" t="str">
            <v>AMIODARONA--COMPRIMIDOS-500 MG</v>
          </cell>
          <cell r="C63">
            <v>0</v>
          </cell>
        </row>
        <row r="64">
          <cell r="A64" t="str">
            <v>M2501111</v>
          </cell>
          <cell r="B64" t="str">
            <v>AMIODARONA--COMPRIMIDO-200 MG</v>
          </cell>
          <cell r="C64">
            <v>3500</v>
          </cell>
        </row>
        <row r="65">
          <cell r="A65" t="str">
            <v>M1219111</v>
          </cell>
          <cell r="B65" t="str">
            <v>AMITRIPTILINA--COMPRIMIDO-25 MG</v>
          </cell>
          <cell r="C65">
            <v>50000</v>
          </cell>
        </row>
        <row r="66">
          <cell r="A66" t="str">
            <v>M1201006</v>
          </cell>
          <cell r="B66" t="str">
            <v>AMITRIPTILINA--COMPRIMIDOS-75 MG</v>
          </cell>
          <cell r="C66">
            <v>0</v>
          </cell>
        </row>
        <row r="67">
          <cell r="A67" t="str">
            <v>M2501009</v>
          </cell>
          <cell r="B67" t="str">
            <v>AMLODIPINA--COMPRIMIDO-10 MG</v>
          </cell>
          <cell r="C67">
            <v>28200</v>
          </cell>
        </row>
        <row r="68">
          <cell r="A68" t="str">
            <v>M2501010</v>
          </cell>
          <cell r="B68" t="str">
            <v>AMLODIPINA--COMPRIMIDOS-5 MG</v>
          </cell>
          <cell r="C68">
            <v>0</v>
          </cell>
        </row>
        <row r="69">
          <cell r="A69" t="str">
            <v>M0724126</v>
          </cell>
          <cell r="B69" t="str">
            <v>AMOXICILINA--COMPRIMIDO-500 MG</v>
          </cell>
          <cell r="C69">
            <v>270</v>
          </cell>
        </row>
        <row r="70">
          <cell r="A70" t="str">
            <v>M0724118</v>
          </cell>
          <cell r="B70" t="str">
            <v>AMOXICILINA-FRASCO X 90 ML-POLVO P/SUSPENSIÃ“N ORAL-500MG/5ML</v>
          </cell>
          <cell r="C70">
            <v>340</v>
          </cell>
        </row>
        <row r="71">
          <cell r="A71" t="str">
            <v>M0724141</v>
          </cell>
          <cell r="B71" t="str">
            <v>AMOXICILINA+SULBACTAM-14 UNIDADES-COMPRIMIDOS/PASTILLAS/TABLETAS/GRAGEAS-875/125 MG</v>
          </cell>
          <cell r="C71">
            <v>0</v>
          </cell>
        </row>
        <row r="72">
          <cell r="A72" t="str">
            <v>M0701010</v>
          </cell>
          <cell r="B72" t="str">
            <v>AMOXICILINA-ACIDO CLAVULANICO--COMPRIMIDO-500MG-125MG</v>
          </cell>
          <cell r="C72">
            <v>0</v>
          </cell>
        </row>
        <row r="73">
          <cell r="A73" t="str">
            <v>M0701011</v>
          </cell>
          <cell r="B73" t="str">
            <v>AMOXICILINA-ACIDO CLAVULANICO--COMPRIMIDO-875MG-125MG</v>
          </cell>
          <cell r="C73">
            <v>28</v>
          </cell>
        </row>
        <row r="74">
          <cell r="A74" t="str">
            <v>M0702133</v>
          </cell>
          <cell r="B74" t="str">
            <v>AMPICILINA-FRASCO AMPOLLA-INYECTABLE-1 GR</v>
          </cell>
          <cell r="C74">
            <v>1700</v>
          </cell>
        </row>
        <row r="75">
          <cell r="A75" t="str">
            <v>M0720113</v>
          </cell>
          <cell r="B75" t="str">
            <v>AMPICILINA-SULBACTAM-FRASCO AMPOLLA-INYECTABLE-1GR-500MG</v>
          </cell>
          <cell r="C75">
            <v>4900</v>
          </cell>
        </row>
        <row r="76">
          <cell r="A76" t="str">
            <v>M0724119</v>
          </cell>
          <cell r="B76" t="str">
            <v>AMPICILINA-SULBACTAM-FRASCO AMPOLLA (750 MG) -UNIDAD-INYECTABLE-500MG-250MG</v>
          </cell>
          <cell r="C76">
            <v>0</v>
          </cell>
        </row>
        <row r="77">
          <cell r="A77" t="str">
            <v>M1804111</v>
          </cell>
          <cell r="B77" t="str">
            <v>ANFOTERICINA B-FRASCO AMPOLLA-INYECTABLE-50 MG</v>
          </cell>
          <cell r="C77">
            <v>25</v>
          </cell>
        </row>
        <row r="78">
          <cell r="A78" t="str">
            <v>M1801008</v>
          </cell>
          <cell r="B78" t="str">
            <v>ANFOTERICINA B - FORMULADO EN LIPOSOMAS-FRASCO AMPOLLA LIOFILIZADO-INYECTABLE-50 MG</v>
          </cell>
          <cell r="C78">
            <v>0</v>
          </cell>
        </row>
        <row r="79">
          <cell r="A79" t="str">
            <v>M1801033</v>
          </cell>
          <cell r="B79" t="str">
            <v>ANFOTERICINA B COMPLEJO LIPÃDICO--FRASCO AMPOLLA-INYECTABLE-100MG-20ML</v>
          </cell>
          <cell r="C79">
            <v>0</v>
          </cell>
        </row>
        <row r="80">
          <cell r="A80" t="str">
            <v>M1805120</v>
          </cell>
          <cell r="B80" t="str">
            <v>ANIDULAFUNGINA-FRASCO AMPOLLA - UNIDAD-INYECTABLE-100 MG - I.V.</v>
          </cell>
          <cell r="C80">
            <v>15</v>
          </cell>
        </row>
        <row r="81">
          <cell r="A81" t="str">
            <v>KA299028</v>
          </cell>
          <cell r="B81" t="str">
            <v>ANTIGAMAGLOBULINA HUMANA TOTAL--MARCADA C/ISOTISIONATO DE FLUORESCEINA-ML</v>
          </cell>
          <cell r="C81">
            <v>0</v>
          </cell>
        </row>
        <row r="82">
          <cell r="A82" t="str">
            <v>M2534160</v>
          </cell>
          <cell r="B82" t="str">
            <v>APIXABAN--COMPRIMIDO-2.5 MG</v>
          </cell>
          <cell r="C82">
            <v>710</v>
          </cell>
        </row>
        <row r="83">
          <cell r="A83" t="str">
            <v>M2534159</v>
          </cell>
          <cell r="B83" t="str">
            <v>APIXABAN--COMPRIMIDO-5 MG</v>
          </cell>
          <cell r="C83">
            <v>1043</v>
          </cell>
        </row>
        <row r="84">
          <cell r="A84" t="str">
            <v>M2615212</v>
          </cell>
          <cell r="B84" t="str">
            <v>APIXABAN-UNIDAD-COMPRIMIDOS 5 MG-</v>
          </cell>
          <cell r="C84">
            <v>3600</v>
          </cell>
        </row>
        <row r="85">
          <cell r="A85" t="str">
            <v>M1246391</v>
          </cell>
          <cell r="B85" t="str">
            <v>ARIPIPRAZOL-UNIDAD-COMPRIMIDO-15 MG</v>
          </cell>
          <cell r="C85">
            <v>900</v>
          </cell>
        </row>
        <row r="86">
          <cell r="A86" t="str">
            <v>M1246286</v>
          </cell>
          <cell r="B86" t="str">
            <v>ARIPIPRAZOL--COMPRIMIDOS-10 MG</v>
          </cell>
          <cell r="C86">
            <v>2010</v>
          </cell>
        </row>
        <row r="87">
          <cell r="A87" t="str">
            <v>M1200179</v>
          </cell>
          <cell r="B87" t="str">
            <v>ARIPIPRAZOL--COMPRIMIDO-5MG</v>
          </cell>
          <cell r="C87">
            <v>2700</v>
          </cell>
        </row>
        <row r="88">
          <cell r="A88" t="str">
            <v>M1907113</v>
          </cell>
          <cell r="B88" t="str">
            <v>ARTEMETER - LUMEFANTRINA-COMPRIMIDOS--20 MG -120 MG</v>
          </cell>
          <cell r="C88">
            <v>0</v>
          </cell>
        </row>
        <row r="89">
          <cell r="A89" t="str">
            <v>M3706183</v>
          </cell>
          <cell r="B89" t="str">
            <v>ARTESUNATO-UNIDAD-INYECTABLE-60 MG.</v>
          </cell>
          <cell r="C89">
            <v>0</v>
          </cell>
        </row>
        <row r="90">
          <cell r="A90" t="str">
            <v>M11R6016</v>
          </cell>
          <cell r="B90" t="str">
            <v>ATANZANAVIR--COMPRIMIDO-200 MG</v>
          </cell>
          <cell r="C90">
            <v>0</v>
          </cell>
        </row>
        <row r="91">
          <cell r="A91" t="str">
            <v>M2523121</v>
          </cell>
          <cell r="B91" t="str">
            <v>ATENOLOL--COMPRIMIDO-50 MG</v>
          </cell>
          <cell r="C91">
            <v>6266</v>
          </cell>
        </row>
        <row r="92">
          <cell r="A92" t="str">
            <v>M2523111</v>
          </cell>
          <cell r="B92" t="str">
            <v>ATENOLOL--COMPRIMIDO-100MG</v>
          </cell>
          <cell r="C92">
            <v>3010</v>
          </cell>
        </row>
        <row r="93">
          <cell r="A93" t="str">
            <v>M2601083</v>
          </cell>
          <cell r="B93" t="str">
            <v>ATORVASTATIN--COMPRIMIDO-10 MG</v>
          </cell>
          <cell r="C93">
            <v>0</v>
          </cell>
        </row>
        <row r="94">
          <cell r="A94" t="str">
            <v>M2615154</v>
          </cell>
          <cell r="B94" t="str">
            <v>ATORVASTATIN--COMPRIMIDOS-40MG</v>
          </cell>
          <cell r="C94">
            <v>0</v>
          </cell>
        </row>
        <row r="95">
          <cell r="A95" t="str">
            <v>M2615135</v>
          </cell>
          <cell r="B95" t="str">
            <v>ATORVASTATIN--COMPRIMIDO-20MG</v>
          </cell>
          <cell r="C95">
            <v>58000</v>
          </cell>
        </row>
        <row r="96">
          <cell r="A96" t="str">
            <v>M2615209</v>
          </cell>
          <cell r="B96" t="str">
            <v>ATORVASTATINA COMPRIMIDOS-UNIDAD-COMPRIMIDOS-40 MG</v>
          </cell>
          <cell r="C96">
            <v>3380</v>
          </cell>
        </row>
        <row r="97">
          <cell r="A97" t="str">
            <v>M12UEP01</v>
          </cell>
          <cell r="B97" t="str">
            <v>ATRACURIUM-UNIDAD-AMPOLLA-50 MGRS. X 5 ML</v>
          </cell>
          <cell r="C97">
            <v>0</v>
          </cell>
        </row>
        <row r="98">
          <cell r="A98" t="str">
            <v>M1501123</v>
          </cell>
          <cell r="B98" t="str">
            <v>ATROPINA-AMPOLLA - UNIDAD-SOLUCIÃ“N INYECTABLE-1MG/1ML</v>
          </cell>
          <cell r="C98">
            <v>1400</v>
          </cell>
        </row>
        <row r="99">
          <cell r="A99" t="str">
            <v>M1501026</v>
          </cell>
          <cell r="B99" t="str">
            <v>ATROPINA SULFATO-AMPOLLA-INYECTABLE-1%. - 5 ML</v>
          </cell>
          <cell r="C99">
            <v>0</v>
          </cell>
        </row>
        <row r="100">
          <cell r="A100" t="str">
            <v>M3706200</v>
          </cell>
          <cell r="B100" t="str">
            <v>AZATIOPRINA--COMPRIMIDO ORAL-50 MG</v>
          </cell>
          <cell r="C100">
            <v>0</v>
          </cell>
        </row>
        <row r="101">
          <cell r="A101" t="str">
            <v>M3232111</v>
          </cell>
          <cell r="B101" t="str">
            <v>AZATIOPRINA--COMPRIMIDO-50 MG</v>
          </cell>
          <cell r="C101">
            <v>17400</v>
          </cell>
        </row>
        <row r="102">
          <cell r="A102" t="str">
            <v>M3201043</v>
          </cell>
          <cell r="B102" t="str">
            <v>AZATIOPRINA--COMPRIMIDOS-500MG</v>
          </cell>
          <cell r="C102">
            <v>0</v>
          </cell>
        </row>
        <row r="103">
          <cell r="A103" t="str">
            <v>M0801002</v>
          </cell>
          <cell r="B103" t="str">
            <v>AZITROMICINA--COMPRIMIDO/CÃPSULA-500 MG</v>
          </cell>
          <cell r="C103">
            <v>2700</v>
          </cell>
        </row>
        <row r="104">
          <cell r="A104" t="str">
            <v>M0801003</v>
          </cell>
          <cell r="B104" t="str">
            <v>AZITROMICINA--COMPRIMIDO-250 MG</v>
          </cell>
          <cell r="C104">
            <v>0</v>
          </cell>
        </row>
        <row r="105">
          <cell r="A105" t="str">
            <v>M0701127</v>
          </cell>
          <cell r="B105" t="str">
            <v>AZTREONAM-FRASCO AMPOLLA-INYECTABLE-1 GR</v>
          </cell>
          <cell r="C105">
            <v>1000</v>
          </cell>
        </row>
        <row r="106">
          <cell r="A106" t="str">
            <v>M0101226</v>
          </cell>
          <cell r="B106" t="str">
            <v>AZUL DE METILENO--LIQUIDO-2% - 100 CC</v>
          </cell>
          <cell r="C106">
            <v>0</v>
          </cell>
        </row>
        <row r="107">
          <cell r="A107" t="str">
            <v>M0141277</v>
          </cell>
          <cell r="B107" t="str">
            <v>AZUL PATENTE 3 %-ENVASE X 100 ML.--</v>
          </cell>
          <cell r="C107">
            <v>0</v>
          </cell>
        </row>
        <row r="108">
          <cell r="A108" t="str">
            <v>M1201152</v>
          </cell>
          <cell r="B108" t="str">
            <v>BACLOFENO--COMPRIMIDO-10 MG</v>
          </cell>
          <cell r="C108">
            <v>1490</v>
          </cell>
        </row>
        <row r="109">
          <cell r="A109" t="str">
            <v>M1805132</v>
          </cell>
          <cell r="B109" t="str">
            <v>BEDAQUILINA--100 MG.-COMPRIMIDOS</v>
          </cell>
          <cell r="C109">
            <v>0</v>
          </cell>
        </row>
        <row r="110">
          <cell r="A110" t="str">
            <v>M1246308</v>
          </cell>
          <cell r="B110" t="str">
            <v>BESILATO ATRACURIUM-AMPOLLA X 5 ML - UNIDAD-INYECTABLE-10MG/ML</v>
          </cell>
          <cell r="C110">
            <v>0</v>
          </cell>
        </row>
        <row r="111">
          <cell r="A111" t="str">
            <v>M2701112</v>
          </cell>
          <cell r="B111" t="str">
            <v>BETA METIL PREDNISOLONA-AMPOLLA-INYECTABLE-500 MG</v>
          </cell>
          <cell r="C111">
            <v>200</v>
          </cell>
        </row>
        <row r="112">
          <cell r="A112" t="str">
            <v>M2701122</v>
          </cell>
          <cell r="B112" t="str">
            <v>BETA METIL PREDNISONA--COMPRIMIDO-8 MG</v>
          </cell>
          <cell r="C112">
            <v>10</v>
          </cell>
        </row>
        <row r="113">
          <cell r="A113" t="str">
            <v>M2701121</v>
          </cell>
          <cell r="B113" t="str">
            <v>BETA METIL PREDNISONA--COMPRIMIDO-4 MG</v>
          </cell>
          <cell r="C113">
            <v>5800</v>
          </cell>
        </row>
        <row r="114">
          <cell r="A114" t="str">
            <v>M2701111</v>
          </cell>
          <cell r="B114" t="str">
            <v>BETA METIL PREDNISONA-FRASCO GOTERO-GOTAS-4MG/ML - 15 ML</v>
          </cell>
          <cell r="C114">
            <v>40</v>
          </cell>
        </row>
        <row r="115">
          <cell r="A115" t="str">
            <v>M2701123</v>
          </cell>
          <cell r="B115" t="str">
            <v>BETA METIL PREDNISONA--COMPRIMIDOS-40 MG</v>
          </cell>
          <cell r="C115">
            <v>0</v>
          </cell>
        </row>
        <row r="116">
          <cell r="A116" t="str">
            <v>M2901014</v>
          </cell>
          <cell r="B116" t="str">
            <v>BETAMETASONA-POMO 15/20 GRS.-CREMA-50MG/100GR -</v>
          </cell>
          <cell r="C116">
            <v>500</v>
          </cell>
        </row>
        <row r="117">
          <cell r="A117" t="str">
            <v>M2709124</v>
          </cell>
          <cell r="B117" t="str">
            <v>BETAMETASONA FOSFATO-BETAMETASONA ACETATO-AMPOLLA-INYECTABLE-6MG-6MG - 2 ML</v>
          </cell>
          <cell r="C117">
            <v>600</v>
          </cell>
        </row>
        <row r="118">
          <cell r="A118" t="str">
            <v>M3201054</v>
          </cell>
          <cell r="B118" t="str">
            <v>BEVACIZUMAB--100MG-4ML-</v>
          </cell>
          <cell r="C118">
            <v>10</v>
          </cell>
        </row>
        <row r="119">
          <cell r="A119" t="str">
            <v>M3259214</v>
          </cell>
          <cell r="B119" t="str">
            <v>BEVACIZUMAB 5 MG / 0,2 ML-UNIDAD-SOLUCIÃ“N INYECTABLE INTRAVITREA-</v>
          </cell>
          <cell r="C119">
            <v>0</v>
          </cell>
        </row>
        <row r="120">
          <cell r="A120" t="str">
            <v>M4501086</v>
          </cell>
          <cell r="B120" t="str">
            <v>BICARBONATO DE POTASIO SOLUCIÃ“N--INYECTABLE-1 MOLAR - 100 ML</v>
          </cell>
          <cell r="C120">
            <v>0</v>
          </cell>
        </row>
        <row r="121">
          <cell r="A121" t="str">
            <v>M4528114</v>
          </cell>
          <cell r="B121" t="str">
            <v>BICARBONATO DE SODIO--INYECTABLE-1 MOLAR - 100 ML</v>
          </cell>
          <cell r="C121">
            <v>0</v>
          </cell>
        </row>
        <row r="122">
          <cell r="A122" t="str">
            <v>M4501084</v>
          </cell>
          <cell r="B122" t="str">
            <v>BICARBONATO DE SODIO SOLUCIÃ“N-SACHET-INYECTABLE-1 MOLAR - 100 ML</v>
          </cell>
          <cell r="C122">
            <v>450</v>
          </cell>
        </row>
        <row r="123">
          <cell r="A123" t="str">
            <v>M4503114</v>
          </cell>
          <cell r="B123" t="str">
            <v>BICARBONATO MOLAR--*-*</v>
          </cell>
          <cell r="C123">
            <v>0</v>
          </cell>
        </row>
        <row r="124">
          <cell r="A124" t="str">
            <v>M1238111</v>
          </cell>
          <cell r="B124" t="str">
            <v>BIPERIDENO CLORHIDRATO--COMPRIMIDOS-2 MG</v>
          </cell>
          <cell r="C124">
            <v>16000</v>
          </cell>
        </row>
        <row r="125">
          <cell r="A125" t="str">
            <v>M2306111</v>
          </cell>
          <cell r="B125" t="str">
            <v>BISACODILO--COMPRIMIDOS-5 MG</v>
          </cell>
          <cell r="C125">
            <v>1100</v>
          </cell>
        </row>
        <row r="126">
          <cell r="A126" t="str">
            <v>M2301012</v>
          </cell>
          <cell r="B126" t="str">
            <v>BISMUTO HIDROXIDO-PECTINA--SUSPENSION ORAL-3GR-750MG/100ML-90ML</v>
          </cell>
          <cell r="C126">
            <v>0</v>
          </cell>
        </row>
        <row r="127">
          <cell r="A127" t="str">
            <v>M2501137</v>
          </cell>
          <cell r="B127" t="str">
            <v>BISOPROLOL--COMPRIMIDOS-2,5 MG</v>
          </cell>
          <cell r="C127">
            <v>60</v>
          </cell>
        </row>
        <row r="128">
          <cell r="A128" t="str">
            <v>M2534163</v>
          </cell>
          <cell r="B128" t="str">
            <v>BISOPROLOL-30 UNIDADES-COMPRIMIDOS/PASTILLAS/TABLETAS/GRAGEAS-10 MG</v>
          </cell>
          <cell r="C128">
            <v>102</v>
          </cell>
        </row>
        <row r="129">
          <cell r="A129" t="str">
            <v>M2501151</v>
          </cell>
          <cell r="B129" t="str">
            <v>BISOPROLOL--COMPRIMIDO-5 MG</v>
          </cell>
          <cell r="C129">
            <v>11200</v>
          </cell>
        </row>
        <row r="130">
          <cell r="A130" t="str">
            <v>M2401009</v>
          </cell>
          <cell r="B130" t="str">
            <v>BROMURO DE IPRATROPIO--SOLUCION P/NEBULIZAR-25MG/100ML - 20 ML</v>
          </cell>
          <cell r="C130">
            <v>225</v>
          </cell>
        </row>
        <row r="131">
          <cell r="A131" t="str">
            <v>M2401059</v>
          </cell>
          <cell r="B131" t="str">
            <v>BROMURO DE IPRATROPIO--AEROSOL-25MG/100ML - 15 ML</v>
          </cell>
          <cell r="C131">
            <v>0</v>
          </cell>
        </row>
        <row r="132">
          <cell r="A132" t="str">
            <v>M2401029</v>
          </cell>
          <cell r="B132" t="str">
            <v>BROMURO DE IPRATROPIO-AEROSOL--25MG/100ML - 10 ML</v>
          </cell>
          <cell r="C132">
            <v>0</v>
          </cell>
        </row>
        <row r="133">
          <cell r="A133" t="str">
            <v>M2401034</v>
          </cell>
          <cell r="B133" t="str">
            <v>BROMURO DE IPRATROPIO--AEROSOL-250 DOSIS</v>
          </cell>
          <cell r="C133">
            <v>0</v>
          </cell>
        </row>
        <row r="134">
          <cell r="A134" t="str">
            <v>M4101048</v>
          </cell>
          <cell r="B134" t="str">
            <v>BROMURO DE PANCURONIO--AMPOLLAS-2MG/ML - 2 ML</v>
          </cell>
          <cell r="C134">
            <v>1900</v>
          </cell>
        </row>
        <row r="135">
          <cell r="A135" t="str">
            <v>M0314147</v>
          </cell>
          <cell r="B135" t="str">
            <v>BROMURO DE ROCURONIO-AMPOLLA 5 ML-AMPOLLA-10MG/ML</v>
          </cell>
          <cell r="C135">
            <v>50</v>
          </cell>
        </row>
        <row r="136">
          <cell r="A136" t="str">
            <v>M2434135</v>
          </cell>
          <cell r="B136" t="str">
            <v>BUDESONIDE-100 DOSIS-AEROSOL INHALABLE-200 MCG/DOSIS</v>
          </cell>
          <cell r="C136">
            <v>0</v>
          </cell>
        </row>
        <row r="137">
          <cell r="A137" t="str">
            <v>M2701049</v>
          </cell>
          <cell r="B137" t="str">
            <v>BUDESONIDE--SPRAY - 100 DOSIS-50 MCG/DOSIS</v>
          </cell>
          <cell r="C137">
            <v>0</v>
          </cell>
        </row>
        <row r="138">
          <cell r="A138" t="str">
            <v>M2709127</v>
          </cell>
          <cell r="B138" t="str">
            <v>BUDESONIDE-200 DOSIS-SPRAY-200MCG/DOSIS</v>
          </cell>
          <cell r="C138">
            <v>0</v>
          </cell>
        </row>
        <row r="139">
          <cell r="A139" t="str">
            <v>M2701006</v>
          </cell>
          <cell r="B139" t="str">
            <v>BUDESONIDE-AEROSOL--200MCG/DOSIS</v>
          </cell>
          <cell r="C139">
            <v>90</v>
          </cell>
        </row>
        <row r="140">
          <cell r="A140" t="str">
            <v>M2709142</v>
          </cell>
          <cell r="B140" t="str">
            <v>BUDESONIDE-200 DOSIS-SPRAY-50MCG/DOSIS</v>
          </cell>
          <cell r="C140">
            <v>0</v>
          </cell>
        </row>
        <row r="141">
          <cell r="A141" t="str">
            <v>M2434179</v>
          </cell>
          <cell r="B141" t="str">
            <v>BUDESONIDE-100 DOSIS-AEROSOL INHALABLE C/AEROCAMARA-200 MCG/DOSIS</v>
          </cell>
          <cell r="C141">
            <v>0</v>
          </cell>
        </row>
        <row r="142">
          <cell r="A142" t="str">
            <v>M2709134</v>
          </cell>
          <cell r="B142" t="str">
            <v>BUDESONIDE (MICRONIZADO)--CAPSULAS P/INHALACION-200 MCG</v>
          </cell>
          <cell r="C142">
            <v>0</v>
          </cell>
        </row>
        <row r="143">
          <cell r="A143" t="str">
            <v>M2709170</v>
          </cell>
          <cell r="B143" t="str">
            <v>BUDESONIDE C/AEROCÃMARA-UNIDAD-200 MCG/DOSIS X 200 DOSIS-</v>
          </cell>
          <cell r="C143">
            <v>0</v>
          </cell>
        </row>
        <row r="144">
          <cell r="A144" t="str">
            <v>M2709135</v>
          </cell>
          <cell r="B144" t="str">
            <v>BUDESONIDE-FORMOTEROL FUMARATO--CAPSULAS P/INHALACION-200MCG-6,268MCG</v>
          </cell>
          <cell r="C144">
            <v>0</v>
          </cell>
        </row>
        <row r="145">
          <cell r="A145" t="str">
            <v>M2701009</v>
          </cell>
          <cell r="B145" t="str">
            <v>BUDESONIDE-SOLUCION FISIOLOGICA-20 ML-SOLUCIÃ“N P/NEBULIZAR-100MG/100ML-</v>
          </cell>
          <cell r="C145">
            <v>130</v>
          </cell>
        </row>
        <row r="146">
          <cell r="A146" t="str">
            <v>M0306111</v>
          </cell>
          <cell r="B146" t="str">
            <v>BUPIVACAINA--FCO. AMPOLLA-0.5% - 25 ML</v>
          </cell>
          <cell r="C146">
            <v>0</v>
          </cell>
        </row>
        <row r="147">
          <cell r="A147" t="str">
            <v>M0301007</v>
          </cell>
          <cell r="B147" t="str">
            <v>BUPIVACAINA-FRASCO AMPOLLA-INYECTABLE-0.5% - 20 ML</v>
          </cell>
          <cell r="C147">
            <v>200</v>
          </cell>
        </row>
        <row r="148">
          <cell r="A148" t="str">
            <v>M0314120</v>
          </cell>
          <cell r="B148" t="str">
            <v>BUPIVACAINA C/EPINEFRINA-FRASCO AMPOLLA-INYECTABLE-0.5% - 20 ML</v>
          </cell>
          <cell r="C148">
            <v>325</v>
          </cell>
        </row>
        <row r="149">
          <cell r="A149" t="str">
            <v>M0306112</v>
          </cell>
          <cell r="B149" t="str">
            <v>BUPIVACAINA HIPERBARICA-AMPOLLA-INYECTABLE-0.5% - 4 ML</v>
          </cell>
          <cell r="C149">
            <v>200</v>
          </cell>
        </row>
        <row r="150">
          <cell r="A150" t="str">
            <v>M1200174</v>
          </cell>
          <cell r="B150" t="str">
            <v>BUPROPION--COMPRIMIDO-150MG</v>
          </cell>
          <cell r="C150">
            <v>0</v>
          </cell>
        </row>
        <row r="151">
          <cell r="A151" t="str">
            <v>M1501111</v>
          </cell>
          <cell r="B151" t="str">
            <v>BUTIL ESCOPOLAMINA (HIOSCINA)-AMPOLLA-INYECTABLE-20MG - 1ML</v>
          </cell>
          <cell r="C151">
            <v>6000</v>
          </cell>
        </row>
        <row r="152">
          <cell r="A152" t="str">
            <v>M3601027</v>
          </cell>
          <cell r="B152" t="str">
            <v>CABERGOLINA--COMPRIMIDOS-0.5 MCG</v>
          </cell>
          <cell r="C152">
            <v>0</v>
          </cell>
        </row>
        <row r="153">
          <cell r="A153" t="str">
            <v>M3814111</v>
          </cell>
          <cell r="B153" t="str">
            <v>CAFEINA-AMPOLLA-INYECTABLE-25 % - 1 ML</v>
          </cell>
          <cell r="C153">
            <v>0</v>
          </cell>
        </row>
        <row r="154">
          <cell r="A154" t="str">
            <v>LA199031</v>
          </cell>
          <cell r="B154" t="str">
            <v>CAL SODADA---KG</v>
          </cell>
          <cell r="C154">
            <v>110</v>
          </cell>
        </row>
        <row r="155">
          <cell r="A155" t="str">
            <v>M3301006</v>
          </cell>
          <cell r="B155" t="str">
            <v>CALCIO CARBONATO--COMPRIMIDOS-1.25 GR (EQ.500MGDE CALCIO)</v>
          </cell>
          <cell r="C155">
            <v>3980</v>
          </cell>
        </row>
        <row r="156">
          <cell r="A156" t="str">
            <v>M3312112</v>
          </cell>
          <cell r="B156" t="str">
            <v>CALCIO GLUCONATO-AMPOLLA 10 ML-INYECTABLE-10 % -</v>
          </cell>
          <cell r="C156">
            <v>1425</v>
          </cell>
        </row>
        <row r="157">
          <cell r="A157" t="str">
            <v>M4601009</v>
          </cell>
          <cell r="B157" t="str">
            <v>CALCITRIOL-FRASCO AMPOLLA I.V.-INYECTABLE-1MCG/ML - 1 ML</v>
          </cell>
          <cell r="C157">
            <v>0</v>
          </cell>
        </row>
        <row r="158">
          <cell r="A158" t="str">
            <v>M1202111</v>
          </cell>
          <cell r="B158" t="str">
            <v>CARBAMAZEPINA--COMPRIMIDOS-200 MG</v>
          </cell>
          <cell r="C158">
            <v>5010</v>
          </cell>
        </row>
        <row r="159">
          <cell r="A159" t="str">
            <v>M1201153</v>
          </cell>
          <cell r="B159" t="str">
            <v>CARBAMAZEPINA--COMPRIMIDOS-400 MG</v>
          </cell>
          <cell r="C159">
            <v>0</v>
          </cell>
        </row>
        <row r="160">
          <cell r="A160" t="str">
            <v>M0101101</v>
          </cell>
          <cell r="B160" t="str">
            <v>CARBON ACTIVADO--POLVO-KG</v>
          </cell>
          <cell r="C160">
            <v>0</v>
          </cell>
        </row>
        <row r="161">
          <cell r="A161" t="str">
            <v>I0701006</v>
          </cell>
          <cell r="B161" t="str">
            <v>CARBON ACTIVADO P/MARCACION PRE-QUIRURGICA-AMPOLLA-4% - 1 ML-</v>
          </cell>
          <cell r="C161">
            <v>10</v>
          </cell>
        </row>
        <row r="162">
          <cell r="A162" t="str">
            <v>M3318137</v>
          </cell>
          <cell r="B162" t="str">
            <v>CARBONATO DE SEVELAMER--COMPRIMIDO-800 MG</v>
          </cell>
          <cell r="C162">
            <v>1440</v>
          </cell>
        </row>
        <row r="163">
          <cell r="A163" t="str">
            <v>M2501112</v>
          </cell>
          <cell r="B163" t="str">
            <v>CARVEDILOL--COMPRIMIDOS-6.25 MG</v>
          </cell>
          <cell r="C163">
            <v>17906</v>
          </cell>
        </row>
        <row r="164">
          <cell r="A164" t="str">
            <v>M2501152</v>
          </cell>
          <cell r="B164" t="str">
            <v>CARVEDILOL--COMPRIMIDOS-3,125 MG</v>
          </cell>
          <cell r="C164">
            <v>560</v>
          </cell>
        </row>
        <row r="165">
          <cell r="A165" t="str">
            <v>M2501017</v>
          </cell>
          <cell r="B165" t="str">
            <v>CARVEDILOL--COMPRIMIDO-25 MG</v>
          </cell>
          <cell r="C165">
            <v>18020</v>
          </cell>
        </row>
        <row r="166">
          <cell r="A166" t="str">
            <v>M2534129</v>
          </cell>
          <cell r="B166" t="str">
            <v>CARVEDILOL--COMPRIMIDOS-12.5 MG</v>
          </cell>
          <cell r="C166">
            <v>4487</v>
          </cell>
        </row>
        <row r="167">
          <cell r="A167" t="str">
            <v>M1801026</v>
          </cell>
          <cell r="B167" t="str">
            <v>CASPOFUNGINA ACETATO-FRASCO AMPOLLA-INYECTABLE-50 MG.</v>
          </cell>
          <cell r="C167">
            <v>40</v>
          </cell>
        </row>
        <row r="168">
          <cell r="A168" t="str">
            <v>M1801025</v>
          </cell>
          <cell r="B168" t="str">
            <v>CASPOFUNGINA ACETATO-FRASCO AMPOLLA-INYECTABLE-70 MG.</v>
          </cell>
          <cell r="C168">
            <v>0</v>
          </cell>
        </row>
        <row r="169">
          <cell r="A169" t="str">
            <v>M0711111</v>
          </cell>
          <cell r="B169" t="str">
            <v>CEFALEXINA--COMPRIMIDOS-500 MG</v>
          </cell>
          <cell r="C169">
            <v>61800</v>
          </cell>
        </row>
        <row r="170">
          <cell r="A170" t="str">
            <v>M0714111</v>
          </cell>
          <cell r="B170" t="str">
            <v>CEFALOTINA-FRASCO AMPOLLA-INYECTABLE-1 GR</v>
          </cell>
          <cell r="C170">
            <v>800</v>
          </cell>
        </row>
        <row r="171">
          <cell r="A171" t="str">
            <v>M0701147</v>
          </cell>
          <cell r="B171" t="str">
            <v>CEFAZOLINA--FCO. AMPOLLA-500 MG</v>
          </cell>
          <cell r="C171">
            <v>0</v>
          </cell>
        </row>
        <row r="172">
          <cell r="A172" t="str">
            <v>M0701146</v>
          </cell>
          <cell r="B172" t="str">
            <v>CEFAZOLINA-FRASCO AMPOLLA-INYECTABLE-1 GR</v>
          </cell>
          <cell r="C172">
            <v>5600</v>
          </cell>
        </row>
        <row r="173">
          <cell r="A173" t="str">
            <v>M0701148</v>
          </cell>
          <cell r="B173" t="str">
            <v>CEFEPIME-FRASCO AMPOLLA-INYECTABLE-1 GR</v>
          </cell>
          <cell r="C173">
            <v>0</v>
          </cell>
        </row>
        <row r="174">
          <cell r="A174" t="str">
            <v>M0701149</v>
          </cell>
          <cell r="B174" t="str">
            <v>CEFIXIMA--COMPRIMIDO-400 MG</v>
          </cell>
          <cell r="C174">
            <v>156</v>
          </cell>
        </row>
        <row r="175">
          <cell r="A175" t="str">
            <v>M0724122</v>
          </cell>
          <cell r="B175" t="str">
            <v>CEFOTAXIMA-FRASCO AMPOLLA-INYECTABLE-1 GR</v>
          </cell>
          <cell r="C175">
            <v>200</v>
          </cell>
        </row>
        <row r="176">
          <cell r="A176" t="str">
            <v>M0718111</v>
          </cell>
          <cell r="B176" t="str">
            <v>CEFTAZIDIMA-FRASCO AMPOLLA-INYECTABLE-1GR</v>
          </cell>
          <cell r="C176">
            <v>400</v>
          </cell>
        </row>
        <row r="177">
          <cell r="A177" t="str">
            <v>M0724113</v>
          </cell>
          <cell r="B177" t="str">
            <v>CEFTAZIDIMA-INYECTABLE-FRASCO AMPOLLA-500 MG</v>
          </cell>
          <cell r="C177">
            <v>0</v>
          </cell>
        </row>
        <row r="178">
          <cell r="A178" t="str">
            <v>M1109166</v>
          </cell>
          <cell r="B178" t="str">
            <v>CEFTAZIDIMA 2GR / AVIBACTAM 0.5GR-FRASCO AMPOLLA-INTRAVENOSO-</v>
          </cell>
          <cell r="C178">
            <v>270</v>
          </cell>
        </row>
        <row r="179">
          <cell r="A179" t="str">
            <v>M0724149</v>
          </cell>
          <cell r="B179" t="str">
            <v>CEFTOLOZANO 1 GR / TAZOBACTAM 0.5 GR-FRASCO AMPOLLA-INYECTABLE-</v>
          </cell>
          <cell r="C179">
            <v>0</v>
          </cell>
        </row>
        <row r="180">
          <cell r="A180" t="str">
            <v>M0717111</v>
          </cell>
          <cell r="B180" t="str">
            <v>CEFTRIAXONA-FRASCO AMPOLLA-INYECTABLE-1 GR</v>
          </cell>
          <cell r="C180">
            <v>3400</v>
          </cell>
        </row>
        <row r="181">
          <cell r="A181" t="str">
            <v>M0701159</v>
          </cell>
          <cell r="B181" t="str">
            <v>CEFTRIAXONA--FCO. AMPOLLA I.M.-1 GR</v>
          </cell>
          <cell r="C181">
            <v>0</v>
          </cell>
        </row>
        <row r="182">
          <cell r="A182" t="str">
            <v>M3209121</v>
          </cell>
          <cell r="B182" t="str">
            <v>CICLOFOSFAMIDA--COMPRIMIDOS-50 MG</v>
          </cell>
          <cell r="C182">
            <v>0</v>
          </cell>
        </row>
        <row r="183">
          <cell r="A183" t="str">
            <v>M3209112</v>
          </cell>
          <cell r="B183" t="str">
            <v>CICLOFOSFAMIDA-FRASCO AMPOLLA-INYECTABLE-1 GR</v>
          </cell>
          <cell r="C183">
            <v>15</v>
          </cell>
        </row>
        <row r="184">
          <cell r="A184" t="str">
            <v>M1101004</v>
          </cell>
          <cell r="B184" t="str">
            <v>CICLOSERINA--COMPRIMIDOS-250 MG</v>
          </cell>
          <cell r="C184">
            <v>0</v>
          </cell>
        </row>
        <row r="185">
          <cell r="A185" t="str">
            <v>M1101080</v>
          </cell>
          <cell r="B185" t="str">
            <v>CICLOSERINA-UNIDAD-COMPRIMIDO-250 MG</v>
          </cell>
          <cell r="C185">
            <v>0</v>
          </cell>
        </row>
        <row r="186">
          <cell r="A186" t="str">
            <v>M3201019</v>
          </cell>
          <cell r="B186" t="str">
            <v>CICLOSPORINA--CAPSULAS-50 MG</v>
          </cell>
          <cell r="C186">
            <v>50</v>
          </cell>
        </row>
        <row r="187">
          <cell r="A187" t="str">
            <v>M3201020</v>
          </cell>
          <cell r="B187" t="str">
            <v>CICLOSPORINA--CAPSULAS-100 MG</v>
          </cell>
          <cell r="C187">
            <v>0</v>
          </cell>
        </row>
        <row r="188">
          <cell r="A188" t="str">
            <v>M3201002</v>
          </cell>
          <cell r="B188" t="str">
            <v>CICLOSPORINA-50 ML-SOLUCION-100MG/ML -</v>
          </cell>
          <cell r="C188">
            <v>0</v>
          </cell>
        </row>
        <row r="189">
          <cell r="A189" t="str">
            <v>M2601099</v>
          </cell>
          <cell r="B189" t="str">
            <v>CILOSTAZOL--COMPRIMIDOS-100 MG</v>
          </cell>
          <cell r="C189">
            <v>4300</v>
          </cell>
        </row>
        <row r="190">
          <cell r="A190" t="str">
            <v>M2601043</v>
          </cell>
          <cell r="B190" t="str">
            <v>CILOSTAZOL--COMPRIMIDOS-50 MG</v>
          </cell>
          <cell r="C190">
            <v>200</v>
          </cell>
        </row>
        <row r="191">
          <cell r="A191" t="str">
            <v>M3629166</v>
          </cell>
          <cell r="B191" t="str">
            <v>CINACALCET--COMPRIMIDO-30 MG</v>
          </cell>
          <cell r="C191">
            <v>0</v>
          </cell>
        </row>
        <row r="192">
          <cell r="A192" t="str">
            <v>YH404401</v>
          </cell>
          <cell r="B192" t="str">
            <v>CINTA TESTIGO DE PEROXIDO-ROLLO--</v>
          </cell>
          <cell r="C192">
            <v>0</v>
          </cell>
        </row>
        <row r="193">
          <cell r="A193" t="str">
            <v>M1101006</v>
          </cell>
          <cell r="B193" t="str">
            <v>CIPROFLOXACINA--COMPRIMIDO-500 MG</v>
          </cell>
          <cell r="C193">
            <v>9000</v>
          </cell>
        </row>
        <row r="194">
          <cell r="A194" t="str">
            <v>M1101034</v>
          </cell>
          <cell r="B194" t="str">
            <v>CIPROFLOXACINA-SACHET-SOLUCIÃ“N INYECTABLE-200MG - 100 ML</v>
          </cell>
          <cell r="C194">
            <v>400</v>
          </cell>
        </row>
        <row r="195">
          <cell r="A195" t="str">
            <v>M2709178</v>
          </cell>
          <cell r="B195" t="str">
            <v>CIPROFLOXACINA+HIDROCORTISONA-UNIDAD-FORMA FARMACEUTICA GOTAS OTICAS-GOTERO X 5 ML - TIPO ASOCIACION</v>
          </cell>
          <cell r="C195">
            <v>0</v>
          </cell>
        </row>
        <row r="196">
          <cell r="A196" t="str">
            <v>M4001112</v>
          </cell>
          <cell r="B196" t="str">
            <v>CIPROFLOXACINA-DEXAMETASONA-5 ML-COLIRIO-0,3%-0,1%</v>
          </cell>
          <cell r="C196">
            <v>96</v>
          </cell>
        </row>
        <row r="197">
          <cell r="A197" t="str">
            <v>M1109125</v>
          </cell>
          <cell r="B197" t="str">
            <v>CIPROFLOXACINA-HIDROCORTISONA-GOTAS-COLIRIO-200MG-1GR/100ML -5ML</v>
          </cell>
          <cell r="C197">
            <v>0</v>
          </cell>
        </row>
        <row r="198">
          <cell r="A198" t="str">
            <v>M1201015</v>
          </cell>
          <cell r="B198" t="str">
            <v>CITALOPRAM--COMPRIMIDOS-20 MG</v>
          </cell>
          <cell r="C198">
            <v>1826</v>
          </cell>
        </row>
        <row r="199">
          <cell r="A199" t="str">
            <v>M7201016</v>
          </cell>
          <cell r="B199" t="str">
            <v>CITRATO DE CLOMIFENO-UNIDAD-COMPRIMIDO-50 MGRS</v>
          </cell>
          <cell r="C199">
            <v>240</v>
          </cell>
        </row>
        <row r="200">
          <cell r="A200" t="str">
            <v>M0801133</v>
          </cell>
          <cell r="B200" t="str">
            <v>CLARITROMICINA-60 ML-SUSPENCION ORAL-250MG/5ML</v>
          </cell>
          <cell r="C200">
            <v>280</v>
          </cell>
        </row>
        <row r="201">
          <cell r="A201" t="str">
            <v>M0801005</v>
          </cell>
          <cell r="B201" t="str">
            <v>CLARITROMICINA--COMPRIMIDO-500 MG</v>
          </cell>
          <cell r="C201">
            <v>2576</v>
          </cell>
        </row>
        <row r="202">
          <cell r="A202" t="str">
            <v>M0801136</v>
          </cell>
          <cell r="B202" t="str">
            <v>CLARITROMICINA-FRASCO AMPOLLA-INYECTABLE-500 MG</v>
          </cell>
          <cell r="C202">
            <v>1750</v>
          </cell>
        </row>
        <row r="203">
          <cell r="A203" t="str">
            <v>M1101032</v>
          </cell>
          <cell r="B203" t="str">
            <v>CLINDAMICINA--COMPRIMIDOS-600 MG</v>
          </cell>
          <cell r="C203">
            <v>0</v>
          </cell>
        </row>
        <row r="204">
          <cell r="A204" t="str">
            <v>M1109119</v>
          </cell>
          <cell r="B204" t="str">
            <v>CLINDAMICINA--COMPRIMIDO-300 MG</v>
          </cell>
          <cell r="C204">
            <v>8040</v>
          </cell>
        </row>
        <row r="205">
          <cell r="A205" t="str">
            <v>M1109142</v>
          </cell>
          <cell r="B205" t="str">
            <v>CLINDAMICINA-AMPOLLA-INYECTABLE-600MG</v>
          </cell>
          <cell r="C205">
            <v>4900</v>
          </cell>
        </row>
        <row r="206">
          <cell r="A206" t="str">
            <v>M0801144</v>
          </cell>
          <cell r="B206" t="str">
            <v>CLINDAMICINA-16 UNIDADES-CAPSULAS/SOFTGELS-300 MG</v>
          </cell>
          <cell r="C206">
            <v>0</v>
          </cell>
        </row>
        <row r="207">
          <cell r="A207" t="str">
            <v>M1101999</v>
          </cell>
          <cell r="B207" t="str">
            <v>CLINDAMICINA 600 MG-UNIDAD-AMPOLLA-</v>
          </cell>
          <cell r="C207">
            <v>0</v>
          </cell>
        </row>
        <row r="208">
          <cell r="A208" t="str">
            <v>M1201024</v>
          </cell>
          <cell r="B208" t="str">
            <v>CLOBAZAM--COMPRIMIDOS-10 MG</v>
          </cell>
          <cell r="C208">
            <v>0</v>
          </cell>
        </row>
        <row r="209">
          <cell r="A209" t="str">
            <v>M1708149</v>
          </cell>
          <cell r="B209" t="str">
            <v>CLOBETASOL-30 GRS.-CREMA-</v>
          </cell>
          <cell r="C209">
            <v>0</v>
          </cell>
        </row>
        <row r="210">
          <cell r="A210" t="str">
            <v>M1101073</v>
          </cell>
          <cell r="B210" t="str">
            <v>CLOFAZIMINA--COMPRIMIDOS-100 MG</v>
          </cell>
          <cell r="C210">
            <v>0</v>
          </cell>
        </row>
        <row r="211">
          <cell r="A211" t="str">
            <v>M1201028</v>
          </cell>
          <cell r="B211" t="str">
            <v>CLOMIPRAMINA--COMPRIMIDOS-75 MG</v>
          </cell>
          <cell r="C211">
            <v>0</v>
          </cell>
        </row>
        <row r="212">
          <cell r="A212" t="str">
            <v>M1201025</v>
          </cell>
          <cell r="B212" t="str">
            <v>CLOMIPRAMINA--GRAGEAS-25 MG</v>
          </cell>
          <cell r="C212">
            <v>0</v>
          </cell>
        </row>
        <row r="213">
          <cell r="A213" t="str">
            <v>M1201029</v>
          </cell>
          <cell r="B213" t="str">
            <v>CLONAZEPAM--COMPRIMIDOS-0.5 MG</v>
          </cell>
          <cell r="C213">
            <v>4770</v>
          </cell>
        </row>
        <row r="214">
          <cell r="A214" t="str">
            <v>M1201031</v>
          </cell>
          <cell r="B214" t="str">
            <v>CLONAZEPAM--COMPRIMIDOS-2 MG</v>
          </cell>
          <cell r="C214">
            <v>132520</v>
          </cell>
        </row>
        <row r="215">
          <cell r="A215" t="str">
            <v>M2501019</v>
          </cell>
          <cell r="B215" t="str">
            <v>CLONIDINA-AMPOLLA-INYECTABLE-0.150MG - 1 ML</v>
          </cell>
          <cell r="C215">
            <v>0</v>
          </cell>
        </row>
        <row r="216">
          <cell r="A216" t="str">
            <v>M2615123</v>
          </cell>
          <cell r="B216" t="str">
            <v>CLOPIDOGREL--COMPRIMIDOS-75 MG</v>
          </cell>
          <cell r="C216">
            <v>4450</v>
          </cell>
        </row>
        <row r="217">
          <cell r="A217" t="str">
            <v>M2022112</v>
          </cell>
          <cell r="B217" t="str">
            <v>CLORHEXIDINA-500 ML-SOLUCION JABONOSA-4% -</v>
          </cell>
          <cell r="C217">
            <v>315</v>
          </cell>
        </row>
        <row r="218">
          <cell r="A218" t="str">
            <v>M2000046</v>
          </cell>
          <cell r="B218" t="str">
            <v>CLORHEXIDINA -XILITOL-200 ML-COLUTORIO-.12%-10%</v>
          </cell>
          <cell r="C218">
            <v>0</v>
          </cell>
        </row>
        <row r="219">
          <cell r="A219" t="str">
            <v>M2000016</v>
          </cell>
          <cell r="B219" t="str">
            <v>CLORHEXIDINA DIGLUCONATO--SOLUCION-20% (4GR)</v>
          </cell>
          <cell r="C219">
            <v>0</v>
          </cell>
        </row>
        <row r="220">
          <cell r="A220" t="str">
            <v>M2000013</v>
          </cell>
          <cell r="B220" t="str">
            <v>CLORHEXIDINA GLUCONATO-LITRO-SOLUCION JABONOSA-4% -</v>
          </cell>
          <cell r="C220">
            <v>0</v>
          </cell>
        </row>
        <row r="221">
          <cell r="A221" t="str">
            <v>M2000043</v>
          </cell>
          <cell r="B221" t="str">
            <v>CLORHEXIDINA-XILITOL-1000 ML-COLUTORIO-0,12%-10%</v>
          </cell>
          <cell r="C221">
            <v>0</v>
          </cell>
        </row>
        <row r="222">
          <cell r="A222" t="str">
            <v>M2501003</v>
          </cell>
          <cell r="B222" t="str">
            <v>CLORHIDRATO DE LABETALOL-AMPOLLA-INYECTABLE-5MG/ML - 4 ML</v>
          </cell>
          <cell r="C222">
            <v>900</v>
          </cell>
        </row>
        <row r="223">
          <cell r="A223" t="str">
            <v>M1907112</v>
          </cell>
          <cell r="B223" t="str">
            <v>CLOROQUINA 250 MG-COMPRIMIDOS--250 MG</v>
          </cell>
          <cell r="C223">
            <v>0</v>
          </cell>
        </row>
        <row r="224">
          <cell r="A224" t="str">
            <v>M1232122</v>
          </cell>
          <cell r="B224" t="str">
            <v>CLORPROMAZINA-AMPOLLA I.M.-INYECTABLE-0.5% - 5 ML</v>
          </cell>
          <cell r="C224">
            <v>0</v>
          </cell>
        </row>
        <row r="225">
          <cell r="A225" t="str">
            <v>M1232111</v>
          </cell>
          <cell r="B225" t="str">
            <v>CLORPROMAZINA--COMPRIMIDOS-25 MG</v>
          </cell>
          <cell r="C225">
            <v>0</v>
          </cell>
        </row>
        <row r="226">
          <cell r="A226" t="str">
            <v>M1232113</v>
          </cell>
          <cell r="B226" t="str">
            <v>CLORPROMAZINA--COMPRIMIDOS-100 MG</v>
          </cell>
          <cell r="C226">
            <v>6260</v>
          </cell>
        </row>
        <row r="227">
          <cell r="A227" t="str">
            <v>M1232121</v>
          </cell>
          <cell r="B227" t="str">
            <v>CLORPROMAZINA-AMPOLLA I.V. - 2 ML-INYECTABLE-2.5% - 2ML</v>
          </cell>
          <cell r="C227">
            <v>635</v>
          </cell>
        </row>
        <row r="228">
          <cell r="A228" t="str">
            <v>M1225111</v>
          </cell>
          <cell r="B228" t="str">
            <v>CLOTIAPINA--COMPRIMIDOS-40 MG</v>
          </cell>
          <cell r="C228">
            <v>0</v>
          </cell>
        </row>
        <row r="229">
          <cell r="A229" t="str">
            <v>M1229111</v>
          </cell>
          <cell r="B229" t="str">
            <v>CLOZAPINA--COMPRIMIDOS-100 MG</v>
          </cell>
          <cell r="C229">
            <v>14500</v>
          </cell>
        </row>
        <row r="230">
          <cell r="A230" t="str">
            <v>M2101013</v>
          </cell>
          <cell r="B230" t="str">
            <v>CODEINA--JARABE-100MG/100ML - 100 ML</v>
          </cell>
          <cell r="C230">
            <v>0</v>
          </cell>
        </row>
        <row r="231">
          <cell r="A231" t="str">
            <v>M2901033</v>
          </cell>
          <cell r="B231" t="str">
            <v>COLAGENASA-CLORANFENICOL--UNGUENTO-0.6UI-10MG/GR - 30GR</v>
          </cell>
          <cell r="C231">
            <v>0</v>
          </cell>
        </row>
        <row r="232">
          <cell r="A232" t="str">
            <v>M2901037</v>
          </cell>
          <cell r="B232" t="str">
            <v>COLAGENASA-CLORANFENICOL-50 GRS.-UNGUENTO-0.6UI-10MG/GR - 50GR</v>
          </cell>
          <cell r="C232">
            <v>135</v>
          </cell>
        </row>
        <row r="233">
          <cell r="A233" t="str">
            <v>M2901038</v>
          </cell>
          <cell r="B233" t="str">
            <v>COLAGENASA-CLORANFENICOL-15 GRS-UNGUENTO-0.6UI-10MG/GR -</v>
          </cell>
          <cell r="C233">
            <v>74</v>
          </cell>
        </row>
        <row r="234">
          <cell r="A234" t="str">
            <v>M3501002</v>
          </cell>
          <cell r="B234" t="str">
            <v>COLCHICINA--COMPRIMIDOS-1 MG</v>
          </cell>
          <cell r="C234">
            <v>0</v>
          </cell>
        </row>
        <row r="235">
          <cell r="A235" t="str">
            <v>M2601020</v>
          </cell>
          <cell r="B235" t="str">
            <v>COLESTIRAMINA--POLVO ORAL-4 GR</v>
          </cell>
          <cell r="C235">
            <v>120</v>
          </cell>
        </row>
        <row r="236">
          <cell r="A236" t="str">
            <v>M0901111</v>
          </cell>
          <cell r="B236" t="str">
            <v>COLISTINA-FRASCO AMPOLLA-INYECTABLE-100MG</v>
          </cell>
          <cell r="C236">
            <v>2050</v>
          </cell>
        </row>
        <row r="237">
          <cell r="A237" t="str">
            <v>M4601012</v>
          </cell>
          <cell r="B237" t="str">
            <v>COMPLEJO POLIVITAMINICO- 20-FRASCO AMPOLLA-INYECTABLE-</v>
          </cell>
          <cell r="C237">
            <v>0</v>
          </cell>
        </row>
        <row r="238">
          <cell r="A238" t="str">
            <v>M4606121</v>
          </cell>
          <cell r="B238" t="str">
            <v>COMPLEJO VITAMINICO B- 07-AMPOLLA-INYECTABLE-2 ML</v>
          </cell>
          <cell r="C238">
            <v>3996</v>
          </cell>
        </row>
        <row r="239">
          <cell r="A239" t="str">
            <v>M4606112</v>
          </cell>
          <cell r="B239" t="str">
            <v>COMPLEJO VITAMINICO B- 19--COMPRIMIDOS-</v>
          </cell>
          <cell r="C239">
            <v>3950</v>
          </cell>
        </row>
        <row r="240">
          <cell r="A240" t="str">
            <v>M4606123</v>
          </cell>
          <cell r="B240" t="str">
            <v>COMPLEJO VITAMINICO-B1-B6-B12-FRASCO AMPOLLA-INYECTABLE-100MG-200MG-5MG -2ML</v>
          </cell>
          <cell r="C240">
            <v>0</v>
          </cell>
        </row>
        <row r="241">
          <cell r="A241" t="str">
            <v>M3000025</v>
          </cell>
          <cell r="B241" t="str">
            <v>CONCENTRADO DE BICARBONATO--SOLUCION - USO HD-10 LITROS</v>
          </cell>
          <cell r="C241">
            <v>1300</v>
          </cell>
        </row>
        <row r="242">
          <cell r="A242" t="str">
            <v>M3000003</v>
          </cell>
          <cell r="B242" t="str">
            <v>CONCENTRADO P/HEMODIALISIS--SOLUCION-10 LTS</v>
          </cell>
          <cell r="C242">
            <v>710</v>
          </cell>
        </row>
        <row r="243">
          <cell r="A243" t="str">
            <v>I0109004</v>
          </cell>
          <cell r="B243" t="str">
            <v>CONECTOR DE ALTA PRESION P/JERINGA PRELLENADA-UNIDAD-P/USO DE ESTUDIOS DE HEMODINAMIA-</v>
          </cell>
          <cell r="C243">
            <v>0</v>
          </cell>
        </row>
        <row r="244">
          <cell r="A244" t="str">
            <v>I0109003</v>
          </cell>
          <cell r="B244" t="str">
            <v>CONECTOR DE BAJA PRESION`P/JERINGA PRELLENADA-UNIDAD-P/USO DE ESTUDIOS DE TOMOGRAFÃA-</v>
          </cell>
          <cell r="C244">
            <v>1400</v>
          </cell>
        </row>
        <row r="245">
          <cell r="A245" t="str">
            <v>I0109001</v>
          </cell>
          <cell r="B245" t="str">
            <v>CONTRASTE P/TAC-JERINGA PRELLENADA 125 CC-ADECUADAS P/LOS INYECTORES-CONCENTRACIÃ“N DE YODO, NO MENOR A 240MG/ML-2 CONECTORES DE BAJA PRESIÃ’N POR JERINGA</v>
          </cell>
          <cell r="C245">
            <v>160</v>
          </cell>
        </row>
        <row r="246">
          <cell r="A246" t="str">
            <v>M1701068</v>
          </cell>
          <cell r="B246" t="str">
            <v>DANTROLENE-FRASCO AMPOLLA-INYECTABLE-20 MG</v>
          </cell>
          <cell r="C246">
            <v>48</v>
          </cell>
        </row>
        <row r="247">
          <cell r="A247" t="str">
            <v>M1101074</v>
          </cell>
          <cell r="B247" t="str">
            <v>DAPSONA--COMPRIMIDOS-100 MG</v>
          </cell>
          <cell r="C247">
            <v>0</v>
          </cell>
        </row>
        <row r="248">
          <cell r="A248" t="str">
            <v>M1109140</v>
          </cell>
          <cell r="B248" t="str">
            <v>DAPTOMICINA--FRASCO-AMPOLLA-500MG.</v>
          </cell>
          <cell r="C248">
            <v>0</v>
          </cell>
        </row>
        <row r="249">
          <cell r="A249" t="str">
            <v>M1109165</v>
          </cell>
          <cell r="B249" t="str">
            <v>DAPTOMICINA-FRASCO AMPOLLA 500 MG--</v>
          </cell>
          <cell r="C249">
            <v>45</v>
          </cell>
        </row>
        <row r="250">
          <cell r="A250" t="str">
            <v>M43R0125</v>
          </cell>
          <cell r="B250" t="str">
            <v>DARUNAVIR/RITONAVIR--COMPRIMIDO-800/100 MG</v>
          </cell>
          <cell r="C250">
            <v>0</v>
          </cell>
        </row>
        <row r="251">
          <cell r="A251" t="str">
            <v>M43R0126</v>
          </cell>
          <cell r="B251" t="str">
            <v>DARUNAVIR/RITONAVIR-600MG-100MG--</v>
          </cell>
          <cell r="C251">
            <v>0</v>
          </cell>
        </row>
        <row r="252">
          <cell r="A252" t="str">
            <v>LIM03025</v>
          </cell>
          <cell r="B252" t="str">
            <v>DESINCRUSTADOR-LITRO-USO MÃQUINA DE HEMODIÃLISIS-</v>
          </cell>
          <cell r="C252">
            <v>0</v>
          </cell>
        </row>
        <row r="253">
          <cell r="A253" t="str">
            <v>BB401003</v>
          </cell>
          <cell r="B253" t="str">
            <v>DESINCRUSTANTE P/TRATAMIENTO DE AGUA-0--</v>
          </cell>
          <cell r="C253">
            <v>0</v>
          </cell>
        </row>
        <row r="254">
          <cell r="A254" t="str">
            <v>M2022256</v>
          </cell>
          <cell r="B254" t="str">
            <v>DESINFECTANTE - PRINCIPIO ACTIVO ACIDO PERACETICO-ENVASE POR 5 LITROS--</v>
          </cell>
          <cell r="C254">
            <v>0</v>
          </cell>
        </row>
        <row r="255">
          <cell r="A255" t="str">
            <v>M3601026</v>
          </cell>
          <cell r="B255" t="str">
            <v>DESMOPRESINA--SPRAY NASAL-0.1MG/ML - 5 ML</v>
          </cell>
          <cell r="C255">
            <v>0</v>
          </cell>
        </row>
        <row r="256">
          <cell r="A256" t="str">
            <v>M3601002</v>
          </cell>
          <cell r="B256" t="str">
            <v>DESMOPRESINA--COMPRIMIDOS-0.1 MG</v>
          </cell>
          <cell r="C256">
            <v>2300</v>
          </cell>
        </row>
        <row r="257">
          <cell r="A257" t="str">
            <v>M3601005</v>
          </cell>
          <cell r="B257" t="str">
            <v>DESMOPRESINA-AMPOLLA-INYECTABLE-4MCG/ML - 1 ML</v>
          </cell>
          <cell r="C257">
            <v>170</v>
          </cell>
        </row>
        <row r="258">
          <cell r="A258" t="str">
            <v>LIM03009</v>
          </cell>
          <cell r="B258" t="str">
            <v>DETERGENTE NO IONICO TRIENZIMATICO O MAYOR-LITRO-DE PH NEUTRO-</v>
          </cell>
          <cell r="C258">
            <v>520</v>
          </cell>
        </row>
        <row r="259">
          <cell r="A259" t="str">
            <v>M2701040</v>
          </cell>
          <cell r="B259" t="str">
            <v>DEXAMETASONA-AMPOLLA-INYECTABLE-4MG/ML - 2 ML</v>
          </cell>
          <cell r="C259">
            <v>0</v>
          </cell>
        </row>
        <row r="260">
          <cell r="A260" t="str">
            <v>M2701020</v>
          </cell>
          <cell r="B260" t="str">
            <v>DEXAMETASONA--COMPRIMIDOS-8 MG</v>
          </cell>
          <cell r="C260">
            <v>0</v>
          </cell>
        </row>
        <row r="261">
          <cell r="A261" t="str">
            <v>M2709187</v>
          </cell>
          <cell r="B261" t="str">
            <v>DEXAMETASONA (COMO FOSFATO SÃ“DICO DE DEXAMETASONA)-AMPOLLA DE 2 ML-SOLUCIÃ“N INYECTABLE-4 MG/ML</v>
          </cell>
          <cell r="C261">
            <v>600</v>
          </cell>
        </row>
        <row r="262">
          <cell r="A262" t="str">
            <v>M1201017</v>
          </cell>
          <cell r="B262" t="str">
            <v>DEXMEDETOMIDINA-FRASCO AMPOLLA-INYECTABLE-100 MCG/ML - 2 ML</v>
          </cell>
          <cell r="C262">
            <v>4300</v>
          </cell>
        </row>
        <row r="263">
          <cell r="A263" t="str">
            <v>M1210111</v>
          </cell>
          <cell r="B263" t="str">
            <v>DIAZEPAM--COMPRIMIDOS-5 MG</v>
          </cell>
          <cell r="C263">
            <v>0</v>
          </cell>
        </row>
        <row r="264">
          <cell r="A264" t="str">
            <v>M1210112</v>
          </cell>
          <cell r="B264" t="str">
            <v>DIAZEPAM--COMPRIMIDOS-10 MG</v>
          </cell>
          <cell r="C264">
            <v>0</v>
          </cell>
        </row>
        <row r="265">
          <cell r="A265" t="str">
            <v>M1210131</v>
          </cell>
          <cell r="B265" t="str">
            <v>DIAZEPAM-AMPOLLA-INYECTABLE-10MG - 2 ML</v>
          </cell>
          <cell r="C265">
            <v>1000</v>
          </cell>
        </row>
        <row r="266">
          <cell r="A266" t="str">
            <v>M1701003</v>
          </cell>
          <cell r="B266" t="str">
            <v>DICLOFENAC--COMPRIMIDOS-75 MG</v>
          </cell>
          <cell r="C266">
            <v>16105</v>
          </cell>
        </row>
        <row r="267">
          <cell r="A267" t="str">
            <v>M1703111</v>
          </cell>
          <cell r="B267" t="str">
            <v>DICLOFENAC--COMPRIMIDOS-50 MG</v>
          </cell>
          <cell r="C267">
            <v>0</v>
          </cell>
        </row>
        <row r="268">
          <cell r="A268" t="str">
            <v>M1703121</v>
          </cell>
          <cell r="B268" t="str">
            <v>DICLOFENAC-AMPOLLA - 3 ML-INYECTABLE-75MG -</v>
          </cell>
          <cell r="C268">
            <v>27800</v>
          </cell>
        </row>
        <row r="269">
          <cell r="A269" t="str">
            <v>M1708158</v>
          </cell>
          <cell r="B269" t="str">
            <v>DICLOFENAC POTASICO-10 UNIDADES-COMPRIMIDOS/PASTILLAS/TABLETAS/GRAGEAS-75 MG</v>
          </cell>
          <cell r="C269">
            <v>8000</v>
          </cell>
        </row>
        <row r="270">
          <cell r="A270" t="str">
            <v>M1708114</v>
          </cell>
          <cell r="B270" t="str">
            <v>DICLOFENAC SODICO-PRIDINOL MESILATO--COMPRIMIDOS-50MG-4MG</v>
          </cell>
          <cell r="C270">
            <v>1320</v>
          </cell>
        </row>
        <row r="271">
          <cell r="A271" t="str">
            <v>M3103161</v>
          </cell>
          <cell r="B271" t="str">
            <v>DIENOGEST 2 MG-COMPRIMIDOS-ORAL-</v>
          </cell>
          <cell r="C271">
            <v>168</v>
          </cell>
        </row>
        <row r="272">
          <cell r="A272" t="str">
            <v>M1601111</v>
          </cell>
          <cell r="B272" t="str">
            <v>DIFENHIDRAMINA--COMPRIMIDOS-50 MG</v>
          </cell>
          <cell r="C272">
            <v>0</v>
          </cell>
        </row>
        <row r="273">
          <cell r="A273" t="str">
            <v>M1601132</v>
          </cell>
          <cell r="B273" t="str">
            <v>DIFENHIDRAMINA-AMPOLLA - 1 ML-INYECTABLE-10MG/ML</v>
          </cell>
          <cell r="C273">
            <v>2000</v>
          </cell>
        </row>
        <row r="274">
          <cell r="A274" t="str">
            <v>M1601010</v>
          </cell>
          <cell r="B274" t="str">
            <v>DIFENHIDRAMINA-100ML-JARABE-250MG</v>
          </cell>
          <cell r="C274">
            <v>139</v>
          </cell>
        </row>
        <row r="275">
          <cell r="A275" t="str">
            <v>M2501022</v>
          </cell>
          <cell r="B275" t="str">
            <v>DIGOXINA-FRASCO AMPOLLA-INYECTABLE-0.5 MG</v>
          </cell>
          <cell r="C275">
            <v>0</v>
          </cell>
        </row>
        <row r="276">
          <cell r="A276" t="str">
            <v>M2511131</v>
          </cell>
          <cell r="B276" t="str">
            <v>DIGOXINA-AMPOLLA-INYECTABLE-0.25 MG</v>
          </cell>
          <cell r="C276">
            <v>100</v>
          </cell>
        </row>
        <row r="277">
          <cell r="A277" t="str">
            <v>M2511111</v>
          </cell>
          <cell r="B277" t="str">
            <v>DIGOXINA--COMPRIMIDO-0.25 MG</v>
          </cell>
          <cell r="C277">
            <v>0</v>
          </cell>
        </row>
        <row r="278">
          <cell r="A278" t="str">
            <v>M2501027</v>
          </cell>
          <cell r="B278" t="str">
            <v>DILTIAZEM-FRASCO AMPOLLA-INYECTABLE-25MG - 5 ML</v>
          </cell>
          <cell r="C278">
            <v>39</v>
          </cell>
        </row>
        <row r="279">
          <cell r="A279" t="str">
            <v>M2505111</v>
          </cell>
          <cell r="B279" t="str">
            <v>DILTIAZEM--COMPRIMIDOS-60 MG</v>
          </cell>
          <cell r="C279">
            <v>1650</v>
          </cell>
        </row>
        <row r="280">
          <cell r="A280" t="str">
            <v>M1201067</v>
          </cell>
          <cell r="B280" t="str">
            <v>DIMENHIDRINATO--COMPRIMIDOS-50 MG</v>
          </cell>
          <cell r="C280">
            <v>0</v>
          </cell>
        </row>
        <row r="281">
          <cell r="A281" t="str">
            <v>M2513111</v>
          </cell>
          <cell r="B281" t="str">
            <v>DINITRATO DE ISOSORBIDE--COMPRIMIDOS-5 MG</v>
          </cell>
          <cell r="C281">
            <v>1215</v>
          </cell>
        </row>
        <row r="282">
          <cell r="A282" t="str">
            <v>M2615141</v>
          </cell>
          <cell r="B282" t="str">
            <v>DIPIRIDAMOL-AMPOLLA-INYECTABLE-10MG - 2 ML</v>
          </cell>
          <cell r="C282">
            <v>0</v>
          </cell>
        </row>
        <row r="283">
          <cell r="A283" t="str">
            <v>M1701063</v>
          </cell>
          <cell r="B283" t="str">
            <v>DIPIRONA-120 ML-JARABE-5GR/100ML</v>
          </cell>
          <cell r="C283">
            <v>40</v>
          </cell>
        </row>
        <row r="284">
          <cell r="A284" t="str">
            <v>M1701082</v>
          </cell>
          <cell r="B284" t="str">
            <v>DIPIRONA-AMPOLLA - 2 ML-INYECTABLE-1GR - 2 ML</v>
          </cell>
          <cell r="C284">
            <v>400</v>
          </cell>
        </row>
        <row r="285">
          <cell r="A285" t="str">
            <v>E2701620</v>
          </cell>
          <cell r="B285" t="str">
            <v>DISPOSITIVO INTRAUTERINO C/LEVONORGESTREL-UNIDAD--</v>
          </cell>
          <cell r="C285">
            <v>0</v>
          </cell>
        </row>
        <row r="286">
          <cell r="A286" t="str">
            <v>M1200134</v>
          </cell>
          <cell r="B286" t="str">
            <v>DIVALPROATO DE SODIO--COMPRIMIDO-500 MG</v>
          </cell>
          <cell r="C286">
            <v>33300</v>
          </cell>
        </row>
        <row r="287">
          <cell r="A287" t="str">
            <v>M1200191</v>
          </cell>
          <cell r="B287" t="str">
            <v>DIVALPROATO DE SODIO--AMPOLLA-250MG</v>
          </cell>
          <cell r="C287">
            <v>0</v>
          </cell>
        </row>
        <row r="288">
          <cell r="A288" t="str">
            <v>M1200135</v>
          </cell>
          <cell r="B288" t="str">
            <v>DIVALPROATO DE SODIO--COMPRIMIDO-250 MG</v>
          </cell>
          <cell r="C288">
            <v>4700</v>
          </cell>
        </row>
        <row r="289">
          <cell r="A289" t="str">
            <v>M2501032</v>
          </cell>
          <cell r="B289" t="str">
            <v>DOBUTAMINA-FRASCO AMPOLLA-INYECTABLE-250MG - 20 ML</v>
          </cell>
          <cell r="C289">
            <v>0</v>
          </cell>
        </row>
        <row r="290">
          <cell r="A290" t="str">
            <v>M43R0124</v>
          </cell>
          <cell r="B290" t="str">
            <v>DOLUTEGRAVIR--COMPRIMIDO-50 MG</v>
          </cell>
          <cell r="C290">
            <v>0</v>
          </cell>
        </row>
        <row r="291">
          <cell r="A291" t="str">
            <v>M43R0140</v>
          </cell>
          <cell r="B291" t="str">
            <v>DOLUTEGRAVIR + LAMIVUDINA/ABACAVIR-UNIDAD-COMPRIMIDOS-50 - 300/600 MG</v>
          </cell>
          <cell r="C291">
            <v>0</v>
          </cell>
        </row>
        <row r="292">
          <cell r="A292" t="str">
            <v>M4219154</v>
          </cell>
          <cell r="B292" t="str">
            <v>DOLUTEGRAVIR / LAMIVUDINA-COMPRIMIDO--50 / 300 MG</v>
          </cell>
          <cell r="C292">
            <v>0</v>
          </cell>
        </row>
        <row r="293">
          <cell r="A293" t="str">
            <v>M43R0139</v>
          </cell>
          <cell r="B293" t="str">
            <v>DOLUTEGRAVIR 50 MG. + EMTRICITABINE 200 MG. + TENOFOVIR ALAFENAMIDE 25 MG.-UNIDAD--X 30 COMPRIMIDOS</v>
          </cell>
          <cell r="C293">
            <v>0</v>
          </cell>
        </row>
        <row r="294">
          <cell r="A294" t="str">
            <v>M3706184</v>
          </cell>
          <cell r="B294" t="str">
            <v>DOLUTEGRAVIR/LAMIVIDUVINA/TENOFOVIR-30 TABLETS-TABLETS-50MG/300MG/300 MG</v>
          </cell>
          <cell r="C294">
            <v>0</v>
          </cell>
        </row>
        <row r="295">
          <cell r="A295" t="str">
            <v>M2501035</v>
          </cell>
          <cell r="B295" t="str">
            <v>DOPAMINA-AMPOLLA-INYECTABLE-200MG - 5 ML</v>
          </cell>
          <cell r="C295">
            <v>1700</v>
          </cell>
        </row>
        <row r="296">
          <cell r="A296" t="str">
            <v>M1001002</v>
          </cell>
          <cell r="B296" t="str">
            <v>DOXICICLINA--COMPRIMIDO-200 MG</v>
          </cell>
          <cell r="C296">
            <v>0</v>
          </cell>
        </row>
        <row r="297">
          <cell r="A297" t="str">
            <v>M1001001</v>
          </cell>
          <cell r="B297" t="str">
            <v>DOXICICLINA--COMPRIMIDO-100 MG</v>
          </cell>
          <cell r="C297">
            <v>0</v>
          </cell>
        </row>
        <row r="298">
          <cell r="A298" t="str">
            <v>M11R6018</v>
          </cell>
          <cell r="B298" t="str">
            <v>EFAVIRENZ--COMPRIMIDO-600 MG</v>
          </cell>
          <cell r="C298">
            <v>0</v>
          </cell>
        </row>
        <row r="299">
          <cell r="A299" t="str">
            <v>M43R0117</v>
          </cell>
          <cell r="B299" t="str">
            <v>EFAVIRENZ-EMTRICITABINA-TENOFOVIR--COMPRIMIDOS-600MG/200MG/300MG</v>
          </cell>
          <cell r="C299">
            <v>0</v>
          </cell>
        </row>
        <row r="300">
          <cell r="A300" t="str">
            <v>M3409046</v>
          </cell>
          <cell r="B300" t="str">
            <v>EMPAGLIFLOZINA-COMPRIMIDO--10 MG</v>
          </cell>
          <cell r="C300">
            <v>1800</v>
          </cell>
        </row>
        <row r="301">
          <cell r="A301" t="str">
            <v>MPROD004</v>
          </cell>
          <cell r="B301" t="str">
            <v>EMPAGLIFLOZINA--COMPRIMIDO-10 MG</v>
          </cell>
          <cell r="C301">
            <v>0</v>
          </cell>
        </row>
        <row r="302">
          <cell r="A302" t="str">
            <v>M1101085</v>
          </cell>
          <cell r="B302" t="str">
            <v>EMTRICITABINA - TENOFOVIR-UNIDAD-COMPRIMIDOS-200MG - 300MG</v>
          </cell>
          <cell r="C302">
            <v>0</v>
          </cell>
        </row>
        <row r="303">
          <cell r="A303" t="str">
            <v>M4219147</v>
          </cell>
          <cell r="B303" t="str">
            <v>EMTRICITABINA -TENOFOVIR ALAFENAMIDAÂ -COMPRIMIDOS--E200 MG -T25 MG</v>
          </cell>
          <cell r="C303">
            <v>0</v>
          </cell>
        </row>
        <row r="304">
          <cell r="A304" t="str">
            <v>M2519111</v>
          </cell>
          <cell r="B304" t="str">
            <v>ENALAPRIL--COMPRIMIDOS-10 MG</v>
          </cell>
          <cell r="C304">
            <v>8340</v>
          </cell>
        </row>
        <row r="305">
          <cell r="A305" t="str">
            <v>M2501142</v>
          </cell>
          <cell r="B305" t="str">
            <v>ENALAPRIL--FRASCO AMPOLLA-2,5MG - 1 ML</v>
          </cell>
          <cell r="C305">
            <v>0</v>
          </cell>
        </row>
        <row r="306">
          <cell r="A306" t="str">
            <v>M2501038</v>
          </cell>
          <cell r="B306" t="str">
            <v>ENALAPRIL-AMPOLLA-INYECTABLE-1.25 MG</v>
          </cell>
          <cell r="C306">
            <v>103</v>
          </cell>
        </row>
        <row r="307">
          <cell r="A307" t="str">
            <v>M2519113</v>
          </cell>
          <cell r="B307" t="str">
            <v>ENALAPRIL--COMPRIMIDOS-2.5 MG</v>
          </cell>
          <cell r="C307">
            <v>0</v>
          </cell>
        </row>
        <row r="308">
          <cell r="A308" t="str">
            <v>M2519112</v>
          </cell>
          <cell r="B308" t="str">
            <v>ENALAPRIL--COMPRIMIDOS-5 MG</v>
          </cell>
          <cell r="C308">
            <v>0</v>
          </cell>
        </row>
        <row r="309">
          <cell r="A309" t="str">
            <v>D0201190</v>
          </cell>
          <cell r="B309" t="str">
            <v>EQUIPO P/ADMINISTRAR SOLUCIONES CARDIOPLEGICAS SANGUINEAS--C/BOLSA DE MEZCLA, ENFRIADOR Y PISTA DE 9MM-</v>
          </cell>
          <cell r="C309">
            <v>30</v>
          </cell>
        </row>
        <row r="310">
          <cell r="A310" t="str">
            <v>M0801121</v>
          </cell>
          <cell r="B310" t="str">
            <v>ERITROMICINA--COMPRIMIDO-500 MG</v>
          </cell>
          <cell r="C310">
            <v>0</v>
          </cell>
        </row>
        <row r="311">
          <cell r="A311" t="str">
            <v>M4014111</v>
          </cell>
          <cell r="B311" t="str">
            <v>ERITROMICINA--CAPSULAS DESCARTABLES-0.5 %</v>
          </cell>
          <cell r="C311">
            <v>700</v>
          </cell>
        </row>
        <row r="312">
          <cell r="A312" t="str">
            <v>M3601029</v>
          </cell>
          <cell r="B312" t="str">
            <v>ERITROPOYETINA-AMPOLLA-INYECTABLE-4.000 U.I.</v>
          </cell>
          <cell r="C312">
            <v>1350</v>
          </cell>
        </row>
        <row r="313">
          <cell r="A313" t="str">
            <v>M3601030</v>
          </cell>
          <cell r="B313" t="str">
            <v>ERITROPOYETINA-AMPOLLA-INYECTABLE-2.000 U.I.</v>
          </cell>
          <cell r="C313">
            <v>200</v>
          </cell>
        </row>
        <row r="314">
          <cell r="A314" t="str">
            <v>M3601032</v>
          </cell>
          <cell r="B314" t="str">
            <v>ERITROPOYETINA-AMPOLLA-INYECTABLE-10.000 U.I.</v>
          </cell>
          <cell r="C314">
            <v>0</v>
          </cell>
        </row>
        <row r="315">
          <cell r="A315" t="str">
            <v>MISON043</v>
          </cell>
          <cell r="B315" t="str">
            <v>ERITROPOYETINA-AMPOLLA-INYECTABLE-40000 UI</v>
          </cell>
          <cell r="C315">
            <v>0</v>
          </cell>
        </row>
        <row r="316">
          <cell r="A316" t="str">
            <v>M0701165</v>
          </cell>
          <cell r="B316" t="str">
            <v>ERTAPENEM-AMPOLLA-INYECTABLE-1 GR</v>
          </cell>
          <cell r="C316">
            <v>100</v>
          </cell>
        </row>
        <row r="317">
          <cell r="A317" t="str">
            <v>M1200157</v>
          </cell>
          <cell r="B317" t="str">
            <v>ESCITALOPRAM--COMPRIMIDOS-10 MG</v>
          </cell>
          <cell r="C317">
            <v>2700</v>
          </cell>
        </row>
        <row r="318">
          <cell r="A318" t="str">
            <v>M12UEP02</v>
          </cell>
          <cell r="B318" t="str">
            <v>ESCITALOPRAM--COMPRIMIDO-15MG</v>
          </cell>
          <cell r="C318">
            <v>0</v>
          </cell>
        </row>
        <row r="319">
          <cell r="A319" t="str">
            <v>M1200193</v>
          </cell>
          <cell r="B319" t="str">
            <v>ESCITALOPRAM--COMPRIMIDO-20 MG</v>
          </cell>
          <cell r="C319">
            <v>0</v>
          </cell>
        </row>
        <row r="320">
          <cell r="A320" t="str">
            <v>M1246401</v>
          </cell>
          <cell r="B320" t="str">
            <v>ESCITALOPRAM 20 MG-UNIDAD-COMPRIMIDO-</v>
          </cell>
          <cell r="C320">
            <v>0</v>
          </cell>
        </row>
        <row r="321">
          <cell r="A321" t="str">
            <v>M4116118</v>
          </cell>
          <cell r="B321" t="str">
            <v>ESCITALOPRAM 20 MG-COMPRIMIDO--</v>
          </cell>
          <cell r="C321">
            <v>0</v>
          </cell>
        </row>
        <row r="322">
          <cell r="A322" t="str">
            <v>M2501040</v>
          </cell>
          <cell r="B322" t="str">
            <v>ESMOLOL-FRASCO AMPOLLA-INYECTABLE-100MG - 10 ML</v>
          </cell>
          <cell r="C322">
            <v>0</v>
          </cell>
        </row>
        <row r="323">
          <cell r="A323" t="str">
            <v>M2534240</v>
          </cell>
          <cell r="B323" t="str">
            <v>ESMOLOL-10 ML-AMPOLLA-2500 MG</v>
          </cell>
          <cell r="C323">
            <v>0</v>
          </cell>
        </row>
        <row r="324">
          <cell r="A324" t="str">
            <v>M3002112</v>
          </cell>
          <cell r="B324" t="str">
            <v>ESPIRONOLACTONA--COMPRIMIDOS-100 MG</v>
          </cell>
          <cell r="C324">
            <v>450</v>
          </cell>
        </row>
        <row r="325">
          <cell r="A325" t="str">
            <v>M3002111</v>
          </cell>
          <cell r="B325" t="str">
            <v>ESPIRONOLACTONA--COMPRIMIDOS-25 MG</v>
          </cell>
          <cell r="C325">
            <v>2400</v>
          </cell>
        </row>
        <row r="326">
          <cell r="A326" t="str">
            <v>M3002115</v>
          </cell>
          <cell r="B326" t="str">
            <v>ESPIRONOLACTONA--COMPRIMIDOS-50MG</v>
          </cell>
          <cell r="C326">
            <v>0</v>
          </cell>
        </row>
        <row r="327">
          <cell r="A327" t="str">
            <v>I0108003</v>
          </cell>
          <cell r="B327" t="str">
            <v>ESTERES ETILICOS DE ACIDOS GRASOS IODADOS DEL ACEITE DE ADORMIDERA-AMPOLLA-ULTRAFLUIDO-48% P/V IODO</v>
          </cell>
          <cell r="C327">
            <v>2</v>
          </cell>
        </row>
        <row r="328">
          <cell r="A328" t="str">
            <v>M3629126</v>
          </cell>
          <cell r="B328" t="str">
            <v>ESTRADIOL-UNIDAD-CAPSULAS/COMPRIMIDOS-2 MG</v>
          </cell>
          <cell r="C328">
            <v>0</v>
          </cell>
        </row>
        <row r="329">
          <cell r="A329" t="str">
            <v>M3103147</v>
          </cell>
          <cell r="B329" t="str">
            <v>ESTRADIOL-UNIDAD-GEL-80 GRS.</v>
          </cell>
          <cell r="C329">
            <v>0</v>
          </cell>
        </row>
        <row r="330">
          <cell r="A330" t="str">
            <v>M0602111</v>
          </cell>
          <cell r="B330" t="str">
            <v>ESTREPTOMICINA SULFATO-AMPOLLA-INYECTABLE-1 GR</v>
          </cell>
          <cell r="C330">
            <v>0</v>
          </cell>
        </row>
        <row r="331">
          <cell r="A331" t="str">
            <v>M2601033</v>
          </cell>
          <cell r="B331" t="str">
            <v>ESTREPTOQUINASA-AMPOLLA-INYECTABLE-1.500.000 U.I.</v>
          </cell>
          <cell r="C331">
            <v>44</v>
          </cell>
        </row>
        <row r="332">
          <cell r="A332" t="str">
            <v>M0908111</v>
          </cell>
          <cell r="B332" t="str">
            <v>ETAMBUTOL--COMPRIMIDOS-400 MG</v>
          </cell>
          <cell r="C332">
            <v>0</v>
          </cell>
        </row>
        <row r="333">
          <cell r="A333" t="str">
            <v>LA199046</v>
          </cell>
          <cell r="B333" t="str">
            <v>ETER ETILICO---ML</v>
          </cell>
          <cell r="C333">
            <v>0</v>
          </cell>
        </row>
        <row r="334">
          <cell r="A334" t="str">
            <v>M2517121</v>
          </cell>
          <cell r="B334" t="str">
            <v>ETILEFRINA-AMPOLLA-INYECTABLE-10MG - 1 ML</v>
          </cell>
          <cell r="C334">
            <v>0</v>
          </cell>
        </row>
        <row r="335">
          <cell r="A335" t="str">
            <v>M1101081</v>
          </cell>
          <cell r="B335" t="str">
            <v>ETIONAMIDA-UNIDAD-COMPRIMIDO-250 MG</v>
          </cell>
          <cell r="C335">
            <v>0</v>
          </cell>
        </row>
        <row r="336">
          <cell r="A336" t="str">
            <v>M1246400</v>
          </cell>
          <cell r="B336" t="str">
            <v>ETOMIDATO-AMPOLLA X 10 ML-INYECTABLE 2MG/ML-</v>
          </cell>
          <cell r="C336">
            <v>0</v>
          </cell>
        </row>
        <row r="337">
          <cell r="A337" t="str">
            <v>M36R0103</v>
          </cell>
          <cell r="B337" t="str">
            <v>ETONOGESTREL--IMPLANTE SUBDÃ‰RMICO-68MG</v>
          </cell>
          <cell r="C337">
            <v>0</v>
          </cell>
        </row>
        <row r="338">
          <cell r="A338" t="str">
            <v>M3103162</v>
          </cell>
          <cell r="B338" t="str">
            <v>ETONOGESTREL-UNIDAD--68 MG</v>
          </cell>
          <cell r="C338">
            <v>0</v>
          </cell>
        </row>
        <row r="339">
          <cell r="A339" t="str">
            <v>M1201161</v>
          </cell>
          <cell r="B339" t="str">
            <v>ETOSUXIMIDA--COMPRIMIDOS-250 MG</v>
          </cell>
          <cell r="C339">
            <v>300</v>
          </cell>
        </row>
        <row r="340">
          <cell r="A340" t="str">
            <v>M43R0120</v>
          </cell>
          <cell r="B340" t="str">
            <v>ETRAVIRINA--COMPRIMIDO-200 MG</v>
          </cell>
          <cell r="C340">
            <v>0</v>
          </cell>
        </row>
        <row r="341">
          <cell r="A341" t="str">
            <v>M43R0108</v>
          </cell>
          <cell r="B341" t="str">
            <v>ETRAVIRINA--100 MG-COMPRIMIDOS</v>
          </cell>
          <cell r="C341">
            <v>0</v>
          </cell>
        </row>
        <row r="342">
          <cell r="A342" t="str">
            <v>M2310150</v>
          </cell>
          <cell r="B342" t="str">
            <v>EZETIMIBA--COMPRIMIDO-10 MG</v>
          </cell>
          <cell r="C342">
            <v>0</v>
          </cell>
        </row>
        <row r="343">
          <cell r="A343" t="str">
            <v>M2601040</v>
          </cell>
          <cell r="B343" t="str">
            <v>EZETIMIBE--COMPRIMIDOS-10 MG</v>
          </cell>
          <cell r="C343">
            <v>0</v>
          </cell>
        </row>
        <row r="344">
          <cell r="A344" t="str">
            <v>M2614111</v>
          </cell>
          <cell r="B344" t="str">
            <v>FACTOR VIII--FCO. AMPOLLA (LIOF.)-250 U.I.</v>
          </cell>
          <cell r="C344">
            <v>0</v>
          </cell>
        </row>
        <row r="345">
          <cell r="A345" t="str">
            <v>M2615206</v>
          </cell>
          <cell r="B345" t="str">
            <v>FACTOR VIII CONC. ANTIHEMOFILICO HUMANO-FRASCO AMPOLLA-INYECTABLE-500 UI</v>
          </cell>
          <cell r="C345">
            <v>0</v>
          </cell>
        </row>
        <row r="346">
          <cell r="A346" t="str">
            <v>M2615207</v>
          </cell>
          <cell r="B346" t="str">
            <v>FACTOR VIII CONC. ANTIHEMOFILICO HUMANO-FRASCO AMPOLLA-INYECTABLE-1000 UI</v>
          </cell>
          <cell r="C346">
            <v>0</v>
          </cell>
        </row>
        <row r="347">
          <cell r="A347" t="str">
            <v>M2501098</v>
          </cell>
          <cell r="B347" t="str">
            <v>FENILEFRINA-AMPOLLA-INYECTABLE-10MG - 1 ML</v>
          </cell>
          <cell r="C347">
            <v>0</v>
          </cell>
        </row>
        <row r="348">
          <cell r="A348" t="str">
            <v>M4001014</v>
          </cell>
          <cell r="B348" t="str">
            <v>FENILEFRINA-TROPICAMIDA--GOTAS-5%-0.5% - 5 ML</v>
          </cell>
          <cell r="C348">
            <v>117</v>
          </cell>
        </row>
        <row r="349">
          <cell r="A349" t="str">
            <v>M1201055</v>
          </cell>
          <cell r="B349" t="str">
            <v>FENITOINA (DIFENILHIDANTOINA)--COMPRIMIDOS-10 MG</v>
          </cell>
          <cell r="C349">
            <v>0</v>
          </cell>
        </row>
        <row r="350">
          <cell r="A350" t="str">
            <v>M1201059</v>
          </cell>
          <cell r="B350" t="str">
            <v>FENITOINA (DIFENILHIDANTOINA)-AMPOLLA-INYECTABLE-100MG - 2 ML</v>
          </cell>
          <cell r="C350">
            <v>1500</v>
          </cell>
        </row>
        <row r="351">
          <cell r="A351" t="str">
            <v>M1201056</v>
          </cell>
          <cell r="B351" t="str">
            <v>FENITOINA (DIFENILHIDANTOINA)--COMPRIMIDOS/CÃPSULAS-100 MG</v>
          </cell>
          <cell r="C351">
            <v>15770</v>
          </cell>
        </row>
        <row r="352">
          <cell r="A352" t="str">
            <v>M1201053</v>
          </cell>
          <cell r="B352" t="str">
            <v>FENITOINA CALCICA (DIFENILHIDANTOINA)--COMPRIMIDOS-100 MG</v>
          </cell>
          <cell r="C352">
            <v>0</v>
          </cell>
        </row>
        <row r="353">
          <cell r="A353" t="str">
            <v>M1208121</v>
          </cell>
          <cell r="B353" t="str">
            <v>FENOBARBITAL-AMPOLLA-INYECTABLE-100MG - 2 ML</v>
          </cell>
          <cell r="C353">
            <v>0</v>
          </cell>
        </row>
        <row r="354">
          <cell r="A354" t="str">
            <v>M1208111</v>
          </cell>
          <cell r="B354" t="str">
            <v>FENOBARBITAL--COMPRIMIDOS-100 MG</v>
          </cell>
          <cell r="C354">
            <v>9000</v>
          </cell>
        </row>
        <row r="355">
          <cell r="A355" t="str">
            <v>M2601024</v>
          </cell>
          <cell r="B355" t="str">
            <v>FENOFIBRATO--CAPSULA-200 MG</v>
          </cell>
          <cell r="C355">
            <v>0</v>
          </cell>
        </row>
        <row r="356">
          <cell r="A356" t="str">
            <v>M0216124</v>
          </cell>
          <cell r="B356" t="str">
            <v>FENTANILO CITRATO-AMPOLLA-INYECTABLE-50MCG/ML - 5 ML</v>
          </cell>
          <cell r="C356">
            <v>12000</v>
          </cell>
        </row>
        <row r="357">
          <cell r="A357" t="str">
            <v>M3253111</v>
          </cell>
          <cell r="B357" t="str">
            <v>FILGRASTIM-FRASCO AMPOLLA-INYECTABLE-30.000.000 U.I - 1ML</v>
          </cell>
          <cell r="C357">
            <v>0</v>
          </cell>
        </row>
        <row r="358">
          <cell r="A358" t="str">
            <v>E8401147</v>
          </cell>
          <cell r="B358" t="str">
            <v>FILTRO P/MASCARA PROTECTORA DE OXIDO DE ETILENO---</v>
          </cell>
          <cell r="C358">
            <v>0</v>
          </cell>
        </row>
        <row r="359">
          <cell r="A359" t="str">
            <v>M1801024</v>
          </cell>
          <cell r="B359" t="str">
            <v>FLUCONAZOL--SOLUCION INYECTABLE (ENVASE PLASTICO)-200MG - 100ML</v>
          </cell>
          <cell r="C359">
            <v>150</v>
          </cell>
        </row>
        <row r="360">
          <cell r="A360" t="str">
            <v>M1805112</v>
          </cell>
          <cell r="B360" t="str">
            <v>FLUCONAZOL--COMPRIMIDOS-100 MG</v>
          </cell>
          <cell r="C360">
            <v>6000</v>
          </cell>
        </row>
        <row r="361">
          <cell r="A361" t="str">
            <v>M1801005</v>
          </cell>
          <cell r="B361" t="str">
            <v>FLUCONAZOL--COMPRIMIDOS-150 MG</v>
          </cell>
          <cell r="C361">
            <v>500</v>
          </cell>
        </row>
        <row r="362">
          <cell r="A362" t="str">
            <v>M1801006</v>
          </cell>
          <cell r="B362" t="str">
            <v>FLUCONAZOL--COMPRIMIDOS-200 MG</v>
          </cell>
          <cell r="C362">
            <v>2000</v>
          </cell>
        </row>
        <row r="363">
          <cell r="A363" t="str">
            <v>M2701022</v>
          </cell>
          <cell r="B363" t="str">
            <v>FLUDROCORTISONA--COMPRIMIDOS-0.1 MG</v>
          </cell>
          <cell r="C363">
            <v>1100</v>
          </cell>
        </row>
        <row r="364">
          <cell r="A364" t="str">
            <v>M3801011</v>
          </cell>
          <cell r="B364" t="str">
            <v>FLUMAZENIL-AMPOLLA-INYECTABLE-0.5MG - 5 ML</v>
          </cell>
          <cell r="C364">
            <v>250</v>
          </cell>
        </row>
        <row r="365">
          <cell r="A365" t="str">
            <v>M4023155</v>
          </cell>
          <cell r="B365" t="str">
            <v>FLUORESCEINA--COLIRIO-0.25%</v>
          </cell>
          <cell r="C365">
            <v>0</v>
          </cell>
        </row>
        <row r="366">
          <cell r="A366" t="str">
            <v>M1201075</v>
          </cell>
          <cell r="B366" t="str">
            <v>FLUOXETINA--COMPRIMIDOS-20 MG</v>
          </cell>
          <cell r="C366">
            <v>19305</v>
          </cell>
        </row>
        <row r="367">
          <cell r="A367" t="str">
            <v>M1708144</v>
          </cell>
          <cell r="B367" t="str">
            <v>FLUTICASONA--SPRAY NASAL-50 MCG</v>
          </cell>
          <cell r="C367">
            <v>0</v>
          </cell>
        </row>
        <row r="368">
          <cell r="A368" t="str">
            <v>M2434155</v>
          </cell>
          <cell r="B368" t="str">
            <v>FLUTICASONA+SALMETEROL-60 DOSIS-CAPSULAS PARA INHALAR+APLICADOR-250/50 MCG/DOSIS</v>
          </cell>
          <cell r="C368">
            <v>0</v>
          </cell>
        </row>
        <row r="369">
          <cell r="A369" t="str">
            <v>M4219137</v>
          </cell>
          <cell r="B369" t="str">
            <v>FOSCARNET-BOLSA X 500 ML-BOLSA SOLUCIÃ“N-500 ML</v>
          </cell>
          <cell r="C369">
            <v>0</v>
          </cell>
        </row>
        <row r="370">
          <cell r="A370" t="str">
            <v>M4219126</v>
          </cell>
          <cell r="B370" t="str">
            <v>FOSCARNET SODICO-SOLUCIÃ“N X 500 ML.-BOLSA-2.4G/100ML.</v>
          </cell>
          <cell r="C370">
            <v>0</v>
          </cell>
        </row>
        <row r="371">
          <cell r="A371" t="str">
            <v>KC204005</v>
          </cell>
          <cell r="B371" t="str">
            <v>FOSFATO DE POTASIO MONOBASICO---GR</v>
          </cell>
          <cell r="C371">
            <v>0</v>
          </cell>
        </row>
        <row r="372">
          <cell r="A372" t="str">
            <v>KD204004</v>
          </cell>
          <cell r="B372" t="str">
            <v>FOSFATO DISODICO ANHIDRO---GR</v>
          </cell>
          <cell r="C372">
            <v>0</v>
          </cell>
        </row>
        <row r="373">
          <cell r="A373" t="str">
            <v>M2301051</v>
          </cell>
          <cell r="B373" t="str">
            <v>FOSFATO MONOSODICO-FOSFATO DISODICO--SOLUCION ORAL-48GR-18GR/100ML-45ML</v>
          </cell>
          <cell r="C373">
            <v>904</v>
          </cell>
        </row>
        <row r="374">
          <cell r="A374" t="str">
            <v>M2304111</v>
          </cell>
          <cell r="B374" t="str">
            <v>FOSFATO MONOSODICO-FOSFATO DISODICO--SOLUCION-18-8GR/100 ML-135ML</v>
          </cell>
          <cell r="C374">
            <v>150</v>
          </cell>
        </row>
        <row r="375">
          <cell r="A375" t="str">
            <v>M1104111</v>
          </cell>
          <cell r="B375" t="str">
            <v>FOSFOMICINA--FCO. AMPOLLA I.V.-1 GR</v>
          </cell>
          <cell r="C375">
            <v>2850</v>
          </cell>
        </row>
        <row r="376">
          <cell r="A376" t="str">
            <v>M1109171</v>
          </cell>
          <cell r="B376" t="str">
            <v>FOSFOMICINA-SOBRE GRANULADO PARA SOLUCIÃ“N ORAL X 3-POLVO PARA FORMULACION ORAL-</v>
          </cell>
          <cell r="C376">
            <v>30</v>
          </cell>
        </row>
        <row r="377">
          <cell r="A377" t="str">
            <v>D4111128</v>
          </cell>
          <cell r="B377" t="str">
            <v>FRASCO DE PLASTICO-NO DA TRÃNSITO A RAYOS LULMINOSOS-OPACO-TAPA A ROSCA-250 ML.</v>
          </cell>
          <cell r="C377">
            <v>20</v>
          </cell>
        </row>
        <row r="378">
          <cell r="A378" t="str">
            <v>B7003114</v>
          </cell>
          <cell r="B378" t="str">
            <v>FRASCO DESPACHO C/TAPA A ROSCA--PLASTICO OPACO-100 ML</v>
          </cell>
          <cell r="C378">
            <v>100</v>
          </cell>
        </row>
        <row r="379">
          <cell r="A379" t="str">
            <v>GZ799509</v>
          </cell>
          <cell r="B379" t="str">
            <v>FRASCO GOTERO-UNIDAD-PLASTICO TAPA A ROSCA-20 ML.</v>
          </cell>
          <cell r="C379">
            <v>650</v>
          </cell>
        </row>
        <row r="380">
          <cell r="A380" t="str">
            <v>M3001122</v>
          </cell>
          <cell r="B380" t="str">
            <v>FUROSEMIDA--AMPOLLAS-20MG - 2 ML</v>
          </cell>
          <cell r="C380">
            <v>2500</v>
          </cell>
        </row>
        <row r="381">
          <cell r="A381" t="str">
            <v>M2534251</v>
          </cell>
          <cell r="B381" t="str">
            <v>FUROSEMIDA-AMPOLLA DE 2 ML-SOLUCIÃ“N INYECTABLE-10 MG/ML</v>
          </cell>
          <cell r="C381">
            <v>1800</v>
          </cell>
        </row>
        <row r="382">
          <cell r="A382" t="str">
            <v>M3001111</v>
          </cell>
          <cell r="B382" t="str">
            <v>FUROSEMIDA--COMPRIMIDOS-40 MG</v>
          </cell>
          <cell r="C382">
            <v>2000</v>
          </cell>
        </row>
        <row r="383">
          <cell r="A383" t="str">
            <v>M3000014</v>
          </cell>
          <cell r="B383" t="str">
            <v>FUROSEMIDA--COMPRIMIDOS-20 MG</v>
          </cell>
          <cell r="C383">
            <v>0</v>
          </cell>
        </row>
        <row r="384">
          <cell r="A384" t="str">
            <v>M5003011</v>
          </cell>
          <cell r="B384" t="str">
            <v>FÃ“RMULA EN POLVO-350 GRS. SABOR VAINILLA/NEUTRO-LATA-HIPERCALÃ“RICO.HIPERPROTEICO-1.5CAL/ML</v>
          </cell>
          <cell r="C384">
            <v>588</v>
          </cell>
        </row>
        <row r="385">
          <cell r="A385" t="str">
            <v>M5003012</v>
          </cell>
          <cell r="B385" t="str">
            <v>FÃ“RMULA EN POLVO-700GR.SABOR NEUTRO.LATA-UNIDAD-HIPERCALÃ“RICO-HIPERPROTEICO-1.5CAL/ML</v>
          </cell>
          <cell r="C385">
            <v>0</v>
          </cell>
        </row>
        <row r="386">
          <cell r="A386" t="str">
            <v>M5003007</v>
          </cell>
          <cell r="B386" t="str">
            <v>FÃ“RMULA EN POLVO - NORMOCALORICA-NORMOPROTEICA - CON FIBRAS--350 GRS. LATA-SABOR VAINILLA/NEUTRO -PARA HIPERGLUCEMIA/DIABETES-1 CAL/ML</v>
          </cell>
          <cell r="C386">
            <v>176</v>
          </cell>
        </row>
        <row r="387">
          <cell r="A387" t="str">
            <v>M5003001</v>
          </cell>
          <cell r="B387" t="str">
            <v>FÃ“RMULA EN POLVO-NUTRICIONALMENTE COMPLETA - SIN FIBRA-325/460 GRS. LATA-VARIOS SABORES/NEUTRO-1 CAL/ML</v>
          </cell>
          <cell r="C387">
            <v>60</v>
          </cell>
        </row>
        <row r="388">
          <cell r="A388" t="str">
            <v>M5004012</v>
          </cell>
          <cell r="B388" t="str">
            <v>FÃ“RMULA ENTERAL LISTA P/USAR - HIPERCALORICA-HIPERPROTEICA-PROTEINA HIDROLIZADA- SIN FIBRA--1000 ML-TAURINA, CARNITINA, ARGININA-1.3 CAL/ML</v>
          </cell>
          <cell r="C388">
            <v>0</v>
          </cell>
        </row>
        <row r="389">
          <cell r="A389" t="str">
            <v>M5004011</v>
          </cell>
          <cell r="B389" t="str">
            <v>FÃ“RMULA ENTERAL LISTA P/USAR HIPERCALORICA-HIPERPROTEICA-PROTEINA HIDROLIZADA- SIN FIBRA--500 ML-ESPECÃFICA P/PACIENTES ESTRESADOS/ALTO-RENDIMIENTO PROTEICO - EPA- 1.3 CAL/ML</v>
          </cell>
          <cell r="C389">
            <v>7988</v>
          </cell>
        </row>
        <row r="390">
          <cell r="A390" t="str">
            <v>M5004007</v>
          </cell>
          <cell r="B390" t="str">
            <v>FÃ“RMULA ENTERAL LISTA P/USAR HIPERCALORICA-NORMOPROTEICA-500 ML-PROTEINA ENTERA- SIN FIBRAS-1.5 CAL/ML</v>
          </cell>
          <cell r="C390">
            <v>2250</v>
          </cell>
        </row>
        <row r="391">
          <cell r="A391" t="str">
            <v>M5004001</v>
          </cell>
          <cell r="B391" t="str">
            <v>FÃ“RMULA ENTERAL LISTA P/USAR NORMOCALORICA-NORMOPROTEICA-1000 ML-PROTEÃNA ENTERA- SIN FIBRAS-1 CAL/ML</v>
          </cell>
          <cell r="C391">
            <v>15000</v>
          </cell>
        </row>
        <row r="392">
          <cell r="A392" t="str">
            <v>M1201199</v>
          </cell>
          <cell r="B392" t="str">
            <v>GABAPENTIN--COMPRIMIDOS-600 MGRS</v>
          </cell>
          <cell r="C392">
            <v>0</v>
          </cell>
        </row>
        <row r="393">
          <cell r="A393" t="str">
            <v>M1246399</v>
          </cell>
          <cell r="B393" t="str">
            <v>GABAPENTIN 100 MG-COMPRIMIDO--</v>
          </cell>
          <cell r="C393">
            <v>0</v>
          </cell>
        </row>
        <row r="394">
          <cell r="A394" t="str">
            <v>M1201077</v>
          </cell>
          <cell r="B394" t="str">
            <v>GABAPENTIN 300 MG-COMPRIMIDO-FORMA FARMACÃ‰UTICA COMPRIMIDO-</v>
          </cell>
          <cell r="C394">
            <v>9000</v>
          </cell>
        </row>
        <row r="395">
          <cell r="A395" t="str">
            <v>M3705112</v>
          </cell>
          <cell r="B395" t="str">
            <v>GAMMAGLOBULINA ANTI RH (D)-AMPOLLAS-INYECTABLE-330 MCG</v>
          </cell>
          <cell r="C395">
            <v>0</v>
          </cell>
        </row>
        <row r="396">
          <cell r="A396" t="str">
            <v>M3701026</v>
          </cell>
          <cell r="B396" t="str">
            <v>GAMMAGLOBULINA ANTI RH (D)-AMPOLLA-INYECTABLE-250 MCG</v>
          </cell>
          <cell r="C396">
            <v>0</v>
          </cell>
        </row>
        <row r="397">
          <cell r="A397" t="str">
            <v>M3701019</v>
          </cell>
          <cell r="B397" t="str">
            <v>GAMMAGLOBULINA HUMANA (IGG)--FCO. AMPOLLA I.V.-10.000MG - 200 ML</v>
          </cell>
          <cell r="C397">
            <v>0</v>
          </cell>
        </row>
        <row r="398">
          <cell r="A398" t="str">
            <v>M3704113</v>
          </cell>
          <cell r="B398" t="str">
            <v>GAMMAGLOBULINA HUMANA (IGG)--FCO. AMPOLLA I.V.-2.5GR - 50 ML</v>
          </cell>
          <cell r="C398">
            <v>0</v>
          </cell>
        </row>
        <row r="399">
          <cell r="A399" t="str">
            <v>M3701018</v>
          </cell>
          <cell r="B399" t="str">
            <v>GAMMAGLOBULINA HUMANA (IGG)-FCO. AMPOLLA I.V.-INYECTABLE-5.000MG - 100 ML</v>
          </cell>
          <cell r="C399">
            <v>0</v>
          </cell>
        </row>
        <row r="400">
          <cell r="A400" t="str">
            <v>M4201011</v>
          </cell>
          <cell r="B400" t="str">
            <v>GANCICLOVIR--FCO. AMPOLLA-500 MG</v>
          </cell>
          <cell r="C400">
            <v>75</v>
          </cell>
        </row>
        <row r="401">
          <cell r="A401" t="str">
            <v>D0804113</v>
          </cell>
          <cell r="B401" t="str">
            <v>GASA HIDROFILA-UNIDAD--POR PIEZA</v>
          </cell>
          <cell r="C401">
            <v>9</v>
          </cell>
        </row>
        <row r="402">
          <cell r="A402" t="str">
            <v>I0302010</v>
          </cell>
          <cell r="B402" t="str">
            <v>GEL-3 KILOS - UNIDAD-P/ECOGRAFÃA-KG</v>
          </cell>
          <cell r="C402">
            <v>0</v>
          </cell>
        </row>
        <row r="403">
          <cell r="A403" t="str">
            <v>D1901134</v>
          </cell>
          <cell r="B403" t="str">
            <v>GEL P/ECOGRAFIA---KG</v>
          </cell>
          <cell r="C403">
            <v>0</v>
          </cell>
        </row>
        <row r="404">
          <cell r="A404" t="str">
            <v>I0302004</v>
          </cell>
          <cell r="B404" t="str">
            <v>GEL P/ECOGRAFIA-5 LITROS-BIDON-</v>
          </cell>
          <cell r="C404">
            <v>50</v>
          </cell>
        </row>
        <row r="405">
          <cell r="A405" t="str">
            <v>M0604214</v>
          </cell>
          <cell r="B405" t="str">
            <v>GENTAMICINA SULFATO--AMPOLLAS-80 MG</v>
          </cell>
          <cell r="C405">
            <v>0</v>
          </cell>
        </row>
        <row r="406">
          <cell r="A406" t="str">
            <v>M0603114</v>
          </cell>
          <cell r="B406" t="str">
            <v>GENTAMICINA SULFATO-INYECTABLE-AMPOLLA-80MG/ EN 2ML -</v>
          </cell>
          <cell r="C406">
            <v>500</v>
          </cell>
        </row>
        <row r="407">
          <cell r="A407" t="str">
            <v>M3401111</v>
          </cell>
          <cell r="B407" t="str">
            <v>GLIBENCLAMIDA--COMPRIMIDOS-5 MG</v>
          </cell>
          <cell r="C407">
            <v>0</v>
          </cell>
        </row>
        <row r="408">
          <cell r="A408" t="str">
            <v>GZ313414</v>
          </cell>
          <cell r="B408" t="str">
            <v>GLICERINA---LITRO</v>
          </cell>
          <cell r="C408">
            <v>0</v>
          </cell>
        </row>
        <row r="409">
          <cell r="A409" t="str">
            <v>M4402111</v>
          </cell>
          <cell r="B409" t="str">
            <v>GLUCAGON--FCO. AMPOLLA-1 MG</v>
          </cell>
          <cell r="C409">
            <v>0</v>
          </cell>
        </row>
        <row r="410">
          <cell r="A410" t="str">
            <v>M3318146</v>
          </cell>
          <cell r="B410" t="str">
            <v>GLUCONATO DE POTASIO-FRASCO DE 150 ML-SOLUCIÃ“N ORAL-312 MG/ML</v>
          </cell>
          <cell r="C410">
            <v>15</v>
          </cell>
        </row>
        <row r="411">
          <cell r="A411" t="str">
            <v>M0104019</v>
          </cell>
          <cell r="B411" t="str">
            <v>GLUCOSA DEXTROSA--POLVO-USO ORAL-KG</v>
          </cell>
          <cell r="C411">
            <v>0</v>
          </cell>
        </row>
        <row r="412">
          <cell r="A412" t="str">
            <v>M3606111</v>
          </cell>
          <cell r="B412" t="str">
            <v>GONADOTROFINA CORIONICA HUMANA--FCO. AMPOLLA (LIOF.)-5.000 U.I.</v>
          </cell>
          <cell r="C412">
            <v>0</v>
          </cell>
        </row>
        <row r="413">
          <cell r="A413" t="str">
            <v>M7201003</v>
          </cell>
          <cell r="B413" t="str">
            <v>GONADOTROFINA CORIONICA HUMANA URINARIA-UNIDAD-FRASCO AMPOLLA LIOFILIZADO-5000 UI</v>
          </cell>
          <cell r="C413">
            <v>5</v>
          </cell>
        </row>
        <row r="414">
          <cell r="A414" t="str">
            <v>M3629130</v>
          </cell>
          <cell r="B414" t="str">
            <v>GONADOTROFINA HUMANA MENOPAUSICA-UNIDAD-AMPOLLA LIOFILIZADA-75 UI</v>
          </cell>
          <cell r="C414">
            <v>0</v>
          </cell>
        </row>
        <row r="415">
          <cell r="A415" t="str">
            <v>D3104114</v>
          </cell>
          <cell r="B415" t="str">
            <v>GUANTES DE NEOPRENE P/OXIDO DE ETILENO--LARGOS-</v>
          </cell>
          <cell r="C415">
            <v>0</v>
          </cell>
        </row>
        <row r="416">
          <cell r="A416" t="str">
            <v>M1222112</v>
          </cell>
          <cell r="B416" t="str">
            <v>HALOPERIDOL--COMPRIMIDOS-10 MG</v>
          </cell>
          <cell r="C416">
            <v>2000</v>
          </cell>
        </row>
        <row r="417">
          <cell r="A417" t="str">
            <v>M1222121</v>
          </cell>
          <cell r="B417" t="str">
            <v>HALOPERIDOL--FCO. AMPOLLA-5MG - 1 ML</v>
          </cell>
          <cell r="C417">
            <v>0</v>
          </cell>
        </row>
        <row r="418">
          <cell r="A418" t="str">
            <v>M1246413</v>
          </cell>
          <cell r="B418" t="str">
            <v>HALOPERIDOL-AMPOLLA DE 1 ML-SOLUCIÃ“N INYECTABLE-5 MG/ML</v>
          </cell>
          <cell r="C418">
            <v>0</v>
          </cell>
        </row>
        <row r="419">
          <cell r="A419" t="str">
            <v>M1222113</v>
          </cell>
          <cell r="B419" t="str">
            <v>HALOPERIDOL--COMPRIMIDOS-5 MG</v>
          </cell>
          <cell r="C419">
            <v>63000</v>
          </cell>
        </row>
        <row r="420">
          <cell r="A420" t="str">
            <v>M1246152</v>
          </cell>
          <cell r="B420" t="str">
            <v>HALOPERIDOL-AMPOLLA 1 ML-INYECTABLE-5MG -</v>
          </cell>
          <cell r="C420">
            <v>1200</v>
          </cell>
        </row>
        <row r="421">
          <cell r="A421" t="str">
            <v>M1222131</v>
          </cell>
          <cell r="B421" t="str">
            <v>HALOPERIDOL--GOTAS-2MG/ML - 20 ML</v>
          </cell>
          <cell r="C421">
            <v>0</v>
          </cell>
        </row>
        <row r="422">
          <cell r="A422" t="str">
            <v>M1201078</v>
          </cell>
          <cell r="B422" t="str">
            <v>HALOPERIDOL DECANOATO-FRASCO AMPOLLA - 3 ML-INYECTABLE-150MG - 3 ML</v>
          </cell>
          <cell r="C422">
            <v>720</v>
          </cell>
        </row>
        <row r="423">
          <cell r="A423" t="str">
            <v>M1223111</v>
          </cell>
          <cell r="B423" t="str">
            <v>HALOPERIDOL DECANOATO--FCO. AMPOLLA-50MG - 1 ML</v>
          </cell>
          <cell r="C423">
            <v>0</v>
          </cell>
        </row>
        <row r="424">
          <cell r="A424" t="str">
            <v>M2601030</v>
          </cell>
          <cell r="B424" t="str">
            <v>HEPARINA BAJO PESO MOLECULAR (ENOXAPARINA)--JERINGA PRELLENADA-60MG - 0.6 ML</v>
          </cell>
          <cell r="C424">
            <v>300</v>
          </cell>
        </row>
        <row r="425">
          <cell r="A425" t="str">
            <v>M2601029</v>
          </cell>
          <cell r="B425" t="str">
            <v>HEPARINA BAJO PESO MOLECULAR (ENOXAPARINA)--JERINGA PRELLENADA-40MG - 0.4 ML</v>
          </cell>
          <cell r="C425">
            <v>5950</v>
          </cell>
        </row>
        <row r="426">
          <cell r="A426" t="str">
            <v>M2601031</v>
          </cell>
          <cell r="B426" t="str">
            <v>HEPARINA BAJO PESO MOLECULAR (ENOXAPARINA)--JERINGA PRELLENADA-80MG - 0.8 ML</v>
          </cell>
          <cell r="C426">
            <v>2750</v>
          </cell>
        </row>
        <row r="427">
          <cell r="A427" t="str">
            <v>M2607111</v>
          </cell>
          <cell r="B427" t="str">
            <v>HEPARINA CALCICA--AMPOLLAS-5.000U.I. - 0.2 ML</v>
          </cell>
          <cell r="C427">
            <v>0</v>
          </cell>
        </row>
        <row r="428">
          <cell r="A428" t="str">
            <v>M2601051</v>
          </cell>
          <cell r="B428" t="str">
            <v>HEPARINA SODICA--FCO. AMPOLLA-5.000U.I/ML - 10 ML</v>
          </cell>
          <cell r="C428">
            <v>0</v>
          </cell>
        </row>
        <row r="429">
          <cell r="A429" t="str">
            <v>M2601053</v>
          </cell>
          <cell r="B429" t="str">
            <v>HEPARINA SODICA-5 ML-FCO. AMPOLLA-5.000U.I/ML -</v>
          </cell>
          <cell r="C429">
            <v>250</v>
          </cell>
        </row>
        <row r="430">
          <cell r="A430" t="str">
            <v>M3004111</v>
          </cell>
          <cell r="B430" t="str">
            <v>HIDROCLOROTIAZIDA--COMPRIMIDOS-50 MG</v>
          </cell>
          <cell r="C430">
            <v>0</v>
          </cell>
        </row>
        <row r="431">
          <cell r="A431" t="str">
            <v>M3000019</v>
          </cell>
          <cell r="B431" t="str">
            <v>HIDROCLOROTIAZIDA--COMPRIMIDOS-25 MG</v>
          </cell>
          <cell r="C431">
            <v>4400</v>
          </cell>
        </row>
        <row r="432">
          <cell r="A432" t="str">
            <v>M2523457</v>
          </cell>
          <cell r="B432" t="str">
            <v>HIDROCLOROTIAZIDA--COMPRIMIDO-12.5 MG</v>
          </cell>
          <cell r="C432">
            <v>0</v>
          </cell>
        </row>
        <row r="433">
          <cell r="A433" t="str">
            <v>M2701051</v>
          </cell>
          <cell r="B433" t="str">
            <v>HIDROCORTISONA--FCO AMPOLLA-500MG-10ML</v>
          </cell>
          <cell r="C433">
            <v>0</v>
          </cell>
        </row>
        <row r="434">
          <cell r="A434" t="str">
            <v>M2706112</v>
          </cell>
          <cell r="B434" t="str">
            <v>HIDROCORTISONA-FRASCO AMPOLLA-INYECTABLE-500MG - 5 ML</v>
          </cell>
          <cell r="C434">
            <v>720</v>
          </cell>
        </row>
        <row r="435">
          <cell r="A435" t="str">
            <v>M2706121</v>
          </cell>
          <cell r="B435" t="str">
            <v>HIDROCORTISONA--COMPRIMIDOS-10 MG</v>
          </cell>
          <cell r="C435">
            <v>1850</v>
          </cell>
        </row>
        <row r="436">
          <cell r="A436" t="str">
            <v>M2709125</v>
          </cell>
          <cell r="B436" t="str">
            <v>HIDROCORTISONA--FCO. AMPOLLA-100 MG</v>
          </cell>
          <cell r="C436">
            <v>4090</v>
          </cell>
        </row>
        <row r="437">
          <cell r="A437" t="str">
            <v>M1601020</v>
          </cell>
          <cell r="B437" t="str">
            <v>HIDROXICINA--COMPRIMIDOS-25 MG</v>
          </cell>
          <cell r="C437">
            <v>0</v>
          </cell>
        </row>
        <row r="438">
          <cell r="A438" t="str">
            <v>M1901007</v>
          </cell>
          <cell r="B438" t="str">
            <v>HIDROXICLOROQUINA--COMPRIMIDOS-200 MG</v>
          </cell>
          <cell r="C438">
            <v>7680</v>
          </cell>
        </row>
        <row r="439">
          <cell r="A439" t="str">
            <v>M0404446</v>
          </cell>
          <cell r="B439" t="str">
            <v>HIDROXIDO DE ALUMINIO-HIDROXIDO DE MAGNESIO-150/175 ML-SUSPENSION-500MG-500MG</v>
          </cell>
          <cell r="C439">
            <v>10</v>
          </cell>
        </row>
        <row r="440">
          <cell r="A440" t="str">
            <v>M0401112</v>
          </cell>
          <cell r="B440" t="str">
            <v>HIDROXIDO DE ALUMINIO-HIDROXIDO DE MAGNESIO-SIMETICONA--SUSPENSION 150 ML-325MG-175MG-15MG/5ML</v>
          </cell>
          <cell r="C440">
            <v>0</v>
          </cell>
        </row>
        <row r="441">
          <cell r="A441" t="str">
            <v>M0501134</v>
          </cell>
          <cell r="B441" t="str">
            <v>HIERRO ELEMENTAL-ACIDO FOLICO--COMPRIMIDOS-100MG-120MG</v>
          </cell>
          <cell r="C441">
            <v>0</v>
          </cell>
        </row>
        <row r="442">
          <cell r="A442" t="str">
            <v>M0501118</v>
          </cell>
          <cell r="B442" t="str">
            <v>HIERRO SACARATO-AMPOLLA - 5 ML-INYECTABLE-100MG - 5 ML</v>
          </cell>
          <cell r="C442">
            <v>120</v>
          </cell>
        </row>
        <row r="443">
          <cell r="A443" t="str">
            <v>M0141269</v>
          </cell>
          <cell r="B443" t="str">
            <v>HIERRO SULFATO FERROSO-ENVASE X 30 COMPRIMIDOS-TIPO MONODROGA - FORMA FARMACÃ‰UTICA COMPRIMIDO-</v>
          </cell>
          <cell r="C443">
            <v>17000</v>
          </cell>
        </row>
        <row r="444">
          <cell r="A444" t="str">
            <v>M1701009</v>
          </cell>
          <cell r="B444" t="str">
            <v>IBUPROFENO--COMPRIMIDOS-600 MG</v>
          </cell>
          <cell r="C444">
            <v>40</v>
          </cell>
        </row>
        <row r="445">
          <cell r="A445" t="str">
            <v>M1701075</v>
          </cell>
          <cell r="B445" t="str">
            <v>IBUPROFENO--COMPRIMIDOS-400 MG</v>
          </cell>
          <cell r="C445">
            <v>193580</v>
          </cell>
        </row>
        <row r="446">
          <cell r="A446" t="str">
            <v>LD105011</v>
          </cell>
          <cell r="B446" t="str">
            <v>IMIPENEM---GRS</v>
          </cell>
          <cell r="C446">
            <v>0</v>
          </cell>
        </row>
        <row r="447">
          <cell r="A447" t="str">
            <v>M0724151</v>
          </cell>
          <cell r="B447" t="str">
            <v>IMIPENEM+CILASTATIN+RELEBACTAM-UNIDAD-TIPO ASOCIACION-FORMA FARMACEUTICA AMPOLLA</v>
          </cell>
          <cell r="C447">
            <v>75</v>
          </cell>
        </row>
        <row r="448">
          <cell r="A448" t="str">
            <v>M0701028</v>
          </cell>
          <cell r="B448" t="str">
            <v>IMIPENEM-CILASTATINA--FCO. AMPOLLA I.M (LIOF.)-500MG-500MG - 20 ML</v>
          </cell>
          <cell r="C448">
            <v>0</v>
          </cell>
        </row>
        <row r="449">
          <cell r="A449" t="str">
            <v>M0724115</v>
          </cell>
          <cell r="B449" t="str">
            <v>IMIPENEM-CILASTATINA-INYECTABLE-FRASCO AMPOLLA-500MG-500MG</v>
          </cell>
          <cell r="C449">
            <v>1050</v>
          </cell>
        </row>
        <row r="450">
          <cell r="A450" t="str">
            <v>M3103167</v>
          </cell>
          <cell r="B450" t="str">
            <v>IMPLANTE SUBDÃ‰RMICO ANTICONCEPTIVO DE 2 VARILLAS--2 VARILLAS DE 75 MG DE LEVONORGESTREL C/U-</v>
          </cell>
          <cell r="C450">
            <v>0</v>
          </cell>
        </row>
        <row r="451">
          <cell r="A451" t="str">
            <v>YI100304</v>
          </cell>
          <cell r="B451" t="str">
            <v>INDICADOR BIOLOGICO AUTOCONTENIDO-UNIDAD-P/PROCESO DE ESTERILIZACIÃ“N POR-PEROXIDO DE HIDRÃ“GENO</v>
          </cell>
          <cell r="C451">
            <v>0</v>
          </cell>
        </row>
        <row r="452">
          <cell r="A452" t="str">
            <v>YI400302</v>
          </cell>
          <cell r="B452" t="str">
            <v>INDICADOR BIOLOGICO AUTOCONTENIDO P/PROCESOS POR OXIDO DE ETILENO C/ESPORAS DE BACILLUS ATROPHEAUS-VEZ UNA AMPOLLA CON EL MEDIO DE CULTIVO-TUBOS PLASTICOS QUE CONTIENEN NO MENOS DE 106 UFC-INOCULADAS EN UNA TIRA DE PAPEL Y A SU</v>
          </cell>
          <cell r="C452">
            <v>0</v>
          </cell>
        </row>
        <row r="453">
          <cell r="A453" t="str">
            <v>YI100301</v>
          </cell>
          <cell r="B453" t="str">
            <v>INDICADOR BIOLOGICO AUTOCONTENIDO P/PROCESOS POR VAPOR DE AGUA CON ESPORAS DE GEOBACILUS STEAROTHERMOPHILUS-1 AMPOLLA CON EL MEDIO DE CULTIVO - UNID-TUBOS PLASTICO QUE CONTIENEN NO MENOS DE 10 5 UFC-INOCULADAS EN 1 TIRA DE PAPEL Y A SU VEZ</v>
          </cell>
          <cell r="C453">
            <v>0</v>
          </cell>
        </row>
        <row r="454">
          <cell r="A454" t="str">
            <v>YI400301</v>
          </cell>
          <cell r="B454" t="str">
            <v>INDICADOR BIOLOGICO EN FORMA DE TIRA DE ESPORA CONTENIENDO BACILLUS ATROPHEAUS Y GEOBACILUUS STEAROTHERMOPHILUS P/PROCES-A LOS AGENTES DE ESTERILIZACIÃ’N . UNIDAD-TIRA DE PAPEL DE FILTRO INOCULADA CON BA Y GS-ENVUELTAS EN ENVASE INDIVIDUAL PERMEABLE</v>
          </cell>
          <cell r="C454">
            <v>0</v>
          </cell>
        </row>
        <row r="455">
          <cell r="A455" t="str">
            <v>YH400001</v>
          </cell>
          <cell r="B455" t="str">
            <v>INDICADOR INTEGRADOR CLASE 5 P/PROCESOS POR OXIDO DE ETILENO-UNIDAD-TIRA DE PAPEL-</v>
          </cell>
          <cell r="C455">
            <v>0</v>
          </cell>
        </row>
        <row r="456">
          <cell r="A456" t="str">
            <v>YH100005</v>
          </cell>
          <cell r="B456" t="str">
            <v>INDICADOR INTEGRADOR/EMULADOR (CLASE 5 O 6 PARA VAPOR DE AGUA)-UNIDAD-TIRA DE PAPEL-</v>
          </cell>
          <cell r="C456">
            <v>0</v>
          </cell>
        </row>
        <row r="457">
          <cell r="A457" t="str">
            <v>YH301303</v>
          </cell>
          <cell r="B457" t="str">
            <v>INDICADOR QUIMICO--CINTA DE PAPEL-20-25MMX50MT</v>
          </cell>
          <cell r="C457">
            <v>0</v>
          </cell>
        </row>
        <row r="458">
          <cell r="A458" t="str">
            <v>YH301302</v>
          </cell>
          <cell r="B458" t="str">
            <v>INDICADOR QUIMICO-UNIDAD-CINTA DE PAPEL-15-20 X 50 MM</v>
          </cell>
          <cell r="C458">
            <v>110</v>
          </cell>
        </row>
        <row r="459">
          <cell r="A459" t="str">
            <v>YH104003</v>
          </cell>
          <cell r="B459" t="str">
            <v>INDICADOR QUIMICO EXTERNO P/PROCESOS POR CALOR HUMEDO (CLASE 1)-UNIDAD-ROLLOS DE CINTA AUTOADHESIVA DE PAPEL-15-18MM DE ANCHO X 50 METROS DE LARGO</v>
          </cell>
          <cell r="C459">
            <v>31</v>
          </cell>
        </row>
        <row r="460">
          <cell r="A460" t="str">
            <v>YH104008</v>
          </cell>
          <cell r="B460" t="str">
            <v>INDICADOR QUIMICO EXTERNO P/PROCESOS POR CALOR HUMEDO (CLASE 1)-UNIDAD-ROLLOS DE CINTA AUTOADHESIVA DE PAPEL-20-25MM X 50 M</v>
          </cell>
          <cell r="C460">
            <v>30</v>
          </cell>
        </row>
        <row r="461">
          <cell r="A461" t="str">
            <v>YH204001</v>
          </cell>
          <cell r="B461" t="str">
            <v>INDICADOR QUIMICO EXTERNO P/PROCESOS POR CALOR SECO (CLASE 1)-UNIDAD-ROLLOS DE CINTA AUTOADHESIVA DE PAPEL-15-18MM X 50 METROS DE LARGO</v>
          </cell>
          <cell r="C461">
            <v>0</v>
          </cell>
        </row>
        <row r="462">
          <cell r="A462" t="str">
            <v>YH404005</v>
          </cell>
          <cell r="B462" t="str">
            <v>INDICADOR QUIMICO EXTERNO PARA CONTROL DE PROCESOS POR OXIDO DE ETILENO (CLASE 1)-UNIDAD-ROLLO DE CINTA AUTOADHESIVA DE PAPEL-20-25MM X 50 MT</v>
          </cell>
          <cell r="C462">
            <v>0</v>
          </cell>
        </row>
        <row r="463">
          <cell r="A463" t="str">
            <v>M1702131</v>
          </cell>
          <cell r="B463" t="str">
            <v>INDOMETACINA--SUPOSITORIOS-100 MG</v>
          </cell>
          <cell r="C463">
            <v>0</v>
          </cell>
        </row>
        <row r="464">
          <cell r="A464" t="str">
            <v>M3706154</v>
          </cell>
          <cell r="B464" t="str">
            <v>INMUNOGLOBULINA G HUMANA--10 GRS.-</v>
          </cell>
          <cell r="C464">
            <v>0</v>
          </cell>
        </row>
        <row r="465">
          <cell r="A465" t="str">
            <v>M3408111</v>
          </cell>
          <cell r="B465" t="str">
            <v>INSULINA CORRIENTE HUMANA--FCO. AMPOLLA-100U.I/ML - 10 ML</v>
          </cell>
          <cell r="C465">
            <v>0</v>
          </cell>
        </row>
        <row r="466">
          <cell r="A466" t="str">
            <v>M3408120</v>
          </cell>
          <cell r="B466" t="str">
            <v>INSULINA DETEMIR-UNIDAD-100UI/MI-LAPICERA PRELLENADA / 3ML</v>
          </cell>
          <cell r="C466">
            <v>0</v>
          </cell>
        </row>
        <row r="467">
          <cell r="A467" t="str">
            <v>M3408125</v>
          </cell>
          <cell r="B467" t="str">
            <v>INSULINA GLARGINA-UNIDAD-LAPICERA PRELLENADA-3ML - 100 UI/ML</v>
          </cell>
          <cell r="C467">
            <v>0</v>
          </cell>
        </row>
        <row r="468">
          <cell r="A468" t="str">
            <v>M3404090</v>
          </cell>
          <cell r="B468" t="str">
            <v>INSULINA GLARGINA-LAPICERA-INYECTABLE-100UI/ML</v>
          </cell>
          <cell r="C468">
            <v>0</v>
          </cell>
        </row>
        <row r="469">
          <cell r="A469" t="str">
            <v>M3408126</v>
          </cell>
          <cell r="B469" t="str">
            <v>INSULINA GLULISINA-UNIDAD-LAPICERA PRELLENADA-3 ML . 100 UI/ML</v>
          </cell>
          <cell r="C469">
            <v>0</v>
          </cell>
        </row>
        <row r="470">
          <cell r="A470" t="str">
            <v>M3408112</v>
          </cell>
          <cell r="B470" t="str">
            <v>INSULINA HUMANA NPH--FCO. AMPOLLA-100U.I/ML - 10 ML</v>
          </cell>
          <cell r="C470">
            <v>0</v>
          </cell>
        </row>
        <row r="471">
          <cell r="A471" t="str">
            <v>M3409042</v>
          </cell>
          <cell r="B471" t="str">
            <v>INSULINA HUMANA NPH-LAPICERA PRELLENADA-LAPICERA PRELLENADA-100UI/ML-3ML</v>
          </cell>
          <cell r="C471">
            <v>0</v>
          </cell>
        </row>
        <row r="472">
          <cell r="A472" t="str">
            <v>M3409019</v>
          </cell>
          <cell r="B472" t="str">
            <v>INSULINA LISPRO-CARTUCHO P/LAPICERA-RÃPIDA-100UI 3.0 ML</v>
          </cell>
          <cell r="C472">
            <v>0</v>
          </cell>
        </row>
        <row r="473">
          <cell r="A473" t="str">
            <v>M3408122</v>
          </cell>
          <cell r="B473" t="str">
            <v>INSULINA LISPRO-FRASCOS DE 10 ML-SOLUCIÃ“N P/ADMINISTRACION PARENTERAL-EN CONCENTRACIÃ“N DE 100 UNIDADES/ML</v>
          </cell>
          <cell r="C473">
            <v>0</v>
          </cell>
        </row>
        <row r="474">
          <cell r="A474" t="str">
            <v>M3401018</v>
          </cell>
          <cell r="B474" t="str">
            <v>INSULINA PORCINA NPH--FCO. AMPOLLA-80U.I/ML - 10 ML</v>
          </cell>
          <cell r="C474">
            <v>0</v>
          </cell>
        </row>
        <row r="475">
          <cell r="A475" t="str">
            <v>M2000028</v>
          </cell>
          <cell r="B475" t="str">
            <v>IODOPOVIDONA--JABON LIQUIDO-5% - 1 LT.</v>
          </cell>
          <cell r="C475">
            <v>697</v>
          </cell>
        </row>
        <row r="476">
          <cell r="A476" t="str">
            <v>M2000027</v>
          </cell>
          <cell r="B476" t="str">
            <v>IODOPOVIDONA-BIDÃ“N X 5 LITROS-SOLUCION JABONOSA-5% -</v>
          </cell>
          <cell r="C476">
            <v>0</v>
          </cell>
        </row>
        <row r="477">
          <cell r="A477" t="str">
            <v>M2000042</v>
          </cell>
          <cell r="B477" t="str">
            <v>IODOPOVIDONA-200/250 ML-SOLUCION C/DOSIFICADOR-10% -</v>
          </cell>
          <cell r="C477">
            <v>0</v>
          </cell>
        </row>
        <row r="478">
          <cell r="A478" t="str">
            <v>M2002122</v>
          </cell>
          <cell r="B478" t="str">
            <v>IODOPOVIDONA-ENVASE C/ DISPENSADOR -250 ML-SOLUCION JABONOSA-5% -</v>
          </cell>
          <cell r="C478">
            <v>0</v>
          </cell>
        </row>
        <row r="479">
          <cell r="A479" t="str">
            <v>M2000026</v>
          </cell>
          <cell r="B479" t="str">
            <v>IODOPOVIDONA--SOLUCION-10% - 1 LT</v>
          </cell>
          <cell r="C479">
            <v>1022</v>
          </cell>
        </row>
        <row r="480">
          <cell r="A480" t="str">
            <v>M2002125</v>
          </cell>
          <cell r="B480" t="str">
            <v>IODOPOVIDONA--SOLUCION-10% - 5 LT</v>
          </cell>
          <cell r="C480">
            <v>0</v>
          </cell>
        </row>
        <row r="481">
          <cell r="A481" t="str">
            <v>M0301124</v>
          </cell>
          <cell r="B481" t="str">
            <v>ISOFLURANO-FRASCO AMPOLLA-INHALATORIO-100 ML</v>
          </cell>
          <cell r="C481">
            <v>0</v>
          </cell>
        </row>
        <row r="482">
          <cell r="A482" t="str">
            <v>M1101020</v>
          </cell>
          <cell r="B482" t="str">
            <v>ISONIACIDA--COMPRIMIDOS-300 MG</v>
          </cell>
          <cell r="C482">
            <v>0</v>
          </cell>
        </row>
        <row r="483">
          <cell r="A483" t="str">
            <v>M1109162</v>
          </cell>
          <cell r="B483" t="str">
            <v>ISONIACIDA--COMPRIMIDO-300 MG</v>
          </cell>
          <cell r="C483">
            <v>0</v>
          </cell>
        </row>
        <row r="484">
          <cell r="A484" t="str">
            <v>M1109134</v>
          </cell>
          <cell r="B484" t="str">
            <v>ISONIACIDA--COMPRIMIDOS-100 MG</v>
          </cell>
          <cell r="C484">
            <v>0</v>
          </cell>
        </row>
        <row r="485">
          <cell r="A485" t="str">
            <v>M2501047</v>
          </cell>
          <cell r="B485" t="str">
            <v>ISOPROTERENOL-AMPOLLA-INYECTABLE-1MG - 5 ML</v>
          </cell>
          <cell r="C485">
            <v>300</v>
          </cell>
        </row>
        <row r="486">
          <cell r="A486" t="str">
            <v>M3101022</v>
          </cell>
          <cell r="B486" t="str">
            <v>ISOXSUPRINA-AMPOLLA 2 ML-INYECTABLE-10MG - 2 ML</v>
          </cell>
          <cell r="C486">
            <v>0</v>
          </cell>
        </row>
        <row r="487">
          <cell r="A487" t="str">
            <v>M1801011</v>
          </cell>
          <cell r="B487" t="str">
            <v>ITRACONAZOL--CAPSULAS-100 MG</v>
          </cell>
          <cell r="C487">
            <v>1380</v>
          </cell>
        </row>
        <row r="488">
          <cell r="A488" t="str">
            <v>M1805121</v>
          </cell>
          <cell r="B488" t="str">
            <v>ITRACONAZOL--COMPRIMIDOS-200 MG</v>
          </cell>
          <cell r="C488">
            <v>364</v>
          </cell>
        </row>
        <row r="489">
          <cell r="A489" t="str">
            <v>M0141266</v>
          </cell>
          <cell r="B489" t="str">
            <v>IVABRADINA-UNIDAD-COMPRIMIDO 5 MG-</v>
          </cell>
          <cell r="C489">
            <v>0</v>
          </cell>
        </row>
        <row r="490">
          <cell r="A490" t="str">
            <v>M1901032</v>
          </cell>
          <cell r="B490" t="str">
            <v>IVERMECTINA--COMPRIMIDOS-6 MG</v>
          </cell>
          <cell r="C490">
            <v>180</v>
          </cell>
        </row>
        <row r="491">
          <cell r="A491" t="str">
            <v>I0701015</v>
          </cell>
          <cell r="B491" t="str">
            <v>JERINGA P/DOBLE CABEZAL--P/BOMBA DE INFUSION DE CONTRASTE-</v>
          </cell>
          <cell r="C491">
            <v>5</v>
          </cell>
        </row>
        <row r="492">
          <cell r="A492" t="str">
            <v>I0701051</v>
          </cell>
          <cell r="B492" t="str">
            <v>JERINGA P/MEDIO DE CONTRASTE-UNIDAD-ACC/MR-200 ML - AMPOLLA DE 100 ML</v>
          </cell>
          <cell r="C492">
            <v>433</v>
          </cell>
        </row>
        <row r="493">
          <cell r="A493" t="str">
            <v>M0314130</v>
          </cell>
          <cell r="B493" t="str">
            <v>KETAMINA--FCO. AMPOLLA-50MG/ML - 10 ML</v>
          </cell>
          <cell r="C493">
            <v>50</v>
          </cell>
        </row>
        <row r="494">
          <cell r="A494" t="str">
            <v>M1801111</v>
          </cell>
          <cell r="B494" t="str">
            <v>KETOCONAZOL--COMPRIMIDOS-200 MG</v>
          </cell>
          <cell r="C494">
            <v>0</v>
          </cell>
        </row>
        <row r="495">
          <cell r="A495" t="str">
            <v>M1708127</v>
          </cell>
          <cell r="B495" t="str">
            <v>KETOROLAC TROMETAMINA-1 ML-AMPOLLAS-30MG/ML -</v>
          </cell>
          <cell r="C495">
            <v>300</v>
          </cell>
        </row>
        <row r="496">
          <cell r="A496" t="str">
            <v>M1701023</v>
          </cell>
          <cell r="B496" t="str">
            <v>KETOROLAC TROMETAMINA--COMPRIMIDOS-20 MG</v>
          </cell>
          <cell r="C496">
            <v>1860</v>
          </cell>
        </row>
        <row r="497">
          <cell r="A497" t="str">
            <v>M1708135</v>
          </cell>
          <cell r="B497" t="str">
            <v>KETOROLAC TROMETAMINA-AMPOLLA 2 ML-INYECTABLE-30MG/ML -</v>
          </cell>
          <cell r="C497">
            <v>0</v>
          </cell>
        </row>
        <row r="498">
          <cell r="A498" t="str">
            <v>M2501007</v>
          </cell>
          <cell r="B498" t="str">
            <v>LABETALOL CLORHIDRATO--COMPRIMIDOS-200 MG</v>
          </cell>
          <cell r="C498">
            <v>380</v>
          </cell>
        </row>
        <row r="499">
          <cell r="A499" t="str">
            <v>M2301111</v>
          </cell>
          <cell r="B499" t="str">
            <v>LACTULOSA--JARABE-65GR/100ML - 250 ML</v>
          </cell>
          <cell r="C499">
            <v>396</v>
          </cell>
        </row>
        <row r="500">
          <cell r="A500" t="str">
            <v>M2301112</v>
          </cell>
          <cell r="B500" t="str">
            <v>LACTULOSA--JARABE-65GR/100ML - 120 ML</v>
          </cell>
          <cell r="C500">
            <v>400</v>
          </cell>
        </row>
        <row r="501">
          <cell r="A501" t="str">
            <v>M4201046</v>
          </cell>
          <cell r="B501" t="str">
            <v>LAMIVUDINA-UNIDAD-CAPSULAS/COMPRIMIDOS-300 MG</v>
          </cell>
          <cell r="C501">
            <v>0</v>
          </cell>
        </row>
        <row r="502">
          <cell r="A502" t="str">
            <v>M11R6014</v>
          </cell>
          <cell r="B502" t="str">
            <v>LAMIVUDINA--COMPRIMIDOS-300 MG</v>
          </cell>
          <cell r="C502">
            <v>0</v>
          </cell>
        </row>
        <row r="503">
          <cell r="A503" t="str">
            <v>E8701002</v>
          </cell>
          <cell r="B503" t="str">
            <v>LAMIVUDINA 150 MG. + ZIDOVUDINA 300 MG-ENVASE DE 60 COMPRIMIDOS RECUBIERTOS--</v>
          </cell>
          <cell r="C503">
            <v>0</v>
          </cell>
        </row>
        <row r="504">
          <cell r="A504" t="str">
            <v>M4219124</v>
          </cell>
          <cell r="B504" t="str">
            <v>LAMIVUDINA 150 MG;+ZIDOVUDINA 300MG;+NEVIRAPINA200MG-UNIDAD--COMPRIMIDOS</v>
          </cell>
          <cell r="C504">
            <v>0</v>
          </cell>
        </row>
        <row r="505">
          <cell r="A505" t="str">
            <v>M43R0131</v>
          </cell>
          <cell r="B505" t="str">
            <v>LAMIVUDINA+ZIDOVUDINA-COMPRIMIDOS--150 MG/ 300 MG</v>
          </cell>
          <cell r="C505">
            <v>0</v>
          </cell>
        </row>
        <row r="506">
          <cell r="A506" t="str">
            <v>M43R0113</v>
          </cell>
          <cell r="B506" t="str">
            <v>LAMIVUDINA-ABACAVIR--COMPRIMIDO-300MG-600MG</v>
          </cell>
          <cell r="C506">
            <v>0</v>
          </cell>
        </row>
        <row r="507">
          <cell r="A507" t="str">
            <v>M4201028</v>
          </cell>
          <cell r="B507" t="str">
            <v>LAMIVUDINA-ZIDOVUDINA --CAPSULAS-150MG-300MG</v>
          </cell>
          <cell r="C507">
            <v>0</v>
          </cell>
        </row>
        <row r="508">
          <cell r="A508" t="str">
            <v>M4219133</v>
          </cell>
          <cell r="B508" t="str">
            <v>LAMIVUDINA-ZIDOVUDINA-NEVIRAPINA-UNIDAD-COMPRIMIDO-150-300-200 MG</v>
          </cell>
          <cell r="C508">
            <v>0</v>
          </cell>
        </row>
        <row r="509">
          <cell r="A509" t="str">
            <v>M43R0115</v>
          </cell>
          <cell r="B509" t="str">
            <v>LAMIVUDINA/TENOFOVIR--300/300MG-COMPRIMIDO</v>
          </cell>
          <cell r="C509">
            <v>0</v>
          </cell>
        </row>
        <row r="510">
          <cell r="A510" t="str">
            <v>M1200150</v>
          </cell>
          <cell r="B510" t="str">
            <v>LAMOTRIGINA--COMPRIMIDOS-200 MG</v>
          </cell>
          <cell r="C510">
            <v>0</v>
          </cell>
        </row>
        <row r="511">
          <cell r="A511" t="str">
            <v>M1201086</v>
          </cell>
          <cell r="B511" t="str">
            <v>LAMOTRIGINA--COMPRIMIDOS-50 MG</v>
          </cell>
          <cell r="C511">
            <v>0</v>
          </cell>
        </row>
        <row r="512">
          <cell r="A512" t="str">
            <v>M1201162</v>
          </cell>
          <cell r="B512" t="str">
            <v>LAMOTRIGINA--COMPRIMIDOS-100 MG</v>
          </cell>
          <cell r="C512">
            <v>0</v>
          </cell>
        </row>
        <row r="513">
          <cell r="A513" t="str">
            <v>M4023114</v>
          </cell>
          <cell r="B513" t="str">
            <v>LATANOPROST--GOTAS-50MCG/ML - 2.5 ML</v>
          </cell>
          <cell r="C513">
            <v>0</v>
          </cell>
        </row>
        <row r="514">
          <cell r="A514" t="str">
            <v>M1708130</v>
          </cell>
          <cell r="B514" t="str">
            <v>LEFLUNOMIDA--COMPRIMIDOS-20 MG</v>
          </cell>
          <cell r="C514">
            <v>1200</v>
          </cell>
        </row>
        <row r="515">
          <cell r="A515" t="str">
            <v>M3201009</v>
          </cell>
          <cell r="B515" t="str">
            <v>LEUCOVORINA CALCICA--COMPRIMIDOS-15 MG</v>
          </cell>
          <cell r="C515">
            <v>0</v>
          </cell>
        </row>
        <row r="516">
          <cell r="A516" t="str">
            <v>M3259113</v>
          </cell>
          <cell r="B516" t="str">
            <v>LEUCOVORINA CALCICA--FCO. AMPOLLA-50MG - 5 ML</v>
          </cell>
          <cell r="C516">
            <v>274</v>
          </cell>
        </row>
        <row r="517">
          <cell r="A517" t="str">
            <v>M3254111</v>
          </cell>
          <cell r="B517" t="str">
            <v>LEUPROLIDE--AMPOLLAS-7.5 MG</v>
          </cell>
          <cell r="C517">
            <v>6</v>
          </cell>
        </row>
        <row r="518">
          <cell r="A518" t="str">
            <v>M1246299</v>
          </cell>
          <cell r="B518" t="str">
            <v>LEVETIRACETAM-UNIDAD-SOLUCIÃ“N INYECTABLE-500MG/5ML</v>
          </cell>
          <cell r="C518">
            <v>95</v>
          </cell>
        </row>
        <row r="519">
          <cell r="A519" t="str">
            <v>M1200185</v>
          </cell>
          <cell r="B519" t="str">
            <v>LEVETIRACETAM--COMPRIMIDOS-1GR</v>
          </cell>
          <cell r="C519">
            <v>4380</v>
          </cell>
        </row>
        <row r="520">
          <cell r="A520" t="str">
            <v>M1200172</v>
          </cell>
          <cell r="B520" t="str">
            <v>LEVETIRACETAM--COMPRIMIDOS-500MG</v>
          </cell>
          <cell r="C520">
            <v>3000</v>
          </cell>
        </row>
        <row r="521">
          <cell r="A521" t="str">
            <v>M1201084</v>
          </cell>
          <cell r="B521" t="str">
            <v>LEVODOPA-BENSERAZIDA--COMPRIMIDOS-200MG-50MG</v>
          </cell>
          <cell r="C521">
            <v>0</v>
          </cell>
        </row>
        <row r="522">
          <cell r="A522" t="str">
            <v>M1201037</v>
          </cell>
          <cell r="B522" t="str">
            <v>LEVODOPA-CARBIDOPA--COMPRIMIDOS-100MG-25MG</v>
          </cell>
          <cell r="C522">
            <v>0</v>
          </cell>
        </row>
        <row r="523">
          <cell r="A523" t="str">
            <v>M1239111</v>
          </cell>
          <cell r="B523" t="str">
            <v>LEVODOPA-CARBIDOPA--COMPRIMIDOS-250MG-25MG</v>
          </cell>
          <cell r="C523">
            <v>0</v>
          </cell>
        </row>
        <row r="524">
          <cell r="A524" t="str">
            <v>M1101059</v>
          </cell>
          <cell r="B524" t="str">
            <v>LEVOFLOXACINA--COMPRIMIDO-500 MG</v>
          </cell>
          <cell r="C524">
            <v>2784</v>
          </cell>
        </row>
        <row r="525">
          <cell r="A525" t="str">
            <v>M1101063</v>
          </cell>
          <cell r="B525" t="str">
            <v>LEVOFLOXACINA-INYECTABLE-FRASCO AMPOLLA-500MG</v>
          </cell>
          <cell r="C525">
            <v>150</v>
          </cell>
        </row>
        <row r="526">
          <cell r="A526" t="str">
            <v>M1227112</v>
          </cell>
          <cell r="B526" t="str">
            <v>LEVOMEPROMAZINA--COMPRIMIDOS-25 MG</v>
          </cell>
          <cell r="C526">
            <v>58000</v>
          </cell>
        </row>
        <row r="527">
          <cell r="A527" t="str">
            <v>M1201089</v>
          </cell>
          <cell r="B527" t="str">
            <v>LEVOMEPROMAZINA-1 ML-AMPOLLAS-25MG -</v>
          </cell>
          <cell r="C527">
            <v>0</v>
          </cell>
        </row>
        <row r="528">
          <cell r="A528" t="str">
            <v>M3103166</v>
          </cell>
          <cell r="B528" t="str">
            <v>LEVONORGESTREL--IMPLANTE SUBDÃ‰RMICO-75 MG</v>
          </cell>
          <cell r="C528">
            <v>0</v>
          </cell>
        </row>
        <row r="529">
          <cell r="A529" t="str">
            <v>M2501025</v>
          </cell>
          <cell r="B529" t="str">
            <v>LEVOSIMENDAN-AMPOLLA-INYECTABLE-2,5MG/ML</v>
          </cell>
          <cell r="C529">
            <v>0</v>
          </cell>
        </row>
        <row r="530">
          <cell r="A530" t="str">
            <v>M3605111</v>
          </cell>
          <cell r="B530" t="str">
            <v>LEVOTIROXINA--COMPRIMIDOS-0.1 MG</v>
          </cell>
          <cell r="C530">
            <v>9300</v>
          </cell>
        </row>
        <row r="531">
          <cell r="A531" t="str">
            <v>M3629169</v>
          </cell>
          <cell r="B531" t="str">
            <v>LEVOTIROXINA--COMPRIMIDO-50 MCG</v>
          </cell>
          <cell r="C531">
            <v>0</v>
          </cell>
        </row>
        <row r="532">
          <cell r="A532" t="str">
            <v>M3605112</v>
          </cell>
          <cell r="B532" t="str">
            <v>LEVOTIROXINA--COMPRIMIDOS-100 MG</v>
          </cell>
          <cell r="C532">
            <v>11500</v>
          </cell>
        </row>
        <row r="533">
          <cell r="A533" t="str">
            <v>M3629120</v>
          </cell>
          <cell r="B533" t="str">
            <v>LEVOTIROXINA--COMPRIMIDOS-0.125 MG</v>
          </cell>
          <cell r="C533">
            <v>0</v>
          </cell>
        </row>
        <row r="534">
          <cell r="A534" t="str">
            <v>M3629161</v>
          </cell>
          <cell r="B534" t="str">
            <v>LEVOTIROXINA 25 MCG-COMPRIMIDO-COMPRIMIDO-</v>
          </cell>
          <cell r="C534">
            <v>0</v>
          </cell>
        </row>
        <row r="535">
          <cell r="A535" t="str">
            <v>M3629137</v>
          </cell>
          <cell r="B535" t="str">
            <v>LEVOTIROXINA SODICA 125 MCG-COMPRIMIDO-FORMA FARMACÃ‰UTICA COMPRIMIDO-</v>
          </cell>
          <cell r="C535">
            <v>1500</v>
          </cell>
        </row>
        <row r="536">
          <cell r="A536" t="str">
            <v>M3629162</v>
          </cell>
          <cell r="B536" t="str">
            <v>LEVOTIROXINA SODICA 50 MGR-COMPRIMIDO-FORMA FARMACÃ‰UTICA COMPRIMIDO-</v>
          </cell>
          <cell r="C536">
            <v>7000</v>
          </cell>
        </row>
        <row r="537">
          <cell r="A537" t="str">
            <v>M0301130</v>
          </cell>
          <cell r="B537" t="str">
            <v>LIDOCAINA--SPRAY-10% - 50 GR</v>
          </cell>
          <cell r="C537">
            <v>10</v>
          </cell>
        </row>
        <row r="538">
          <cell r="A538" t="str">
            <v>M0308151</v>
          </cell>
          <cell r="B538" t="str">
            <v>LIDOCAINA--SOLUCION VISCOSA-2 % - 50 ML</v>
          </cell>
          <cell r="C538">
            <v>278</v>
          </cell>
        </row>
        <row r="539">
          <cell r="A539" t="str">
            <v>M0314127</v>
          </cell>
          <cell r="B539" t="str">
            <v>LIDOCAINA C/EPINEFRINA--ANESTUBO-2 % - 1:50000</v>
          </cell>
          <cell r="C539">
            <v>1661</v>
          </cell>
        </row>
        <row r="540">
          <cell r="A540" t="str">
            <v>M0301136</v>
          </cell>
          <cell r="B540" t="str">
            <v>LIDOCAINA C/EPINEFRINA--FCO. AMPOLLA-1 % - 20 ML</v>
          </cell>
          <cell r="C540">
            <v>0</v>
          </cell>
        </row>
        <row r="541">
          <cell r="A541" t="str">
            <v>M0308131</v>
          </cell>
          <cell r="B541" t="str">
            <v>LIDOCAINA S/EPINEFRINA-25 ML-JALEA-2% -</v>
          </cell>
          <cell r="C541">
            <v>0</v>
          </cell>
        </row>
        <row r="542">
          <cell r="A542" t="str">
            <v>M0301140</v>
          </cell>
          <cell r="B542" t="str">
            <v>LIDOCAINA S/EPINEFRINA--AMPOLLAS-2% - 5 ML</v>
          </cell>
          <cell r="C542">
            <v>700</v>
          </cell>
        </row>
        <row r="543">
          <cell r="A543" t="str">
            <v>M0314137</v>
          </cell>
          <cell r="B543" t="str">
            <v>LIDOCAINA S/EPINEFRINA-20ML-AMPOLLAS-2% -</v>
          </cell>
          <cell r="C543">
            <v>400</v>
          </cell>
        </row>
        <row r="544">
          <cell r="A544" t="str">
            <v>M0314134</v>
          </cell>
          <cell r="B544" t="str">
            <v>LIDOCAINA S/EPINEFRINA-S/CONSERVADORES--AMPOLLAS POLIPROPILENO-2% - 5 ML</v>
          </cell>
          <cell r="C544">
            <v>1200</v>
          </cell>
        </row>
        <row r="545">
          <cell r="A545" t="str">
            <v>M0301142</v>
          </cell>
          <cell r="B545" t="str">
            <v>LIDOCAINA S/EPINEFRINA-S/CONSERVADORES--AMPOLLAS-2 % - 5 ML</v>
          </cell>
          <cell r="C545">
            <v>0</v>
          </cell>
        </row>
        <row r="546">
          <cell r="A546" t="str">
            <v>M0314136</v>
          </cell>
          <cell r="B546" t="str">
            <v>LIDOCAINA S/EPINEFRINA-S/CONSERVADORES--AMPOLLAS DE POLIPROPILENO-1% - 20 ML</v>
          </cell>
          <cell r="C546">
            <v>200</v>
          </cell>
        </row>
        <row r="547">
          <cell r="A547" t="str">
            <v>M0301135</v>
          </cell>
          <cell r="B547" t="str">
            <v>LIDOCAINA S/EPINEFRINA-S/CONSERVADORES--AMPOLLAS-1 % - 5 ML</v>
          </cell>
          <cell r="C547">
            <v>2527</v>
          </cell>
        </row>
        <row r="548">
          <cell r="A548" t="str">
            <v>M0314131</v>
          </cell>
          <cell r="B548" t="str">
            <v>LIDOCAINA-C/EPINEFRINA-S/CONSERVADORES--AMPOLLAS-2% - 20 ML</v>
          </cell>
          <cell r="C548">
            <v>500</v>
          </cell>
        </row>
        <row r="549">
          <cell r="A549" t="str">
            <v>M1109135</v>
          </cell>
          <cell r="B549" t="str">
            <v>LINEZOLID-SOLUCIÃ“N INYECTABLE-SACHET-60O MG</v>
          </cell>
          <cell r="C549">
            <v>860</v>
          </cell>
        </row>
        <row r="550">
          <cell r="A550" t="str">
            <v>M1109139</v>
          </cell>
          <cell r="B550" t="str">
            <v>LINEZOLID--COMPRIMIDO-600MG</v>
          </cell>
          <cell r="C550">
            <v>850</v>
          </cell>
        </row>
        <row r="551">
          <cell r="A551" t="str">
            <v>M1221111</v>
          </cell>
          <cell r="B551" t="str">
            <v>LITIO CARBONATO--COMPRIMIDOS-300 MG</v>
          </cell>
          <cell r="C551">
            <v>0</v>
          </cell>
        </row>
        <row r="552">
          <cell r="A552" t="str">
            <v>M1305111</v>
          </cell>
          <cell r="B552" t="str">
            <v>LOPERAMIDA--COMPRIMIDOS-2 MG</v>
          </cell>
          <cell r="C552">
            <v>9450</v>
          </cell>
        </row>
        <row r="553">
          <cell r="A553" t="str">
            <v>M1301113</v>
          </cell>
          <cell r="B553" t="str">
            <v>LOPERAMIDA--COMPRIMIDOS-1 MG</v>
          </cell>
          <cell r="C553">
            <v>0</v>
          </cell>
        </row>
        <row r="554">
          <cell r="A554" t="str">
            <v>M4219136</v>
          </cell>
          <cell r="B554" t="str">
            <v>LOPINAVIR + RINOTAVIR--COMPRIMIDO-200MG - 50 MG</v>
          </cell>
          <cell r="C554">
            <v>0</v>
          </cell>
        </row>
        <row r="555">
          <cell r="A555" t="str">
            <v>M43R0114</v>
          </cell>
          <cell r="B555" t="str">
            <v>LOPINAVIR/RITONAVIR--100/25MG-COMPRIMIDO</v>
          </cell>
          <cell r="C555">
            <v>0</v>
          </cell>
        </row>
        <row r="556">
          <cell r="A556" t="str">
            <v>M1601028</v>
          </cell>
          <cell r="B556" t="str">
            <v>LORATADINA--COMPRIMIDOS-10MG</v>
          </cell>
          <cell r="C556">
            <v>1000</v>
          </cell>
        </row>
        <row r="557">
          <cell r="A557" t="str">
            <v>M1211113</v>
          </cell>
          <cell r="B557" t="str">
            <v>LORAZEPAM--COMPRIMIDOS-2 MG</v>
          </cell>
          <cell r="C557">
            <v>0</v>
          </cell>
        </row>
        <row r="558">
          <cell r="A558" t="str">
            <v>M1211121</v>
          </cell>
          <cell r="B558" t="str">
            <v>LORAZEPAM--AMPOLLAS-4 MG</v>
          </cell>
          <cell r="C558">
            <v>900</v>
          </cell>
        </row>
        <row r="559">
          <cell r="A559" t="str">
            <v>M1246414</v>
          </cell>
          <cell r="B559" t="str">
            <v>LORAZEPAM-AMPOLLA DE 1 ML-SOLUCIÃ“N INYECTABLE-4 MG/ML</v>
          </cell>
          <cell r="C559">
            <v>0</v>
          </cell>
        </row>
        <row r="560">
          <cell r="A560" t="str">
            <v>M1211112</v>
          </cell>
          <cell r="B560" t="str">
            <v>LORAZEPAM--COMPRIMIDOS-2.5MG</v>
          </cell>
          <cell r="C560">
            <v>37000</v>
          </cell>
        </row>
        <row r="561">
          <cell r="A561" t="str">
            <v>M1211111</v>
          </cell>
          <cell r="B561" t="str">
            <v>LORAZEPAM--COMPRIMIDOS-1 MG</v>
          </cell>
          <cell r="C561">
            <v>1090</v>
          </cell>
        </row>
        <row r="562">
          <cell r="A562" t="str">
            <v>M2516112</v>
          </cell>
          <cell r="B562" t="str">
            <v>LOSARTAN--COMPRIMIDOS-50 MG</v>
          </cell>
          <cell r="C562">
            <v>0</v>
          </cell>
        </row>
        <row r="563">
          <cell r="A563" t="str">
            <v>M2511132</v>
          </cell>
          <cell r="B563" t="str">
            <v>LOSARTAN--COMPRIMIDOS-100 MG</v>
          </cell>
          <cell r="C563">
            <v>0</v>
          </cell>
        </row>
        <row r="564">
          <cell r="A564" t="str">
            <v>M3315111</v>
          </cell>
          <cell r="B564" t="str">
            <v>MAGNESIO SULFATO-5 ML-AMPOLLAS-25 % -</v>
          </cell>
          <cell r="C564">
            <v>700</v>
          </cell>
        </row>
        <row r="565">
          <cell r="A565" t="str">
            <v>M3007113</v>
          </cell>
          <cell r="B565" t="str">
            <v>MANITOL-UNIDAD ENVASE FLEXIBLE 500 ML.-INYECTABLE-15% -</v>
          </cell>
          <cell r="C565">
            <v>708</v>
          </cell>
        </row>
        <row r="566">
          <cell r="A566" t="str">
            <v>M43R0110</v>
          </cell>
          <cell r="B566" t="str">
            <v>MARAVIROC--300 MG-COMPRIMIDO</v>
          </cell>
          <cell r="C566">
            <v>0</v>
          </cell>
        </row>
        <row r="567">
          <cell r="A567" t="str">
            <v>M43R0118</v>
          </cell>
          <cell r="B567" t="str">
            <v>MARAVIROC--COMPRIMIDOS-150MG</v>
          </cell>
          <cell r="C567">
            <v>0</v>
          </cell>
        </row>
        <row r="568">
          <cell r="A568" t="str">
            <v>M1902121</v>
          </cell>
          <cell r="B568" t="str">
            <v>MEBENDAZOL--COMPRIMIDOS-100 MG</v>
          </cell>
          <cell r="C568">
            <v>180</v>
          </cell>
        </row>
        <row r="569">
          <cell r="A569" t="str">
            <v>M1902122</v>
          </cell>
          <cell r="B569" t="str">
            <v>MEBENDAZOL--COMPRIMIDOS-500 MG</v>
          </cell>
          <cell r="C569">
            <v>0</v>
          </cell>
        </row>
        <row r="570">
          <cell r="A570" t="str">
            <v>I0109012</v>
          </cell>
          <cell r="B570" t="str">
            <v>MEDIO DE CONTRASTE IODADO-FRASCO AMPOLLA X 50-NO IONICO-370 MG/ML</v>
          </cell>
          <cell r="C570">
            <v>0</v>
          </cell>
        </row>
        <row r="571">
          <cell r="A571" t="str">
            <v>I0108002</v>
          </cell>
          <cell r="B571" t="str">
            <v>MEDIO DE CONTRASTE IODADO IONICO (OXITALAMATO DE MEGLUMINA-OXITALAMATO DE SODIO//IOTALAMATO DE-FCO AMPOLLA 50 ML O VOLUMEN EQUIVALENTE-MEGLUMINA-IOTALAMATO DE SODIO) --CONCENTRACION NO MENOR A 300MG/ML</v>
          </cell>
          <cell r="C571">
            <v>23</v>
          </cell>
        </row>
        <row r="572">
          <cell r="A572" t="str">
            <v>I0103002</v>
          </cell>
          <cell r="B572" t="str">
            <v>MEDIO DE CONTRASTE IODADO IONICO DE BAJA OSMOLARIDAD-UNIDAD-FRASCO AMPOLLA X 100 ML.-</v>
          </cell>
          <cell r="C572">
            <v>240</v>
          </cell>
        </row>
        <row r="573">
          <cell r="A573" t="str">
            <v>I0107004</v>
          </cell>
          <cell r="B573" t="str">
            <v>MEDIO DE CONTRASTE IODADO NO IONICO-UNIDAD-CONCENTRACION DE IODO 320 MG/ML-FRASCO AMPOLLA X 100 ML</v>
          </cell>
          <cell r="C573">
            <v>160</v>
          </cell>
        </row>
        <row r="574">
          <cell r="A574" t="str">
            <v>I0107006</v>
          </cell>
          <cell r="B574" t="str">
            <v>MEDIO DE CONTRASTE IODADO NO IONICO-UNIDAD-CONCENTRACION DE IODO 350 MG/ML-FRASCO AMPOLLA X 100 ML</v>
          </cell>
          <cell r="C574">
            <v>0</v>
          </cell>
        </row>
        <row r="575">
          <cell r="A575" t="str">
            <v>I0107003</v>
          </cell>
          <cell r="B575" t="str">
            <v>MEDIO DE CONTRASTE IODADO NO IONICO-UNIDAD-CONCENTRACION DE IODO 320 MG/ML-FRASCO AMPOLLA X 50 ML</v>
          </cell>
          <cell r="C575">
            <v>940</v>
          </cell>
        </row>
        <row r="576">
          <cell r="A576" t="str">
            <v>I0108001</v>
          </cell>
          <cell r="B576" t="str">
            <v>MEDIO DE CONTRASTE IODADO P/HISTEROSALPINGOGRAFIA-FCO. AMPOLLA 20 ML.--</v>
          </cell>
          <cell r="C576">
            <v>0</v>
          </cell>
        </row>
        <row r="577">
          <cell r="A577" t="str">
            <v>M4305114</v>
          </cell>
          <cell r="B577" t="str">
            <v>MEDIO DE CONTRASTE IODADO P/PERFUSION INTRAVENOSA NO IONICO---50ML/240MG/ML</v>
          </cell>
          <cell r="C577">
            <v>0</v>
          </cell>
        </row>
        <row r="578">
          <cell r="A578" t="str">
            <v>I0106001</v>
          </cell>
          <cell r="B578" t="str">
            <v>MEDIO DE CONTRASTE P/RESONANCIA. GADOLINIO-FCO. AMPOLLA 15 ML O VOLUMEN EQUIVALENTE--</v>
          </cell>
          <cell r="C578">
            <v>2460</v>
          </cell>
        </row>
        <row r="579">
          <cell r="A579" t="str">
            <v>M3214112</v>
          </cell>
          <cell r="B579" t="str">
            <v>MEDROXIPROGESTERONA --AMPOLLAS-150 ML</v>
          </cell>
          <cell r="C579">
            <v>0</v>
          </cell>
        </row>
        <row r="580">
          <cell r="A580" t="str">
            <v>M0208111</v>
          </cell>
          <cell r="B580" t="str">
            <v>MEPERIDINA--AMPOLLAS-100MG - 2 ML</v>
          </cell>
          <cell r="C580">
            <v>100</v>
          </cell>
        </row>
        <row r="581">
          <cell r="A581" t="str">
            <v>M43R0106</v>
          </cell>
          <cell r="B581" t="str">
            <v>MEPREDNISONA--8MG-COMPRIMIDOS</v>
          </cell>
          <cell r="C581">
            <v>0</v>
          </cell>
        </row>
        <row r="582">
          <cell r="A582" t="str">
            <v>M2709189</v>
          </cell>
          <cell r="B582" t="str">
            <v>MEPREDNISONA-FRASCO DE 15 ML-SOLUCIÃ“N ORAL-4 MG/ML</v>
          </cell>
          <cell r="C582">
            <v>300</v>
          </cell>
        </row>
        <row r="583">
          <cell r="A583" t="str">
            <v>M2709185</v>
          </cell>
          <cell r="B583" t="str">
            <v>MEPREDNISONA--COMPRIMIDO ORAL-40 MG</v>
          </cell>
          <cell r="C583">
            <v>0</v>
          </cell>
        </row>
        <row r="584">
          <cell r="A584" t="str">
            <v>M2709168</v>
          </cell>
          <cell r="B584" t="str">
            <v>MEPREDNISONA--COMPRIMIDOS-40 MGS</v>
          </cell>
          <cell r="C584">
            <v>0</v>
          </cell>
        </row>
        <row r="585">
          <cell r="A585" t="str">
            <v>M2709169</v>
          </cell>
          <cell r="B585" t="str">
            <v>MEPREDNISONA 4MG/ML-UNIDAD-FRASCO GOTERO 10 ML-</v>
          </cell>
          <cell r="C585">
            <v>0</v>
          </cell>
        </row>
        <row r="586">
          <cell r="A586" t="str">
            <v>M0701173</v>
          </cell>
          <cell r="B586" t="str">
            <v>MEROPENEM-INYECTABLE-FRANCO AMPOLLA-1 GR</v>
          </cell>
          <cell r="C586">
            <v>750</v>
          </cell>
        </row>
        <row r="587">
          <cell r="A587" t="str">
            <v>M0701190</v>
          </cell>
          <cell r="B587" t="str">
            <v>MEROPENEM-INYECTABLE-FRASCO AMPOLLA-500 MG</v>
          </cell>
          <cell r="C587">
            <v>0</v>
          </cell>
        </row>
        <row r="588">
          <cell r="A588" t="str">
            <v>M2310123</v>
          </cell>
          <cell r="B588" t="str">
            <v>MESALAZINA--SUPOSITORIOS-400 MG</v>
          </cell>
          <cell r="C588">
            <v>0</v>
          </cell>
        </row>
        <row r="589">
          <cell r="A589" t="str">
            <v>M3007119</v>
          </cell>
          <cell r="B589" t="str">
            <v>MESALAZINA-30 UNIDADES-COMPRIMIDOS/PASTILLAS/TABLETAS/GRAGEAS-1000 MG</v>
          </cell>
          <cell r="C589">
            <v>0</v>
          </cell>
        </row>
        <row r="590">
          <cell r="A590" t="str">
            <v>M2310112</v>
          </cell>
          <cell r="B590" t="str">
            <v>MESALAZINA--COMPRIMIDOS-500 MG</v>
          </cell>
          <cell r="C590">
            <v>23000</v>
          </cell>
        </row>
        <row r="591">
          <cell r="A591" t="str">
            <v>M2301062</v>
          </cell>
          <cell r="B591" t="str">
            <v>MESALAZINA--SUPOSITORIOS-1 GR</v>
          </cell>
          <cell r="C591">
            <v>0</v>
          </cell>
        </row>
        <row r="592">
          <cell r="A592" t="str">
            <v>M2301017</v>
          </cell>
          <cell r="B592" t="str">
            <v>MESALAZINA --SOBRE-1 GR</v>
          </cell>
          <cell r="C592">
            <v>0</v>
          </cell>
        </row>
        <row r="593">
          <cell r="A593" t="str">
            <v>M3259197</v>
          </cell>
          <cell r="B593" t="str">
            <v>MESALAZINA 1 G.-ENVASE X 28 U.-SUPOSITORIOS-</v>
          </cell>
          <cell r="C593">
            <v>0</v>
          </cell>
        </row>
        <row r="594">
          <cell r="A594" t="str">
            <v>M0200106</v>
          </cell>
          <cell r="B594" t="str">
            <v>METADONA--COMPRIMIDOS-10 MG</v>
          </cell>
          <cell r="C594">
            <v>0</v>
          </cell>
        </row>
        <row r="595">
          <cell r="A595" t="str">
            <v>M0200104</v>
          </cell>
          <cell r="B595" t="str">
            <v>METADONA --COMPRIMIDOS-5MG</v>
          </cell>
          <cell r="C595">
            <v>0</v>
          </cell>
        </row>
        <row r="596">
          <cell r="A596" t="str">
            <v>M3401022</v>
          </cell>
          <cell r="B596" t="str">
            <v>METFORMINA--COMPRIMIDOS-500 MG</v>
          </cell>
          <cell r="C596">
            <v>8000</v>
          </cell>
        </row>
        <row r="597">
          <cell r="A597" t="str">
            <v>M0100928</v>
          </cell>
          <cell r="B597" t="str">
            <v>METILCELULOSA-KILO-DROGA PURA-</v>
          </cell>
          <cell r="C597">
            <v>0</v>
          </cell>
        </row>
        <row r="598">
          <cell r="A598" t="str">
            <v>M3101122</v>
          </cell>
          <cell r="B598" t="str">
            <v>METILERGONOVINA-1 ML-INYECTABLE-0.2MG -</v>
          </cell>
          <cell r="C598">
            <v>0</v>
          </cell>
        </row>
        <row r="599">
          <cell r="A599" t="str">
            <v>MISON090</v>
          </cell>
          <cell r="B599" t="str">
            <v>METILPREDNISOLONA--FRASCO AMPOLLA-500 MG</v>
          </cell>
          <cell r="C599">
            <v>0</v>
          </cell>
        </row>
        <row r="600">
          <cell r="A600" t="str">
            <v>M2709182</v>
          </cell>
          <cell r="B600" t="str">
            <v>METILPREDNISOLONA (COMO SUCCINATO SÃ“DICO DE METILPREDNISOLONA)--POLVO PARA SOLUCIÃ“N INYECTABLE-500 MG</v>
          </cell>
          <cell r="C600">
            <v>135</v>
          </cell>
        </row>
        <row r="601">
          <cell r="A601" t="str">
            <v>M3601020</v>
          </cell>
          <cell r="B601" t="str">
            <v>METIMAZOL--COMPRIMIDOS-20 MG</v>
          </cell>
          <cell r="C601">
            <v>30</v>
          </cell>
        </row>
        <row r="602">
          <cell r="A602" t="str">
            <v>M3601011</v>
          </cell>
          <cell r="B602" t="str">
            <v>METIMAZOL--COMPRIMIDOS-5 MG</v>
          </cell>
          <cell r="C602">
            <v>9100</v>
          </cell>
        </row>
        <row r="603">
          <cell r="A603" t="str">
            <v>M1403124</v>
          </cell>
          <cell r="B603" t="str">
            <v>METOCLOPRAMIDA-AMPOLLA-INYECTABLE-10 MG</v>
          </cell>
          <cell r="C603">
            <v>0</v>
          </cell>
        </row>
        <row r="604">
          <cell r="A604" t="str">
            <v>M1401132</v>
          </cell>
          <cell r="B604" t="str">
            <v>METOCLOPRAMIDA--GOTAS-0.5% - 20 ML</v>
          </cell>
          <cell r="C604">
            <v>1485</v>
          </cell>
        </row>
        <row r="605">
          <cell r="A605" t="str">
            <v>M2310157</v>
          </cell>
          <cell r="B605" t="str">
            <v>METOCLOPRAMIDA-AMPOLLA DE 2 ML-SOLUCIÃ“N INYECTABLE-5 MG/ML</v>
          </cell>
          <cell r="C605">
            <v>10706</v>
          </cell>
        </row>
        <row r="606">
          <cell r="A606" t="str">
            <v>M1401111</v>
          </cell>
          <cell r="B606" t="str">
            <v>METOCLOPRAMIDA--COMPRIMIDOS-10MG</v>
          </cell>
          <cell r="C606">
            <v>0</v>
          </cell>
        </row>
        <row r="607">
          <cell r="A607" t="str">
            <v>M3201044</v>
          </cell>
          <cell r="B607" t="str">
            <v>METOTREXATO--FCO.AMPOLLA-20 MG</v>
          </cell>
          <cell r="C607">
            <v>0</v>
          </cell>
        </row>
        <row r="608">
          <cell r="A608" t="str">
            <v>M3259143</v>
          </cell>
          <cell r="B608" t="str">
            <v>METOTREXATO--COMPRIMIDOS-7.5MG</v>
          </cell>
          <cell r="C608">
            <v>1600</v>
          </cell>
        </row>
        <row r="609">
          <cell r="A609" t="str">
            <v>M3201012</v>
          </cell>
          <cell r="B609" t="str">
            <v>METOTREXATO--FCO. AMPOLLA-50 MG</v>
          </cell>
          <cell r="C609">
            <v>50</v>
          </cell>
        </row>
        <row r="610">
          <cell r="A610" t="str">
            <v>M3201013</v>
          </cell>
          <cell r="B610" t="str">
            <v>METOTREXATO--COMPRIMIDOS-2.5 MG</v>
          </cell>
          <cell r="C610">
            <v>0</v>
          </cell>
        </row>
        <row r="611">
          <cell r="A611" t="str">
            <v>M3201128</v>
          </cell>
          <cell r="B611" t="str">
            <v>METOTREXATO--COMPRIMIDOS-10 MG</v>
          </cell>
          <cell r="C611">
            <v>0</v>
          </cell>
        </row>
        <row r="612">
          <cell r="A612" t="str">
            <v>M3259198</v>
          </cell>
          <cell r="B612" t="str">
            <v>METOTREXATO 15 MG-COMPRIMIDOS RANURADOS X 4--</v>
          </cell>
          <cell r="C612">
            <v>0</v>
          </cell>
        </row>
        <row r="613">
          <cell r="A613" t="str">
            <v>M1901013</v>
          </cell>
          <cell r="B613" t="str">
            <v>METRONIDAZOL-FRASCO 120 ML-SUSPENSION ORAL-250MG/5ML</v>
          </cell>
          <cell r="C613">
            <v>0</v>
          </cell>
        </row>
        <row r="614">
          <cell r="A614" t="str">
            <v>M1901037</v>
          </cell>
          <cell r="B614" t="str">
            <v>METRONIDAZOL--COMPRIMIDO-500 MG</v>
          </cell>
          <cell r="C614">
            <v>5500</v>
          </cell>
        </row>
        <row r="615">
          <cell r="A615" t="str">
            <v>M3101061</v>
          </cell>
          <cell r="B615" t="str">
            <v>METRONIDAZOL--OVULOS-500 MG</v>
          </cell>
          <cell r="C615">
            <v>0</v>
          </cell>
        </row>
        <row r="616">
          <cell r="A616" t="str">
            <v>M1901016</v>
          </cell>
          <cell r="B616" t="str">
            <v>METRONIDAZOL-SACHET-INYECTABLE-500MG/100ML - 100 ML</v>
          </cell>
          <cell r="C616">
            <v>850</v>
          </cell>
        </row>
        <row r="617">
          <cell r="A617" t="str">
            <v>M3101060</v>
          </cell>
          <cell r="B617" t="str">
            <v>METRONIDAZOL-DEXAMETASONA-LIDOCAINA-NEOMICINA-NISTATINA-00UI-OVULOS-500-0.2-10-5MG-100.0</v>
          </cell>
          <cell r="C617">
            <v>170</v>
          </cell>
        </row>
        <row r="618">
          <cell r="A618" t="str">
            <v>M3103127</v>
          </cell>
          <cell r="B618" t="str">
            <v>METRONIDAZOL-MICONAZOL-NEOMICINA-POLIMIXINA-CENTELLA ASIATIC-G-OVULOS-300-100-48.8-4.4-15M</v>
          </cell>
          <cell r="C618">
            <v>0</v>
          </cell>
        </row>
        <row r="619">
          <cell r="A619" t="str">
            <v>M3706146</v>
          </cell>
          <cell r="B619" t="str">
            <v>MICOFENOLATO --COMPRIMIDOS-360MG</v>
          </cell>
          <cell r="C619">
            <v>0</v>
          </cell>
        </row>
        <row r="620">
          <cell r="A620" t="str">
            <v>M3706138</v>
          </cell>
          <cell r="B620" t="str">
            <v>MICOFENOLATO MOFETIL--COMPRIMIDOS-500 MG</v>
          </cell>
          <cell r="C620">
            <v>4000</v>
          </cell>
        </row>
        <row r="621">
          <cell r="A621" t="str">
            <v>M1802113</v>
          </cell>
          <cell r="B621" t="str">
            <v>MICONAZOL --CREMA-2%-20GR</v>
          </cell>
          <cell r="C621">
            <v>60</v>
          </cell>
        </row>
        <row r="622">
          <cell r="A622" t="str">
            <v>M2310149</v>
          </cell>
          <cell r="B622" t="str">
            <v>MICRO ENEMA-UNIDAD-ENEMA-</v>
          </cell>
          <cell r="C622">
            <v>55</v>
          </cell>
        </row>
        <row r="623">
          <cell r="A623" t="str">
            <v>M1236111</v>
          </cell>
          <cell r="B623" t="str">
            <v>MIDAZOLAM--AMPOLLAS-5MG/ML - 3 ML</v>
          </cell>
          <cell r="C623">
            <v>34800</v>
          </cell>
        </row>
        <row r="624">
          <cell r="A624" t="str">
            <v>M1246411</v>
          </cell>
          <cell r="B624" t="str">
            <v>MIDAZOLAM-AMPOLLA DE 3 ML-SOLUCIÃ“N INYECTABLE-5 MG/ML</v>
          </cell>
          <cell r="C624">
            <v>15000</v>
          </cell>
        </row>
        <row r="625">
          <cell r="A625" t="str">
            <v>M3103169</v>
          </cell>
          <cell r="B625" t="str">
            <v>MIFEPRISTONA-UNIDAD--200 GR.</v>
          </cell>
          <cell r="C625">
            <v>0</v>
          </cell>
        </row>
        <row r="626">
          <cell r="A626" t="str">
            <v>M3103164</v>
          </cell>
          <cell r="B626" t="str">
            <v>MIFEPRISTONA + MISOPROSTOL-1+4 COMPRIMIDOS-COMPRIMIDOS-200 MG - 200 MCG</v>
          </cell>
          <cell r="C626">
            <v>0</v>
          </cell>
        </row>
        <row r="627">
          <cell r="A627" t="str">
            <v>M2534128</v>
          </cell>
          <cell r="B627" t="str">
            <v>MILRINONA--FCO. AMPOLLA I.V.-10MG/ML - 1 ML</v>
          </cell>
          <cell r="C627">
            <v>50</v>
          </cell>
        </row>
        <row r="628">
          <cell r="A628" t="str">
            <v>M1001007</v>
          </cell>
          <cell r="B628" t="str">
            <v>MINOCICLINA--COMPRIMIDO-50 MG</v>
          </cell>
          <cell r="C628">
            <v>0</v>
          </cell>
        </row>
        <row r="629">
          <cell r="A629" t="str">
            <v>M1001008</v>
          </cell>
          <cell r="B629" t="str">
            <v>MINOCICLINA--COMPRIMIDO-100 MG</v>
          </cell>
          <cell r="C629">
            <v>1520</v>
          </cell>
        </row>
        <row r="630">
          <cell r="A630" t="str">
            <v>M2534242</v>
          </cell>
          <cell r="B630" t="str">
            <v>MINOXIDIL-GRAMOS-POLVO-</v>
          </cell>
          <cell r="C630">
            <v>25</v>
          </cell>
        </row>
        <row r="631">
          <cell r="A631" t="str">
            <v>M3103131</v>
          </cell>
          <cell r="B631" t="str">
            <v>MISOPROSTOL-COMPRIMIDOS VAGINALES-25 MCG-</v>
          </cell>
          <cell r="C631">
            <v>0</v>
          </cell>
        </row>
        <row r="632">
          <cell r="A632" t="str">
            <v>M3103163</v>
          </cell>
          <cell r="B632" t="str">
            <v>MISOPROSTOL 200 UG-COMPRIMIDO-INDUCTOR DEL PARTO - USO VAGINAL-</v>
          </cell>
          <cell r="C632">
            <v>0</v>
          </cell>
        </row>
        <row r="633">
          <cell r="A633" t="str">
            <v>M3103175</v>
          </cell>
          <cell r="B633" t="str">
            <v>MISOPROSTOL 200 ÂµGR-UNIDAD-FORMA FARMACEUTICA COMPRIMIDO VAGINAL-ENVASE X 12 UN</v>
          </cell>
          <cell r="C633">
            <v>0</v>
          </cell>
        </row>
        <row r="634">
          <cell r="A634" t="str">
            <v>M2514111</v>
          </cell>
          <cell r="B634" t="str">
            <v>MONONITRATO DE ISOSORBIDE--COMPRIMIDOS-20 MG</v>
          </cell>
          <cell r="C634">
            <v>1020</v>
          </cell>
        </row>
        <row r="635">
          <cell r="A635" t="str">
            <v>M2514112</v>
          </cell>
          <cell r="B635" t="str">
            <v>MONONITRATO DE ISOSORBIDE--COMPRIMIDOS-50 MG</v>
          </cell>
          <cell r="C635">
            <v>0</v>
          </cell>
        </row>
        <row r="636">
          <cell r="A636" t="str">
            <v>M2401039</v>
          </cell>
          <cell r="B636" t="str">
            <v>MONTELUKAST SODICO--COMPRIMIDOS-10 MG</v>
          </cell>
          <cell r="C636">
            <v>0</v>
          </cell>
        </row>
        <row r="637">
          <cell r="A637" t="str">
            <v>M02R1101</v>
          </cell>
          <cell r="B637" t="str">
            <v>MORFINA--COMPRIMIDO-10MG</v>
          </cell>
          <cell r="C637">
            <v>0</v>
          </cell>
        </row>
        <row r="638">
          <cell r="A638" t="str">
            <v>M0209111</v>
          </cell>
          <cell r="B638" t="str">
            <v>MORFINA--AMPOLLAS-1% - 1 ML</v>
          </cell>
          <cell r="C638">
            <v>3200</v>
          </cell>
        </row>
        <row r="639">
          <cell r="A639" t="str">
            <v>M0125031</v>
          </cell>
          <cell r="B639" t="str">
            <v>MORFINA--X GR-</v>
          </cell>
          <cell r="C639">
            <v>1500</v>
          </cell>
        </row>
        <row r="640">
          <cell r="A640" t="str">
            <v>M0216122</v>
          </cell>
          <cell r="B640" t="str">
            <v>MORFINA CLORHIDRATO--COMPRIMIDOS-30 MG</v>
          </cell>
          <cell r="C640">
            <v>0</v>
          </cell>
        </row>
        <row r="641">
          <cell r="A641" t="str">
            <v>M0216130</v>
          </cell>
          <cell r="B641" t="str">
            <v>MORFINA SULFATO-2 ML-AMPOLLAS-1 MG/ML</v>
          </cell>
          <cell r="C641">
            <v>0</v>
          </cell>
        </row>
        <row r="642">
          <cell r="A642" t="str">
            <v>M1101082</v>
          </cell>
          <cell r="B642" t="str">
            <v>MOXIFLOXACINA-UNIDAD-COMPRIMIDOS-400 MG</v>
          </cell>
          <cell r="C642">
            <v>0</v>
          </cell>
        </row>
        <row r="643">
          <cell r="A643" t="str">
            <v>M1109131</v>
          </cell>
          <cell r="B643" t="str">
            <v>MOXIFLOXACINA CLORHIDRATO--COMPRIMIDOS-400 MG</v>
          </cell>
          <cell r="C643">
            <v>0</v>
          </cell>
        </row>
        <row r="644">
          <cell r="A644" t="str">
            <v>M2901084</v>
          </cell>
          <cell r="B644" t="str">
            <v>MUPIROCINA--UNGUENTO TOPICO-2GR/100GR - 15 GR</v>
          </cell>
          <cell r="C644">
            <v>0</v>
          </cell>
        </row>
        <row r="645">
          <cell r="A645" t="str">
            <v>M5005006</v>
          </cell>
          <cell r="B645" t="str">
            <v>MÃ“DULO DE CASEINATO DE CALCIO-250 GRS. LATA-MÃ“DULO PROTEICO-</v>
          </cell>
          <cell r="C645">
            <v>0</v>
          </cell>
        </row>
        <row r="646">
          <cell r="A646" t="str">
            <v>M5005005</v>
          </cell>
          <cell r="B646" t="str">
            <v>MÃ“DULO DE MALTODEXTRINA-400 GRS. LATA-MÃ“DULO CALÃ“RICO-</v>
          </cell>
          <cell r="C646">
            <v>12</v>
          </cell>
        </row>
        <row r="647">
          <cell r="A647" t="str">
            <v>M0205111</v>
          </cell>
          <cell r="B647" t="str">
            <v>NALBUFINA-AMPOLLA - 1 ML-INYECTABLE-10MG/ML</v>
          </cell>
          <cell r="C647">
            <v>75</v>
          </cell>
        </row>
        <row r="648">
          <cell r="A648" t="str">
            <v>M3805111</v>
          </cell>
          <cell r="B648" t="str">
            <v>NALOXONA-1 ML-AMPOLLAS-0.4MG/ML -</v>
          </cell>
          <cell r="C648">
            <v>0</v>
          </cell>
        </row>
        <row r="649">
          <cell r="A649" t="str">
            <v>M1701024</v>
          </cell>
          <cell r="B649" t="str">
            <v>NAPROXENO--COMPRIMIDOS-500 MG</v>
          </cell>
          <cell r="C649">
            <v>5000</v>
          </cell>
        </row>
        <row r="650">
          <cell r="A650" t="str">
            <v>M2534235</v>
          </cell>
          <cell r="B650" t="str">
            <v>NEBIVOLOL--COMPRIMIDOS-5 MG.</v>
          </cell>
          <cell r="C650">
            <v>103</v>
          </cell>
        </row>
        <row r="651">
          <cell r="A651" t="str">
            <v>M4109111</v>
          </cell>
          <cell r="B651" t="str">
            <v>NEOSTIGMINA-1 ML-AMPOLLAS-0.5MG/ML -</v>
          </cell>
          <cell r="C651">
            <v>200</v>
          </cell>
        </row>
        <row r="652">
          <cell r="A652" t="str">
            <v>M2501072</v>
          </cell>
          <cell r="B652" t="str">
            <v>NIMODIPINA--COMPRIMIDO-60 MG</v>
          </cell>
          <cell r="C652">
            <v>600</v>
          </cell>
        </row>
        <row r="653">
          <cell r="A653" t="str">
            <v>M1805114</v>
          </cell>
          <cell r="B653" t="str">
            <v>NISTATINA-30 ML-SUSPENSION ORAL-100.000/ML -</v>
          </cell>
          <cell r="C653">
            <v>0</v>
          </cell>
        </row>
        <row r="654">
          <cell r="A654" t="str">
            <v>M1803152</v>
          </cell>
          <cell r="B654" t="str">
            <v>NISTATINA-60ML-SUSPENSION ORAL-100.000U.I/ML -</v>
          </cell>
          <cell r="C654">
            <v>274</v>
          </cell>
        </row>
        <row r="655">
          <cell r="A655" t="str">
            <v>M3000033</v>
          </cell>
          <cell r="B655" t="str">
            <v>NITROFURANTOINA--COMPRIMIDO-100 MG</v>
          </cell>
          <cell r="C655">
            <v>492</v>
          </cell>
        </row>
        <row r="656">
          <cell r="A656" t="str">
            <v>M2000033</v>
          </cell>
          <cell r="B656" t="str">
            <v>NITROFURAZONA--SOLUCION-0.2% - 5 LT</v>
          </cell>
          <cell r="C656">
            <v>0</v>
          </cell>
        </row>
        <row r="657">
          <cell r="A657" t="str">
            <v>M2000034</v>
          </cell>
          <cell r="B657" t="str">
            <v>NITROFURAZONA--SOLUCION-0.2% - 1 LT</v>
          </cell>
          <cell r="C657">
            <v>0</v>
          </cell>
        </row>
        <row r="658">
          <cell r="A658" t="str">
            <v>M2501075</v>
          </cell>
          <cell r="B658" t="str">
            <v>NITROGLICERINA-AMPOLLA-INYECTABLE-5MG/ML - 5 ML</v>
          </cell>
          <cell r="C658">
            <v>0</v>
          </cell>
        </row>
        <row r="659">
          <cell r="A659" t="str">
            <v>M2534150</v>
          </cell>
          <cell r="B659" t="str">
            <v>NITROGLICERINA--AMPOLLA-25 MG X 5 ML</v>
          </cell>
          <cell r="C659">
            <v>1050</v>
          </cell>
        </row>
        <row r="660">
          <cell r="A660" t="str">
            <v>M2509113</v>
          </cell>
          <cell r="B660" t="str">
            <v>NITROPRUSIATO DE SODIO-FRASCO AMPOLLA C/BOLSA PROTECTORA-INYECTABLE-50 MG</v>
          </cell>
          <cell r="C660">
            <v>70</v>
          </cell>
        </row>
        <row r="661">
          <cell r="A661" t="str">
            <v>M2501116</v>
          </cell>
          <cell r="B661" t="str">
            <v>NORADRENALINA--AMPOLLAS-1MG/ML - 4 ML</v>
          </cell>
          <cell r="C661">
            <v>1600</v>
          </cell>
        </row>
        <row r="662">
          <cell r="A662" t="str">
            <v>M1101075</v>
          </cell>
          <cell r="B662" t="str">
            <v>NORFLOXACINA--COMPRIMIDO-400MG</v>
          </cell>
          <cell r="C662">
            <v>510</v>
          </cell>
        </row>
        <row r="663">
          <cell r="A663" t="str">
            <v>M3913375</v>
          </cell>
          <cell r="B663" t="str">
            <v>NUTRICION PARENTERAL LISTA P/USAR POR VIA CENTRAL-BOLSAS ESTANDARES DE 3 CAMARASHIDRTATOS DE CARBONO, PROTEINAS Y GRASAS-VOLUMEN 2053 ML C/BOLSA - UNIDAD-FORMULAS C/CONTENIDO DE OMEGA 3 Y OMEGA 6 SIN-SIN ACEITE DE SOJA KCAL TOTALES 1900</v>
          </cell>
          <cell r="C663">
            <v>0</v>
          </cell>
        </row>
        <row r="664">
          <cell r="A664" t="str">
            <v>M3601015</v>
          </cell>
          <cell r="B664" t="str">
            <v>OCTREOTIDA--AMPOLLAS-0.1MG/ML - 1 ML</v>
          </cell>
          <cell r="C664">
            <v>1970</v>
          </cell>
        </row>
        <row r="665">
          <cell r="A665" t="str">
            <v>M3601014</v>
          </cell>
          <cell r="B665" t="str">
            <v>OCTREOTIDA--AMPOLLAS-0.05MG/ML - 1 ML</v>
          </cell>
          <cell r="C665">
            <v>0</v>
          </cell>
        </row>
        <row r="666">
          <cell r="A666" t="str">
            <v>M3629124</v>
          </cell>
          <cell r="B666" t="str">
            <v>OCTREOTIDE--0.1 MGR.-AMPOLLA</v>
          </cell>
          <cell r="C666">
            <v>0</v>
          </cell>
        </row>
        <row r="667">
          <cell r="A667" t="str">
            <v>M1201108</v>
          </cell>
          <cell r="B667" t="str">
            <v>OLANZAPINA--COMPRIMIDOS-5 MG</v>
          </cell>
          <cell r="C667">
            <v>0</v>
          </cell>
        </row>
        <row r="668">
          <cell r="A668" t="str">
            <v>M1200111</v>
          </cell>
          <cell r="B668" t="str">
            <v>OLANZAPINA--COMPRIMIDOS-10 MG</v>
          </cell>
          <cell r="C668">
            <v>12040</v>
          </cell>
        </row>
        <row r="669">
          <cell r="A669" t="str">
            <v>M1246178</v>
          </cell>
          <cell r="B669" t="str">
            <v>OLANZAPINA--COMPRIMIDO DE DISOLUCION ORAL INSTANTANEA-10MG</v>
          </cell>
          <cell r="C669">
            <v>0</v>
          </cell>
        </row>
        <row r="670">
          <cell r="A670" t="str">
            <v>M2201006</v>
          </cell>
          <cell r="B670" t="str">
            <v>OMEPRAZOL--COMPRIMIDOS-20 MG</v>
          </cell>
          <cell r="C670">
            <v>5</v>
          </cell>
        </row>
        <row r="671">
          <cell r="A671" t="str">
            <v>M2201005</v>
          </cell>
          <cell r="B671" t="str">
            <v>OMEPRAZOL--FCO. AMPOLLA I.V.-40 MG</v>
          </cell>
          <cell r="C671">
            <v>2300</v>
          </cell>
        </row>
        <row r="672">
          <cell r="A672" t="str">
            <v>M2201123</v>
          </cell>
          <cell r="B672" t="str">
            <v>OMEPRAZOL--CAPSULAS-20 MG</v>
          </cell>
          <cell r="C672">
            <v>35779</v>
          </cell>
        </row>
        <row r="673">
          <cell r="A673" t="str">
            <v>M2201007</v>
          </cell>
          <cell r="B673" t="str">
            <v>OMEPRAZOL--COMPRIMIDOS-40 MG</v>
          </cell>
          <cell r="C673">
            <v>0</v>
          </cell>
        </row>
        <row r="674">
          <cell r="A674" t="str">
            <v>M4116119</v>
          </cell>
          <cell r="B674" t="str">
            <v>ONABOTULINUMTOXIN A-VIAL X 1-AMPOLLA 200 UI-</v>
          </cell>
          <cell r="C674">
            <v>6</v>
          </cell>
        </row>
        <row r="675">
          <cell r="A675" t="str">
            <v>M1403121</v>
          </cell>
          <cell r="B675" t="str">
            <v>ONDANSETRON--AMPOLLAS-4 MG</v>
          </cell>
          <cell r="C675">
            <v>0</v>
          </cell>
        </row>
        <row r="676">
          <cell r="A676" t="str">
            <v>M1403122</v>
          </cell>
          <cell r="B676" t="str">
            <v>ONDANSETRON--AMPOLLAS-8 MG</v>
          </cell>
          <cell r="C676">
            <v>2690</v>
          </cell>
        </row>
        <row r="677">
          <cell r="A677" t="str">
            <v>M1403120</v>
          </cell>
          <cell r="B677" t="str">
            <v>ONDASETRON--FCO-AMPOLLA-50 MG</v>
          </cell>
          <cell r="C677">
            <v>0</v>
          </cell>
        </row>
        <row r="678">
          <cell r="A678" t="str">
            <v>YM000501</v>
          </cell>
          <cell r="B678" t="str">
            <v>ORTOFTALALDEHIDO (OPA)--BIDON 3-5 LTS-LITRO</v>
          </cell>
          <cell r="C678">
            <v>0</v>
          </cell>
        </row>
        <row r="679">
          <cell r="A679" t="str">
            <v>M2000117</v>
          </cell>
          <cell r="B679" t="str">
            <v>ORTOFTALDEHIDO--LIQUIDO-0,55%-5 LITROS</v>
          </cell>
          <cell r="C679">
            <v>73</v>
          </cell>
        </row>
        <row r="680">
          <cell r="A680" t="str">
            <v>M4219140</v>
          </cell>
          <cell r="B680" t="str">
            <v>OSELTAMIVIR-FCO X 75 ML-JARABE-30GR/75 ML</v>
          </cell>
          <cell r="C680">
            <v>0</v>
          </cell>
        </row>
        <row r="681">
          <cell r="A681" t="str">
            <v>M4219120</v>
          </cell>
          <cell r="B681" t="str">
            <v>OSELTAMIVIR FOSFATO--CAPSULAS-98.5 MG (EQ.75MG)</v>
          </cell>
          <cell r="C681">
            <v>0</v>
          </cell>
        </row>
        <row r="682">
          <cell r="A682" t="str">
            <v>M1201109</v>
          </cell>
          <cell r="B682" t="str">
            <v>OXACARBAZEPINA--COMPRIMIDOS-300 MG</v>
          </cell>
          <cell r="C682">
            <v>0</v>
          </cell>
        </row>
        <row r="683">
          <cell r="A683" t="str">
            <v>M1246163</v>
          </cell>
          <cell r="B683" t="str">
            <v>OXACARBAZEPINA--JARABE-6GR/100ML - 100 ML</v>
          </cell>
          <cell r="C683">
            <v>0</v>
          </cell>
        </row>
        <row r="684">
          <cell r="A684" t="str">
            <v>YF380306</v>
          </cell>
          <cell r="B684" t="str">
            <v>OXIDO DE ETILENO-CAPSUL-CAPSULA-130-134</v>
          </cell>
          <cell r="C684">
            <v>0</v>
          </cell>
        </row>
        <row r="685">
          <cell r="A685" t="str">
            <v>C8103111</v>
          </cell>
          <cell r="B685" t="str">
            <v>OXIDO DE ETILENO-UNIDAD-CARTUCHO-</v>
          </cell>
          <cell r="C685">
            <v>624</v>
          </cell>
        </row>
        <row r="686">
          <cell r="A686" t="str">
            <v>YF380302</v>
          </cell>
          <cell r="B686" t="str">
            <v>OXIDO DE ETILENO 100%-UNIDAD-CAPSULA-67-80 GRS</v>
          </cell>
          <cell r="C686">
            <v>0</v>
          </cell>
        </row>
        <row r="687">
          <cell r="A687" t="str">
            <v>M3102111</v>
          </cell>
          <cell r="B687" t="str">
            <v>OXITOCINA--AMPOLLAS-5 U.I. -1ML</v>
          </cell>
          <cell r="C687">
            <v>0</v>
          </cell>
        </row>
        <row r="688">
          <cell r="A688" t="str">
            <v>M3102112</v>
          </cell>
          <cell r="B688" t="str">
            <v>OXITOCINA--AMPOLLAS-10U.I - 1 ML</v>
          </cell>
          <cell r="C688">
            <v>0</v>
          </cell>
        </row>
        <row r="689">
          <cell r="A689" t="str">
            <v>M3301036</v>
          </cell>
          <cell r="B689" t="str">
            <v>PAMIDRONATO DISODICO--AMPOLLA-90 MG</v>
          </cell>
          <cell r="C689">
            <v>12</v>
          </cell>
        </row>
        <row r="690">
          <cell r="A690" t="str">
            <v>YA322205</v>
          </cell>
          <cell r="B690" t="str">
            <v>PAPEL CREPADO--80 XM X 1400 METROS-</v>
          </cell>
          <cell r="C690">
            <v>0</v>
          </cell>
        </row>
        <row r="691">
          <cell r="A691" t="str">
            <v>P0903114</v>
          </cell>
          <cell r="B691" t="str">
            <v>PAPEL CREPADO-GRADO MEDICO---100 CM DE ANCHO X-100 MTS.DE LARGO</v>
          </cell>
          <cell r="C691">
            <v>0</v>
          </cell>
        </row>
        <row r="692">
          <cell r="A692" t="str">
            <v>P0903120</v>
          </cell>
          <cell r="B692" t="str">
            <v>PAPEL CREPE GRADO MEDICO--BOBINA-100 MTS</v>
          </cell>
          <cell r="C692">
            <v>0</v>
          </cell>
        </row>
        <row r="693">
          <cell r="A693" t="str">
            <v>P2021119</v>
          </cell>
          <cell r="B693" t="str">
            <v>PAPEL SULFITO BLANCO EN BOBINAS DE--Y 13 KG. DE PESO-</v>
          </cell>
          <cell r="C693">
            <v>0</v>
          </cell>
        </row>
        <row r="694">
          <cell r="A694" t="str">
            <v>YA312105</v>
          </cell>
          <cell r="B694" t="str">
            <v>PAPEL USO MEDICO CREPADO AZUL-BOBINA-BOBINA-120 CMS X 100 M DE LARGO</v>
          </cell>
          <cell r="C694">
            <v>52</v>
          </cell>
        </row>
        <row r="695">
          <cell r="A695" t="str">
            <v>YA322102</v>
          </cell>
          <cell r="B695" t="str">
            <v>PAPEL USO MEDICO CREPADO BLANCO-BOBINA-BOBINA-60 CMS DE ANCHO X 100 M DE LARGO</v>
          </cell>
          <cell r="C695">
            <v>0</v>
          </cell>
        </row>
        <row r="696">
          <cell r="A696" t="str">
            <v>YA322107</v>
          </cell>
          <cell r="B696" t="str">
            <v>PAPEL USO MEDICO CREPADO BLANCO-BOBINA-BOBINA-120 CM X 100 M DE LARGO</v>
          </cell>
          <cell r="C696">
            <v>0</v>
          </cell>
        </row>
        <row r="697">
          <cell r="A697" t="str">
            <v>YA264205</v>
          </cell>
          <cell r="B697" t="str">
            <v>PAPEL USO MEDICO LISO Y LAMINA TRANSPARENTE C/INDICADOR QUIMICO-ROLLO-ENVASE MIXTO-75 MM X 200 M</v>
          </cell>
          <cell r="C697">
            <v>13</v>
          </cell>
        </row>
        <row r="698">
          <cell r="A698" t="str">
            <v>YA264213</v>
          </cell>
          <cell r="B698" t="str">
            <v>PAPEL USO MEDICO LISO Y LAMINA TRANSPARENTE C/INDICADOR QUIMICO(POUCH)-ROLLO-ENVASE MIXTO-100 MM X 200 M</v>
          </cell>
          <cell r="C698">
            <v>15</v>
          </cell>
        </row>
        <row r="699">
          <cell r="A699" t="str">
            <v>YA264223</v>
          </cell>
          <cell r="B699" t="str">
            <v>PAPEL USO MEDICO LISO Y LAMINA TRANSPARENTE C/INDICADOR QUIMICO. (POUCH)-ROLLO-ENVASE MIXTO-200 MM X 200M</v>
          </cell>
          <cell r="C699">
            <v>14</v>
          </cell>
        </row>
        <row r="700">
          <cell r="A700" t="str">
            <v>YA212105</v>
          </cell>
          <cell r="B700" t="str">
            <v>PAPEL USO MEDICO LISO AZUL-BOBINA-BOBINA-120 CM ANCHO X 100 M DE LARGO</v>
          </cell>
          <cell r="C700">
            <v>0</v>
          </cell>
        </row>
        <row r="701">
          <cell r="A701" t="str">
            <v>YA222105</v>
          </cell>
          <cell r="B701" t="str">
            <v>PAPEL USO MEDICO LISO BLANCO-BOBINA-BOBINA-120 CMS DE ANCHO X 100 M DE LARGO</v>
          </cell>
          <cell r="C701">
            <v>136</v>
          </cell>
        </row>
        <row r="702">
          <cell r="A702" t="str">
            <v>YA253308</v>
          </cell>
          <cell r="B702" t="str">
            <v>PAPEL USO MEDICO LISO C/INDICADOR QUIMICO-BOLSA-BOLSA-140 X 330 X 50 MM</v>
          </cell>
          <cell r="C702">
            <v>33882</v>
          </cell>
        </row>
        <row r="703">
          <cell r="A703" t="str">
            <v>YA253305</v>
          </cell>
          <cell r="B703" t="str">
            <v>PAPEL USO MEDICO LISO C/INDICADOR QUIMICO-BOLSA-BOLSAS-125 X 250 X 50-90 MM</v>
          </cell>
          <cell r="C703">
            <v>20000</v>
          </cell>
        </row>
        <row r="704">
          <cell r="A704" t="str">
            <v>YA253304</v>
          </cell>
          <cell r="B704" t="str">
            <v>PAPEL USO MEDICO LISO C/INDICADOR QUIMICO-UNIDAD-BOLSAS-110 X 190 X 30 MM</v>
          </cell>
          <cell r="C704">
            <v>0</v>
          </cell>
        </row>
        <row r="705">
          <cell r="A705" t="str">
            <v>YA243315</v>
          </cell>
          <cell r="B705" t="str">
            <v>PAPEL USO MEDICO LISO C/INDICADOR QUIMICO-BOLSA-BOLSAS-300 -330 X 600-62 5 X 100- 120 MM</v>
          </cell>
          <cell r="C705">
            <v>0</v>
          </cell>
        </row>
        <row r="706">
          <cell r="A706" t="str">
            <v>YA264203</v>
          </cell>
          <cell r="B706" t="str">
            <v>PAPEL USO MEDICO LISO Y LAMINA TRANSPARENTE C/INDICADOR QUIMICO (POUCH)-ROLLO-ENVASE MIXTO-75MM X 100 M</v>
          </cell>
          <cell r="C706">
            <v>0</v>
          </cell>
        </row>
        <row r="707">
          <cell r="A707" t="str">
            <v>YA264228</v>
          </cell>
          <cell r="B707" t="str">
            <v>PAPEL USO MEDICO LISO Y LAMINA TRANSPARENTE C/INDICADOR QUIMICO. (POUCH)-ROLLO-ENVASE MIXTO-300 MM DE X 200M</v>
          </cell>
          <cell r="C707">
            <v>13</v>
          </cell>
        </row>
        <row r="708">
          <cell r="A708" t="str">
            <v>M1701125</v>
          </cell>
          <cell r="B708" t="str">
            <v>PARACETAMOL--COMPRIMIDOS-1GR</v>
          </cell>
          <cell r="C708">
            <v>17300</v>
          </cell>
        </row>
        <row r="709">
          <cell r="A709" t="str">
            <v>M0216164</v>
          </cell>
          <cell r="B709" t="str">
            <v>PARACETAMOL-AMPOLLA DE 10 MG/ML DE 100 ML--10MG/ML</v>
          </cell>
          <cell r="C709">
            <v>297</v>
          </cell>
        </row>
        <row r="710">
          <cell r="A710" t="str">
            <v>M1701064</v>
          </cell>
          <cell r="B710" t="str">
            <v>PARACETAMOL--COMPRIMIDOS-500 MG</v>
          </cell>
          <cell r="C710">
            <v>31200</v>
          </cell>
        </row>
        <row r="711">
          <cell r="A711" t="str">
            <v>M1701120</v>
          </cell>
          <cell r="B711" t="str">
            <v>PARACETAMOL--GOTAS-10GR-100ML</v>
          </cell>
          <cell r="C711">
            <v>0</v>
          </cell>
        </row>
        <row r="712">
          <cell r="A712" t="str">
            <v>M1701093</v>
          </cell>
          <cell r="B712" t="str">
            <v>PARACETAMOL --GOTAS-10 ML</v>
          </cell>
          <cell r="C712">
            <v>0</v>
          </cell>
        </row>
        <row r="713">
          <cell r="A713" t="str">
            <v>M1200121</v>
          </cell>
          <cell r="B713" t="str">
            <v>PAROXETINA CLORHIDRATO--COMPRIMIDOS-20 MG</v>
          </cell>
          <cell r="C713">
            <v>10620</v>
          </cell>
        </row>
        <row r="714">
          <cell r="A714" t="str">
            <v>M0705112</v>
          </cell>
          <cell r="B714" t="str">
            <v>PENICILINA G. BENZATINICA-INYECTABLE-FRASCO AMPOLLA-2.400.000U.I.</v>
          </cell>
          <cell r="C714">
            <v>75</v>
          </cell>
        </row>
        <row r="715">
          <cell r="A715" t="str">
            <v>M0706112</v>
          </cell>
          <cell r="B715" t="str">
            <v>PENICILINA G. SODICA--FCO. AMPOLLA-3.000.000U.I.</v>
          </cell>
          <cell r="C715">
            <v>200</v>
          </cell>
        </row>
        <row r="716">
          <cell r="A716" t="str">
            <v>M2615125</v>
          </cell>
          <cell r="B716" t="str">
            <v>PENTOXIFILINA--COMPRIMIDOS-600 MG</v>
          </cell>
          <cell r="C716">
            <v>0</v>
          </cell>
        </row>
        <row r="717">
          <cell r="A717" t="str">
            <v>M1901041</v>
          </cell>
          <cell r="B717" t="str">
            <v>PERMETRINA--LOCION-1% - 100 ML</v>
          </cell>
          <cell r="C717">
            <v>7</v>
          </cell>
        </row>
        <row r="718">
          <cell r="A718" t="str">
            <v>M1901046</v>
          </cell>
          <cell r="B718" t="str">
            <v>PERMETRINA --CREMA-5%-100GR</v>
          </cell>
          <cell r="C718">
            <v>5</v>
          </cell>
        </row>
        <row r="719">
          <cell r="A719" t="str">
            <v>M1200171</v>
          </cell>
          <cell r="B719" t="str">
            <v>PILOCARPINA CLORHIDRATO--COMPRIMIDOS-5MG</v>
          </cell>
          <cell r="C719">
            <v>0</v>
          </cell>
        </row>
        <row r="720">
          <cell r="A720" t="str">
            <v>M0701179</v>
          </cell>
          <cell r="B720" t="str">
            <v>PIPERACILINA SODICA-TAZOBACTAM-INYECTABLE-FRASCO AMPOLLA-4GR-500MG</v>
          </cell>
          <cell r="C720">
            <v>4250</v>
          </cell>
        </row>
        <row r="721">
          <cell r="A721" t="str">
            <v>M43R0105</v>
          </cell>
          <cell r="B721" t="str">
            <v>PIRAZINAMIDA--400 MG-TABLETAS</v>
          </cell>
          <cell r="C721">
            <v>0</v>
          </cell>
        </row>
        <row r="722">
          <cell r="A722" t="str">
            <v>M1101069</v>
          </cell>
          <cell r="B722" t="str">
            <v>PIRAZINAMIDA--COMPRIMIDOS-250 MG</v>
          </cell>
          <cell r="C722">
            <v>0</v>
          </cell>
        </row>
        <row r="723">
          <cell r="A723" t="str">
            <v>M4110111</v>
          </cell>
          <cell r="B723" t="str">
            <v>PIRIDOSTIGMINA--COMPRIMIDOS-60 MG</v>
          </cell>
          <cell r="C723">
            <v>2000</v>
          </cell>
        </row>
        <row r="724">
          <cell r="A724" t="str">
            <v>M4110112</v>
          </cell>
          <cell r="B724" t="str">
            <v>PIRIDOSTIGMINA--COMPRIMIDOS-100 MG</v>
          </cell>
          <cell r="C724">
            <v>0</v>
          </cell>
        </row>
        <row r="725">
          <cell r="A725" t="str">
            <v>M1901023</v>
          </cell>
          <cell r="B725" t="str">
            <v>PIRIMETAMINA--COMPRIMIDOS-25 MG</v>
          </cell>
          <cell r="C725">
            <v>180</v>
          </cell>
        </row>
        <row r="726">
          <cell r="A726" t="str">
            <v>M1200154</v>
          </cell>
          <cell r="B726" t="str">
            <v>POLIDOCANOL--AMPOLLA-2% - 2 ML</v>
          </cell>
          <cell r="C726">
            <v>0</v>
          </cell>
        </row>
        <row r="727">
          <cell r="A727" t="str">
            <v>M0101110</v>
          </cell>
          <cell r="B727" t="str">
            <v>POLIESTIRENO SULFONATO DE CALCIO---</v>
          </cell>
          <cell r="C727">
            <v>0</v>
          </cell>
        </row>
        <row r="728">
          <cell r="A728" t="str">
            <v>M0102043</v>
          </cell>
          <cell r="B728" t="str">
            <v>POLIETILENGLICOL--POLVO-70GR</v>
          </cell>
          <cell r="C728">
            <v>279</v>
          </cell>
        </row>
        <row r="729">
          <cell r="A729" t="str">
            <v>M2310122</v>
          </cell>
          <cell r="B729" t="str">
            <v>POLIETILENGLICOL 3350--SOBRES-</v>
          </cell>
          <cell r="C729">
            <v>350</v>
          </cell>
        </row>
        <row r="730">
          <cell r="A730" t="str">
            <v>B9002111</v>
          </cell>
          <cell r="B730" t="str">
            <v>POLIETILENO CRISTAL-ROLLO-ANCHO 10 CM - 40 MICRONES-METRO</v>
          </cell>
          <cell r="C730">
            <v>0</v>
          </cell>
        </row>
        <row r="731">
          <cell r="A731" t="str">
            <v>YD464004</v>
          </cell>
          <cell r="B731" t="str">
            <v>POLIETILENO DE ALTA DENSIDAD EN FIBRAS ENTRECRUZADAS, TYVEK Y LAMINA TRANSPARENTE DE MYLAR-ROLLO - UNIDAD-ROLLO BILAMINADO-25 CM DE ANCHO X 70 M LARGO</v>
          </cell>
          <cell r="C731">
            <v>0</v>
          </cell>
        </row>
        <row r="732">
          <cell r="A732" t="str">
            <v>B9007030</v>
          </cell>
          <cell r="B732" t="str">
            <v>POLIETILENO VIRGEN-METRO-ROLLO-5 CM DE ANCHO - 40 MICRONES</v>
          </cell>
          <cell r="C732">
            <v>0</v>
          </cell>
        </row>
        <row r="733">
          <cell r="A733" t="str">
            <v>M2615149</v>
          </cell>
          <cell r="B733" t="str">
            <v>POLIHIDROXIETIL ALMIDON - 8--SOLUCION-6% - 500 ML</v>
          </cell>
          <cell r="C733">
            <v>40</v>
          </cell>
        </row>
        <row r="734">
          <cell r="A734" t="str">
            <v>YD464006</v>
          </cell>
          <cell r="B734" t="str">
            <v>POPLIETILENO DE ALTA DENSIDAD EN FIBRAS ENTRECRUZADAS, TYVEK Y LAMINA TRANSPARENTE DE MYLAR-ROLLO-ROLLO BILAMINADO-10CM DE ANCHO X 70 M LARGO</v>
          </cell>
          <cell r="C734">
            <v>0</v>
          </cell>
        </row>
        <row r="735">
          <cell r="A735" t="str">
            <v>M3000028</v>
          </cell>
          <cell r="B735" t="str">
            <v>POTASIO CITRATO--SOBRES-3 GR</v>
          </cell>
          <cell r="C735">
            <v>0</v>
          </cell>
        </row>
        <row r="736">
          <cell r="A736" t="str">
            <v>M3301015</v>
          </cell>
          <cell r="B736" t="str">
            <v>POTASIO CLORURO--CAPSULAS-600MG (8 MEQ)</v>
          </cell>
          <cell r="C736">
            <v>180</v>
          </cell>
        </row>
        <row r="737">
          <cell r="A737" t="str">
            <v>M3316111</v>
          </cell>
          <cell r="B737" t="str">
            <v>POTASIO CLORURO--AMPOLLAS-15 MEQ - 5 ML</v>
          </cell>
          <cell r="C737">
            <v>5700</v>
          </cell>
        </row>
        <row r="738">
          <cell r="A738" t="str">
            <v>M3316112</v>
          </cell>
          <cell r="B738" t="str">
            <v>POTASIO CLORURO-SODIO ASCORBATO--AMPOLLAS-15MEQ-500MG - 5 ML</v>
          </cell>
          <cell r="C738">
            <v>0</v>
          </cell>
        </row>
        <row r="739">
          <cell r="A739" t="str">
            <v>M3301021</v>
          </cell>
          <cell r="B739" t="str">
            <v>POTASIO FOSFATO--FCO. AMPOLLA-3MG/ML - 10 ML</v>
          </cell>
          <cell r="C739">
            <v>50</v>
          </cell>
        </row>
        <row r="740">
          <cell r="A740" t="str">
            <v>M3301111</v>
          </cell>
          <cell r="B740" t="str">
            <v>POTASIO GLUCONATO--ELIXIR-31.2GR/100ML - 150ML</v>
          </cell>
          <cell r="C740">
            <v>180</v>
          </cell>
        </row>
        <row r="741">
          <cell r="A741" t="str">
            <v>M1200183</v>
          </cell>
          <cell r="B741" t="str">
            <v>PRAMIPEXOL--ANTIPARKINSONIANO-1MG</v>
          </cell>
          <cell r="C741">
            <v>0</v>
          </cell>
        </row>
        <row r="742">
          <cell r="A742" t="str">
            <v>M4023119</v>
          </cell>
          <cell r="B742" t="str">
            <v>PREDNISOLONA ACETATO-FENILEFRINA CLORHIDRATO--GOTAS-1GR-120MG/100ML-10ML</v>
          </cell>
          <cell r="C742">
            <v>40</v>
          </cell>
        </row>
        <row r="743">
          <cell r="A743" t="str">
            <v>M1200176</v>
          </cell>
          <cell r="B743" t="str">
            <v>PREGABALINA--COMPRIMIDOS-150MG</v>
          </cell>
          <cell r="C743">
            <v>0</v>
          </cell>
        </row>
        <row r="744">
          <cell r="A744" t="str">
            <v>M1200175</v>
          </cell>
          <cell r="B744" t="str">
            <v>PREGABALINA--COMPRIMIDOS-75MG</v>
          </cell>
          <cell r="C744">
            <v>2000</v>
          </cell>
        </row>
        <row r="745">
          <cell r="A745" t="str">
            <v>M1246296</v>
          </cell>
          <cell r="B745" t="str">
            <v>PREGABALINA-CAPSULA-ORAL-25 MG</v>
          </cell>
          <cell r="C745">
            <v>0</v>
          </cell>
        </row>
        <row r="746">
          <cell r="A746" t="str">
            <v>LA299197</v>
          </cell>
          <cell r="B746" t="str">
            <v>PROBETA GRADUADA--BASE PLASTICA - 2000 ML.-UNIDAD</v>
          </cell>
          <cell r="C746">
            <v>0</v>
          </cell>
        </row>
        <row r="747">
          <cell r="A747" t="str">
            <v>D0603146</v>
          </cell>
          <cell r="B747" t="str">
            <v>PROFILACTICOS STANDARD--POR UNIDAD-</v>
          </cell>
          <cell r="C747">
            <v>0</v>
          </cell>
        </row>
        <row r="748">
          <cell r="A748" t="str">
            <v>M7201002</v>
          </cell>
          <cell r="B748" t="str">
            <v>PROGESTERONA-UNIDAD-COMPRIMIDO MICRONIZADO-200 MGRS.</v>
          </cell>
          <cell r="C748">
            <v>210</v>
          </cell>
        </row>
        <row r="749">
          <cell r="A749" t="str">
            <v>M1231111</v>
          </cell>
          <cell r="B749" t="str">
            <v>PROMETAZINA--AMPOLLAS-50MG - 2 ML</v>
          </cell>
          <cell r="C749">
            <v>0</v>
          </cell>
        </row>
        <row r="750">
          <cell r="A750" t="str">
            <v>M1231121</v>
          </cell>
          <cell r="B750" t="str">
            <v>PROMETAZINA--COMPRIMIDOS-25 MG</v>
          </cell>
          <cell r="C750">
            <v>45200</v>
          </cell>
        </row>
        <row r="751">
          <cell r="A751" t="str">
            <v>M2501085</v>
          </cell>
          <cell r="B751" t="str">
            <v>PROPANOLOL--COMPRIMIDO-40 MG</v>
          </cell>
          <cell r="C751">
            <v>3500</v>
          </cell>
        </row>
        <row r="752">
          <cell r="A752" t="str">
            <v>M2501084</v>
          </cell>
          <cell r="B752" t="str">
            <v>PROPANOLOL-AMPOLLA-INYECTABLE-5MG - 5 ML</v>
          </cell>
          <cell r="C752">
            <v>225</v>
          </cell>
        </row>
        <row r="753">
          <cell r="A753" t="str">
            <v>M4005112</v>
          </cell>
          <cell r="B753" t="str">
            <v>PROPARACAINA--COLIRIO-0,5% - 10 ML</v>
          </cell>
          <cell r="C753">
            <v>10</v>
          </cell>
        </row>
        <row r="754">
          <cell r="A754" t="str">
            <v>M4005111</v>
          </cell>
          <cell r="B754" t="str">
            <v>PROPARACAINA-GLICERINA-BENZALCONIO--GOTAS 15 ML-500MG-2.450MG-10MG</v>
          </cell>
          <cell r="C754">
            <v>0</v>
          </cell>
        </row>
        <row r="755">
          <cell r="A755" t="str">
            <v>GZ399008</v>
          </cell>
          <cell r="B755" t="str">
            <v>PROPILENGLICOL---LITRO</v>
          </cell>
          <cell r="C755">
            <v>0</v>
          </cell>
        </row>
        <row r="756">
          <cell r="A756" t="str">
            <v>M0301163</v>
          </cell>
          <cell r="B756" t="str">
            <v>PROPOFOL--FCO AMPOLLA-1%-10ML</v>
          </cell>
          <cell r="C756">
            <v>0</v>
          </cell>
        </row>
        <row r="757">
          <cell r="A757" t="str">
            <v>M0301154</v>
          </cell>
          <cell r="B757" t="str">
            <v>PROPOFOL--AMPOLLAS-10MG/ML - 20 ML</v>
          </cell>
          <cell r="C757">
            <v>5360</v>
          </cell>
        </row>
        <row r="758">
          <cell r="A758" t="str">
            <v>M0301153</v>
          </cell>
          <cell r="B758" t="str">
            <v>PROPOFOL--FCO. AMPOLLA (VIAL)-1% - 50 ML</v>
          </cell>
          <cell r="C758">
            <v>525</v>
          </cell>
        </row>
        <row r="759">
          <cell r="A759" t="str">
            <v>M2601066</v>
          </cell>
          <cell r="B759" t="str">
            <v>PROTAMINA CLORHIDRATO--FCO. AMPOLLA-1.000U.H/ML - 5 ML</v>
          </cell>
          <cell r="C759">
            <v>0</v>
          </cell>
        </row>
        <row r="760">
          <cell r="A760" t="str">
            <v>M2615139</v>
          </cell>
          <cell r="B760" t="str">
            <v>PROTAMINA SULFATO--AMPOLLAS-10MG/ML - 5 ML</v>
          </cell>
          <cell r="C760">
            <v>200</v>
          </cell>
        </row>
        <row r="761">
          <cell r="A761" t="str">
            <v>M1246145</v>
          </cell>
          <cell r="B761" t="str">
            <v>QUETIAPINA--COMPRIMIDOS-100MG</v>
          </cell>
          <cell r="C761">
            <v>8000</v>
          </cell>
        </row>
        <row r="762">
          <cell r="A762" t="str">
            <v>M1246170</v>
          </cell>
          <cell r="B762" t="str">
            <v>QUETIAPINA--COMPRIMIDOS-200 MG</v>
          </cell>
          <cell r="C762">
            <v>8000</v>
          </cell>
        </row>
        <row r="763">
          <cell r="A763" t="str">
            <v>M1246174</v>
          </cell>
          <cell r="B763" t="str">
            <v>QUETIAPINA COMP. 25 MG--COMPRIMIDO-25 MG</v>
          </cell>
          <cell r="C763">
            <v>2000</v>
          </cell>
        </row>
        <row r="764">
          <cell r="A764" t="str">
            <v>M43R0111</v>
          </cell>
          <cell r="B764" t="str">
            <v>RALTEGRAVIR--400MG-COMPRIMIDO</v>
          </cell>
          <cell r="C764">
            <v>0</v>
          </cell>
        </row>
        <row r="765">
          <cell r="A765" t="str">
            <v>M2203112</v>
          </cell>
          <cell r="B765" t="str">
            <v>RANITIDINA--AMPOLLAS-50MG - 5 ML</v>
          </cell>
          <cell r="C765">
            <v>7100</v>
          </cell>
        </row>
        <row r="766">
          <cell r="A766" t="str">
            <v>M2201121</v>
          </cell>
          <cell r="B766" t="str">
            <v>RANITIDINA--FCO. AMPOLLA-50MG - 5 ML</v>
          </cell>
          <cell r="C766">
            <v>0</v>
          </cell>
        </row>
        <row r="767">
          <cell r="A767" t="str">
            <v>M2201112</v>
          </cell>
          <cell r="B767" t="str">
            <v>RANITIDINA--COMPRIMIDOS-300 MG</v>
          </cell>
          <cell r="C767">
            <v>0</v>
          </cell>
        </row>
        <row r="768">
          <cell r="A768" t="str">
            <v>M3501114</v>
          </cell>
          <cell r="B768" t="str">
            <v>RASBURICASA--FRASCO AMPOLLA + DISOLVENTE-1.5MG</v>
          </cell>
          <cell r="C768">
            <v>0</v>
          </cell>
        </row>
        <row r="769">
          <cell r="A769" t="str">
            <v>M0200107</v>
          </cell>
          <cell r="B769" t="str">
            <v>REMIFENTANILO--AMPOLLAS-5MG - 5 ML</v>
          </cell>
          <cell r="C769">
            <v>0</v>
          </cell>
        </row>
        <row r="770">
          <cell r="A770" t="str">
            <v>M0200125</v>
          </cell>
          <cell r="B770" t="str">
            <v>REMIFENTANILO--FCO. AMPOLLA-5MG - 10 ML</v>
          </cell>
          <cell r="C770">
            <v>3920</v>
          </cell>
        </row>
        <row r="771">
          <cell r="A771" t="str">
            <v>M2000115</v>
          </cell>
          <cell r="B771" t="str">
            <v>RESINA DE COLOFINA-ESENCIA DE TREMENTINA--SOLUCION-37GR-0,50GR/92ML</v>
          </cell>
          <cell r="C771">
            <v>80</v>
          </cell>
        </row>
        <row r="772">
          <cell r="A772" t="str">
            <v>M43R0119</v>
          </cell>
          <cell r="B772" t="str">
            <v>RIFABUTINA--CÃPSULAS-150MG</v>
          </cell>
          <cell r="C772">
            <v>0</v>
          </cell>
        </row>
        <row r="773">
          <cell r="A773" t="str">
            <v>M2901105</v>
          </cell>
          <cell r="B773" t="str">
            <v>RIFAMICINA--SPRAY-1% - 30 ML</v>
          </cell>
          <cell r="C773">
            <v>263</v>
          </cell>
        </row>
        <row r="774">
          <cell r="A774" t="str">
            <v>M0908114</v>
          </cell>
          <cell r="B774" t="str">
            <v>RIFAMPICINA--FRASCO AMPOLLA-600 MG</v>
          </cell>
          <cell r="C774">
            <v>330</v>
          </cell>
        </row>
        <row r="775">
          <cell r="A775" t="str">
            <v>M0908112</v>
          </cell>
          <cell r="B775" t="str">
            <v>RIFAMPICINA--SUSPENSION-100MG/5ML - 50ML</v>
          </cell>
          <cell r="C775">
            <v>0</v>
          </cell>
        </row>
        <row r="776">
          <cell r="A776" t="str">
            <v>M0903120</v>
          </cell>
          <cell r="B776" t="str">
            <v>RIFAMPICINA--JARABE-2%-120ML</v>
          </cell>
          <cell r="C776">
            <v>0</v>
          </cell>
        </row>
        <row r="777">
          <cell r="A777" t="str">
            <v>M0903111</v>
          </cell>
          <cell r="B777" t="str">
            <v>RIFAMPICINA--CAPSULAS-300 MG</v>
          </cell>
          <cell r="C777">
            <v>1180</v>
          </cell>
        </row>
        <row r="778">
          <cell r="A778" t="str">
            <v>M0908117</v>
          </cell>
          <cell r="B778" t="str">
            <v>RIFAMPICINA+ISONIAZIDA-672 COMPRIMIDOS-150+75MG-</v>
          </cell>
          <cell r="C778">
            <v>0</v>
          </cell>
        </row>
        <row r="779">
          <cell r="A779" t="str">
            <v>M0904111</v>
          </cell>
          <cell r="B779" t="str">
            <v>RIFAMPICINA-ISONIACIDA--COMPRIMIDOS-300MG-150MG</v>
          </cell>
          <cell r="C779">
            <v>0</v>
          </cell>
        </row>
        <row r="780">
          <cell r="A780" t="str">
            <v>M1109160</v>
          </cell>
          <cell r="B780" t="str">
            <v>RIFAMPICINA-ISONIAZIDA-UNIDAD-COMPRIMIDO-300MG-150MG</v>
          </cell>
          <cell r="C780">
            <v>0</v>
          </cell>
        </row>
        <row r="781">
          <cell r="A781" t="str">
            <v>M0906111</v>
          </cell>
          <cell r="B781" t="str">
            <v>RIFAMPICINA-ISONIAZIDA-PIRAZINAMIDA--COMPRIMIDOS-150MG-75MG-400MG</v>
          </cell>
          <cell r="C781">
            <v>0</v>
          </cell>
        </row>
        <row r="782">
          <cell r="A782" t="str">
            <v>M09R0101</v>
          </cell>
          <cell r="B782" t="str">
            <v>RIFAMPICINA-ISONIAZIDA-PIRAZINAMIDAY-ETAMBUTOL--COMPRIMIDO-150/75/400/275 MGRS.</v>
          </cell>
          <cell r="C782">
            <v>0</v>
          </cell>
        </row>
        <row r="783">
          <cell r="A783" t="str">
            <v>M1109149</v>
          </cell>
          <cell r="B783" t="str">
            <v>RIFAXIMINA--200 MG-COMPRIMIDO</v>
          </cell>
          <cell r="C783">
            <v>0</v>
          </cell>
        </row>
        <row r="784">
          <cell r="A784" t="str">
            <v>M1109169</v>
          </cell>
          <cell r="B784" t="str">
            <v>RIFAXIMINA-COMPRIMIDOS--550 MG</v>
          </cell>
          <cell r="C784">
            <v>0</v>
          </cell>
        </row>
        <row r="785">
          <cell r="A785" t="str">
            <v>M1201142</v>
          </cell>
          <cell r="B785" t="str">
            <v>RISPERIDONA--COMPRIMIDOS-0,5 MG</v>
          </cell>
          <cell r="C785">
            <v>0</v>
          </cell>
        </row>
        <row r="786">
          <cell r="A786" t="str">
            <v>M1201119</v>
          </cell>
          <cell r="B786" t="str">
            <v>RISPERIDONA--COMPRIMIDOS-3 MG</v>
          </cell>
          <cell r="C786">
            <v>22270</v>
          </cell>
        </row>
        <row r="787">
          <cell r="A787" t="str">
            <v>M1201123</v>
          </cell>
          <cell r="B787" t="str">
            <v>RISPERIDONA--COMPRIMIDOS-1 MG</v>
          </cell>
          <cell r="C787">
            <v>24000</v>
          </cell>
        </row>
        <row r="788">
          <cell r="A788" t="str">
            <v>M1201124</v>
          </cell>
          <cell r="B788" t="str">
            <v>RISPERIDONA--COMPRIMIDOS-2 MG</v>
          </cell>
          <cell r="C788">
            <v>17000</v>
          </cell>
        </row>
        <row r="789">
          <cell r="A789" t="str">
            <v>M3201130</v>
          </cell>
          <cell r="B789" t="str">
            <v>RITUXIMAB--FCO.AMPOLLA-500 MG/5 ML</v>
          </cell>
          <cell r="C789">
            <v>0</v>
          </cell>
        </row>
        <row r="790">
          <cell r="A790" t="str">
            <v>M3201129</v>
          </cell>
          <cell r="B790" t="str">
            <v>RITUXIMAB--FCO.AMPOLLA-100MG - 10 ML</v>
          </cell>
          <cell r="C790">
            <v>0</v>
          </cell>
        </row>
        <row r="791">
          <cell r="A791" t="str">
            <v>M4116113</v>
          </cell>
          <cell r="B791" t="str">
            <v>ROCURONIO BROMURO--FCO. AMPOLLA-10MG/ML - 5 ML</v>
          </cell>
          <cell r="C791">
            <v>0</v>
          </cell>
        </row>
        <row r="792">
          <cell r="A792" t="str">
            <v>YDZ46406</v>
          </cell>
          <cell r="B792" t="str">
            <v>ROLLO BILAMINADO DE TYVEK-UNIDAD-POLIETILENO Y POLIESTIRENO-40 CM X 70 METROS</v>
          </cell>
          <cell r="C792">
            <v>3</v>
          </cell>
        </row>
        <row r="793">
          <cell r="A793" t="str">
            <v>M0301151</v>
          </cell>
          <cell r="B793" t="str">
            <v>ROPIVACAINA--FCO. AMPOLLA-10MG/ML - 20 ML</v>
          </cell>
          <cell r="C793">
            <v>110</v>
          </cell>
        </row>
        <row r="794">
          <cell r="A794" t="str">
            <v>M2615165</v>
          </cell>
          <cell r="B794" t="str">
            <v>ROSUVASTATINA--COMPRIMIDO-20 MG.</v>
          </cell>
          <cell r="C794">
            <v>0</v>
          </cell>
        </row>
        <row r="795">
          <cell r="A795" t="str">
            <v>M2534221</v>
          </cell>
          <cell r="B795" t="str">
            <v>ROSUVASTATINA-28 UNIDADES-COMPRIMIDOS/PASTILLAS/TABLETAS/GRAGEAS-40 MG</v>
          </cell>
          <cell r="C795">
            <v>211</v>
          </cell>
        </row>
        <row r="796">
          <cell r="A796" t="str">
            <v>M2601076</v>
          </cell>
          <cell r="B796" t="str">
            <v>ROSUVASTATINA--COMPRIMIDOS-10 MG</v>
          </cell>
          <cell r="C796">
            <v>400</v>
          </cell>
        </row>
        <row r="797">
          <cell r="A797" t="str">
            <v>KI299007</v>
          </cell>
          <cell r="B797" t="str">
            <v>SAL GRUESA---50 KGS</v>
          </cell>
          <cell r="C797">
            <v>375</v>
          </cell>
        </row>
        <row r="798">
          <cell r="A798" t="str">
            <v>A0130221</v>
          </cell>
          <cell r="B798" t="str">
            <v>SAL GRUESA---KG</v>
          </cell>
          <cell r="C798">
            <v>0</v>
          </cell>
        </row>
        <row r="799">
          <cell r="A799" t="str">
            <v>M2401044</v>
          </cell>
          <cell r="B799" t="str">
            <v>SALBUTAMOL--FCO. GOTERO-0.5% - 10 ML</v>
          </cell>
          <cell r="C799">
            <v>100</v>
          </cell>
        </row>
        <row r="800">
          <cell r="A800" t="str">
            <v>M2401071</v>
          </cell>
          <cell r="B800" t="str">
            <v>SALBUTAMOL--AEROSOL 250 DOSIS-100MCG/ML</v>
          </cell>
          <cell r="C800">
            <v>320</v>
          </cell>
        </row>
        <row r="801">
          <cell r="A801" t="str">
            <v>M2401043</v>
          </cell>
          <cell r="B801" t="str">
            <v>SALBUTAMOL--AEROSOL 200 DOSIS-100MCG/DOSIS</v>
          </cell>
          <cell r="C801">
            <v>1720</v>
          </cell>
        </row>
        <row r="802">
          <cell r="A802" t="str">
            <v>M2401072</v>
          </cell>
          <cell r="B802" t="str">
            <v>SALBUTAMOL--AEROSOL C/AEROCAMARA 250 DOSIS-100MCG/ML</v>
          </cell>
          <cell r="C802">
            <v>0</v>
          </cell>
        </row>
        <row r="803">
          <cell r="A803" t="str">
            <v>M2434119</v>
          </cell>
          <cell r="B803" t="str">
            <v>SALBUTAMOL-BECLOMETASONA DIPROPIONATO--AEROSOL 250 DOSIS-100MCG-50MCG/DOSIS</v>
          </cell>
          <cell r="C803">
            <v>0</v>
          </cell>
        </row>
        <row r="804">
          <cell r="A804" t="str">
            <v>M2401074</v>
          </cell>
          <cell r="B804" t="str">
            <v>SALBUTAMOL-BROMURO DE IPRATROPIO--AEROSOL-45MCG-200DOSIS</v>
          </cell>
          <cell r="C804">
            <v>0</v>
          </cell>
        </row>
        <row r="805">
          <cell r="A805" t="str">
            <v>M2434180</v>
          </cell>
          <cell r="B805" t="str">
            <v>SALMETEROL 50 MCG + FLUTICASONA PROPINATO 250 MCG-UNIDAD-MÃS APLICADOR-</v>
          </cell>
          <cell r="C805">
            <v>15000</v>
          </cell>
        </row>
        <row r="806">
          <cell r="A806" t="str">
            <v>M2401067</v>
          </cell>
          <cell r="B806" t="str">
            <v>SALMETEROL-FLUTICASONA--AEROSOL-25MCG-250MCG/120 DOSIS</v>
          </cell>
          <cell r="C806">
            <v>0</v>
          </cell>
        </row>
        <row r="807">
          <cell r="A807" t="str">
            <v>M2401065</v>
          </cell>
          <cell r="B807" t="str">
            <v>SALMETEROL-FLUTICASONA--AEROSOL-25 MCG. -125MCG - 120 DOSIS</v>
          </cell>
          <cell r="C807">
            <v>0</v>
          </cell>
        </row>
        <row r="808">
          <cell r="A808" t="str">
            <v>M2401073</v>
          </cell>
          <cell r="B808" t="str">
            <v>SALMETEROL-FLUTICASONA--AEROSOL-125MCG-50MCG-120 DOSIS</v>
          </cell>
          <cell r="C808">
            <v>0</v>
          </cell>
        </row>
        <row r="809">
          <cell r="A809" t="str">
            <v>M1246394</v>
          </cell>
          <cell r="B809" t="str">
            <v>SERTRALINA-UNIDAD-COMPRIMIDO-100 MG</v>
          </cell>
          <cell r="C809">
            <v>9000</v>
          </cell>
        </row>
        <row r="810">
          <cell r="A810" t="str">
            <v>M1201126</v>
          </cell>
          <cell r="B810" t="str">
            <v>SERTRALINA--COMPRIMIDOS-50 MG</v>
          </cell>
          <cell r="C810">
            <v>45975</v>
          </cell>
        </row>
        <row r="811">
          <cell r="A811" t="str">
            <v>M0314116</v>
          </cell>
          <cell r="B811" t="str">
            <v>SEVOFLURANO--FRASCO-100% - 250 ML</v>
          </cell>
          <cell r="C811">
            <v>170</v>
          </cell>
        </row>
        <row r="812">
          <cell r="A812" t="str">
            <v>M3601040</v>
          </cell>
          <cell r="B812" t="str">
            <v>SILDENAFIL--COMPRIMIDOS-50 MG</v>
          </cell>
          <cell r="C812">
            <v>120</v>
          </cell>
        </row>
        <row r="813">
          <cell r="A813" t="str">
            <v>E0299057</v>
          </cell>
          <cell r="B813" t="str">
            <v>SISTEMA DE LIBERACIÃ“N INTRAUTERINA-UNIDAD-LEVONOGESTREL 19,5 MG-ELASTÃ“MERO POLIDIMETILSILOXANO, CUERPO T</v>
          </cell>
          <cell r="C813">
            <v>0</v>
          </cell>
        </row>
        <row r="814">
          <cell r="A814" t="str">
            <v>M3318120</v>
          </cell>
          <cell r="B814" t="str">
            <v>SODIO CLORURO--AMPOLLAS-20% - 10 ML</v>
          </cell>
          <cell r="C814">
            <v>5100</v>
          </cell>
        </row>
        <row r="815">
          <cell r="A815" t="str">
            <v>M3318122</v>
          </cell>
          <cell r="B815" t="str">
            <v>SODIO CLORURO--AMPOLLAS-9MG/ML - 5 ML</v>
          </cell>
          <cell r="C815">
            <v>8370</v>
          </cell>
        </row>
        <row r="816">
          <cell r="A816" t="str">
            <v>M3318126</v>
          </cell>
          <cell r="B816" t="str">
            <v>SODIO CLORURO--AMPOLLAS-20% - 10 ML</v>
          </cell>
          <cell r="C816">
            <v>300</v>
          </cell>
        </row>
        <row r="817">
          <cell r="A817" t="str">
            <v>M7015817</v>
          </cell>
          <cell r="B817" t="str">
            <v>SODIO CLORURO-SOLUCION INYECTABLE AMPOLLA DE 5 ML-SOLUCIÃ“N INYECTABLE-9 MG/ML (0.9%)</v>
          </cell>
          <cell r="C817">
            <v>1300</v>
          </cell>
        </row>
        <row r="818">
          <cell r="A818" t="str">
            <v>M7015815</v>
          </cell>
          <cell r="B818" t="str">
            <v>SODIO CLORURO-SOLUCION INYECTABLE AMPOLLA DE 10 ML-SOLUCIÃ“N INYECTABLE-200 MG/ML (20%)</v>
          </cell>
          <cell r="C818">
            <v>300</v>
          </cell>
        </row>
        <row r="819">
          <cell r="A819" t="str">
            <v>M4701001</v>
          </cell>
          <cell r="B819" t="str">
            <v>SOLUCION ACIDA P/PREPARACION DE BAÃ‘O DE DIALISIS--EN PROPORCIÃ“N 1/45 EN BIDON DE 10 LITROS-</v>
          </cell>
          <cell r="C819">
            <v>626</v>
          </cell>
        </row>
        <row r="820">
          <cell r="A820" t="str">
            <v>M4701002</v>
          </cell>
          <cell r="B820" t="str">
            <v>SOLUCION ACIDA P/PREPARAR BAÃ‘O DE DIALISIS C/GLUCOSA--EN PROPORCION 1/45, EN BIDON DE 10 LITROS-</v>
          </cell>
          <cell r="C820">
            <v>1482</v>
          </cell>
        </row>
        <row r="821">
          <cell r="A821" t="str">
            <v>M4519112</v>
          </cell>
          <cell r="B821" t="str">
            <v>SOLUCION CARDIOPLEGIA--SOLUCION-1.000 ML</v>
          </cell>
          <cell r="C821">
            <v>0</v>
          </cell>
        </row>
        <row r="822">
          <cell r="A822" t="str">
            <v>M4519113</v>
          </cell>
          <cell r="B822" t="str">
            <v>SOLUCION CARDIOPLEGICA SANGUINEA--ENVASE PLASTICO-830 ML</v>
          </cell>
          <cell r="C822">
            <v>0</v>
          </cell>
        </row>
        <row r="823">
          <cell r="A823" t="str">
            <v>M4501031</v>
          </cell>
          <cell r="B823" t="str">
            <v>SOLUCION DE GLICINA--INYECTABLE-1.5% - 2.000 ML</v>
          </cell>
          <cell r="C823">
            <v>0</v>
          </cell>
        </row>
        <row r="824">
          <cell r="A824" t="str">
            <v>M4501030</v>
          </cell>
          <cell r="B824" t="str">
            <v>SOLUCION DE GLICINA--INYECTABLE-1.5% - 3.000 ML</v>
          </cell>
          <cell r="C824">
            <v>0</v>
          </cell>
        </row>
        <row r="825">
          <cell r="A825" t="str">
            <v>M4528209</v>
          </cell>
          <cell r="B825" t="str">
            <v>SOLUCION DEXTROSA EN AGUA-UNIDAD--10% X 500 ML.- SIN BOLSA DE PROTECCION.</v>
          </cell>
          <cell r="C825">
            <v>168</v>
          </cell>
        </row>
        <row r="826">
          <cell r="A826" t="str">
            <v>M4528199</v>
          </cell>
          <cell r="B826" t="str">
            <v>SOLUCION DEXTROSA EN AGUA-UNIDAD--5% X 500 ML-CON 2 BOLSAS DE PROTECCION.</v>
          </cell>
          <cell r="C826">
            <v>300</v>
          </cell>
        </row>
        <row r="827">
          <cell r="A827" t="str">
            <v>M4528198</v>
          </cell>
          <cell r="B827" t="str">
            <v>SOLUCION DEXTROSA EN AGUA-UNIDAD--5% X 500 ML.- CON 1 BOLSA DE PROTECCION.</v>
          </cell>
          <cell r="C827">
            <v>1440</v>
          </cell>
        </row>
        <row r="828">
          <cell r="A828" t="str">
            <v>M4528203</v>
          </cell>
          <cell r="B828" t="str">
            <v>SOLUCION DEXTROSA EN AGUA-UNIDAD--5% X 100 ML. - SIN BOLSA DE PROTECCION.</v>
          </cell>
          <cell r="C828">
            <v>1260</v>
          </cell>
        </row>
        <row r="829">
          <cell r="A829" t="str">
            <v>M4528197</v>
          </cell>
          <cell r="B829" t="str">
            <v>SOLUCION DEXTROSA EN AGUA-UNIDAD--5% X 500 ML.- SIN BOLSA DE PROTECCION.</v>
          </cell>
          <cell r="C829">
            <v>2151</v>
          </cell>
        </row>
        <row r="830">
          <cell r="A830" t="str">
            <v>M4528200</v>
          </cell>
          <cell r="B830" t="str">
            <v>SOLUCION DEXTROSA EN AGUA-UNIDAD--5% X 250 ML.- SIN BOLSA DE PROTECCION.</v>
          </cell>
          <cell r="C830">
            <v>1200</v>
          </cell>
        </row>
        <row r="831">
          <cell r="A831" t="str">
            <v>M4401004</v>
          </cell>
          <cell r="B831" t="str">
            <v>SOLUCION DEXTROSADA ( GLUCOSADA) HIPERTONICA--INYECTABLE: AMPOLLAS- FRASCO AMPOLLA-50 % - 10 ML</v>
          </cell>
          <cell r="C831">
            <v>0</v>
          </cell>
        </row>
        <row r="832">
          <cell r="A832" t="str">
            <v>M4401009</v>
          </cell>
          <cell r="B832" t="str">
            <v>SOLUCION DEXTROSADA ( GLUCOSADA) HIPERTONICA--INYECTABLE AMPOLLA - FRASCO AMPOLLA-25 % - 20 ML</v>
          </cell>
          <cell r="C832">
            <v>0</v>
          </cell>
        </row>
        <row r="833">
          <cell r="A833" t="str">
            <v>M4502219</v>
          </cell>
          <cell r="B833" t="str">
            <v>SOLUCION DEXTROSADA ( GLUCOSADA) HIPERTONICA--INYECTABLE ENVASE FLEXIBLE-50%-500ML</v>
          </cell>
          <cell r="C833">
            <v>75</v>
          </cell>
        </row>
        <row r="834">
          <cell r="A834" t="str">
            <v>M4528125</v>
          </cell>
          <cell r="B834" t="str">
            <v>SOLUCION DEXTROSADA (GLUCOSADA) HIPERTONICA--INYECTABLE-10 % - 500 ML</v>
          </cell>
          <cell r="C834">
            <v>72</v>
          </cell>
        </row>
        <row r="835">
          <cell r="A835" t="str">
            <v>M4507111</v>
          </cell>
          <cell r="B835" t="str">
            <v>SOLUCION DEXTROSADA (GLUCOSADA) ISOTONICA EN SOLUCION FISIOLOGICA--INYECTABLE: ENVASE SEMIRRIGIDO-500 ML</v>
          </cell>
          <cell r="C835">
            <v>0</v>
          </cell>
        </row>
        <row r="836">
          <cell r="A836" t="str">
            <v>M4528127</v>
          </cell>
          <cell r="B836" t="str">
            <v>SOLUCION DEXTROSADA(GLUCOSADA) ISOTONICA--INYECTABLE ENVASE SEMIRRÃGIDO FLEXIBLE S/ENVOLTURA-5 % - 500 ML</v>
          </cell>
          <cell r="C836">
            <v>0</v>
          </cell>
        </row>
        <row r="837">
          <cell r="A837" t="str">
            <v>M3000038</v>
          </cell>
          <cell r="B837" t="str">
            <v>SOLUCION ESTERILIZANTE P/FILTRO DE DIALISIS--4%-2%ACIDO PARACETICO-PEROXIDO DE HIDROGENO-5 LITROS</v>
          </cell>
          <cell r="C837">
            <v>27</v>
          </cell>
        </row>
        <row r="838">
          <cell r="A838" t="str">
            <v>M6701001</v>
          </cell>
          <cell r="B838" t="str">
            <v>SOLUCION FISIOLOGICA-UNIDAD-FCO AMPOLLA-5 ML</v>
          </cell>
          <cell r="C838">
            <v>0</v>
          </cell>
        </row>
        <row r="839">
          <cell r="A839" t="str">
            <v>M4506115</v>
          </cell>
          <cell r="B839" t="str">
            <v>SOLUCION FISIOLOGICA DE CLORURO DE SODIO--INYECTABLE SEMIRRIGIDO/FLEXIBLE S/ENVOLTURA-0.9 % - 500 ML</v>
          </cell>
          <cell r="C839">
            <v>0</v>
          </cell>
        </row>
        <row r="840">
          <cell r="A840" t="str">
            <v>M4514114</v>
          </cell>
          <cell r="B840" t="str">
            <v>SOLUCION FISIOLOGICA DE CLORURO DE SODIO--INYECTABLE ENVASE DE VIDRIO-0.9 %500 ML</v>
          </cell>
          <cell r="C840">
            <v>0</v>
          </cell>
        </row>
        <row r="841">
          <cell r="A841" t="str">
            <v>M4501061</v>
          </cell>
          <cell r="B841" t="str">
            <v>SOLUCION FISIOLOGICA DE CLORURO DE SODIO--INYECTABLE SEMI RÃGIDO-FLEXIBLE S/ENVOLTURA-0.9% - 2.000 ML</v>
          </cell>
          <cell r="C841">
            <v>0</v>
          </cell>
        </row>
        <row r="842">
          <cell r="A842" t="str">
            <v>M4501073</v>
          </cell>
          <cell r="B842" t="str">
            <v>SOLUCION FISIOLOGICA DE CLORURO DE SODIO-UNIDAD-INYECTABLE ENVASE FLEXIBLE-DOBLE ENVOLTURA-0.9% - 250 ML</v>
          </cell>
          <cell r="C842">
            <v>0</v>
          </cell>
        </row>
        <row r="843">
          <cell r="A843" t="str">
            <v>M4506114</v>
          </cell>
          <cell r="B843" t="str">
            <v>SOLUCION FISIOLOGICA DE CLORURO DE SODIO--INYECTABLE-0.9 % - 100 ML</v>
          </cell>
          <cell r="C843">
            <v>0</v>
          </cell>
        </row>
        <row r="844">
          <cell r="A844" t="str">
            <v>M4506111</v>
          </cell>
          <cell r="B844" t="str">
            <v>SOLUCION FISIOLOGICA DE CLORURO DE SODIO--INYECTABLE-0.9% - 1.000 ML</v>
          </cell>
          <cell r="C844">
            <v>0</v>
          </cell>
        </row>
        <row r="845">
          <cell r="A845" t="str">
            <v>M4501071</v>
          </cell>
          <cell r="B845" t="str">
            <v>SOLUCION FISIOLOGICA DE CLORURO DE SODIO-CON PUNTO DE INYECCIÃ“N ADICIONAL-INYECTABLE ENVASE FLEXIBLE-DOBLE ENVOLTURA-0.9% - 500 ML</v>
          </cell>
          <cell r="C845">
            <v>0</v>
          </cell>
        </row>
        <row r="846">
          <cell r="A846" t="str">
            <v>M4528189</v>
          </cell>
          <cell r="B846" t="str">
            <v>SOLUCION FISIOLOGICA DE CLORURO SODIO.-UNIDAD--0.9% X 100 ML -CON 1 BOLSA DE PROTECCION</v>
          </cell>
          <cell r="C846">
            <v>0</v>
          </cell>
        </row>
        <row r="847">
          <cell r="A847" t="str">
            <v>M4528186</v>
          </cell>
          <cell r="B847" t="str">
            <v>SOLUCION FISIOLOGICA DE CLORURO SODIO.-UNIDAD--0.9% X 250 ML -CON 1 BOLSA DE PROTECCION</v>
          </cell>
          <cell r="C847">
            <v>0</v>
          </cell>
        </row>
        <row r="848">
          <cell r="A848" t="str">
            <v>M4528182</v>
          </cell>
          <cell r="B848" t="str">
            <v>SOLUCION FISIOLOGICA DE CLORURO SODIO.-UNIDAD--0.9% X 500 ML - SIN BOLSA DE PROTECCION.</v>
          </cell>
          <cell r="C848">
            <v>111514</v>
          </cell>
        </row>
        <row r="849">
          <cell r="A849" t="str">
            <v>M4528184</v>
          </cell>
          <cell r="B849" t="str">
            <v>SOLUCION FISIOLOGICA DE CLORURO SODIO.-UNIDAD--0.9% X 500 ML.CON 2 BOLSAS DE PROTECCION</v>
          </cell>
          <cell r="C849">
            <v>0</v>
          </cell>
        </row>
        <row r="850">
          <cell r="A850" t="str">
            <v>M4528183</v>
          </cell>
          <cell r="B850" t="str">
            <v>SOLUCION FISIOLOGICA DE CLORURO SODIO.-UNIDAD--0.9% X 500 ML- CON 1 BOLSA DE PROTECCION</v>
          </cell>
          <cell r="C850">
            <v>0</v>
          </cell>
        </row>
        <row r="851">
          <cell r="A851" t="str">
            <v>M4528196</v>
          </cell>
          <cell r="B851" t="str">
            <v>SOLUCION FISIOLOGICA DE CLORURO SODIO.-UNIDAD--0.9% X 2000ML-CON 2 BOLSAS DE PROTECCION</v>
          </cell>
          <cell r="C851">
            <v>0</v>
          </cell>
        </row>
        <row r="852">
          <cell r="A852" t="str">
            <v>M4528188</v>
          </cell>
          <cell r="B852" t="str">
            <v>SOLUCION FISIOLOGICA DE CLORURO SODIO.-UNIDAD--0.9% X 100 ML - SIN BOLSA DE PROTECCION.</v>
          </cell>
          <cell r="C852">
            <v>28760</v>
          </cell>
        </row>
        <row r="853">
          <cell r="A853" t="str">
            <v>M4528185</v>
          </cell>
          <cell r="B853" t="str">
            <v>SOLUCION FISIOLOGICA DE CLORURO SODIO.-UNIDAD--0.9% X 250 ML - SIN BOLSA DE PROTECCION.</v>
          </cell>
          <cell r="C853">
            <v>14664</v>
          </cell>
        </row>
        <row r="854">
          <cell r="A854" t="str">
            <v>M4528191</v>
          </cell>
          <cell r="B854" t="str">
            <v>SOLUCION FISIOLOGICA DE CLORURO SODIO.-UNIDAD--0.9% X 1000 ML -SIN BOLSA DE PROTECCION.</v>
          </cell>
          <cell r="C854">
            <v>1212</v>
          </cell>
        </row>
        <row r="855">
          <cell r="A855" t="str">
            <v>M4528194</v>
          </cell>
          <cell r="B855" t="str">
            <v>SOLUCION FISIOLOGICA DE CLORURO SODIO.-UNIDAD--0.9% X 2000 ML - SIN BOLSA DE PROTECCION</v>
          </cell>
          <cell r="C855">
            <v>80</v>
          </cell>
        </row>
        <row r="856">
          <cell r="A856" t="str">
            <v>M4524111</v>
          </cell>
          <cell r="B856" t="str">
            <v>SOLUCION FISIOLÃ“GICA TRICLORURADA (DE RINGER) C/LACTATO DE SODIO--INYECTABLE - ENVASE SEMIRRIGIDO-500 ML</v>
          </cell>
          <cell r="C856">
            <v>0</v>
          </cell>
        </row>
        <row r="857">
          <cell r="A857" t="str">
            <v>M4509118</v>
          </cell>
          <cell r="B857" t="str">
            <v>SOLUCION GLUCOSADA HIPERTONICA--FCO. AMPOLLA-50 % - 500 ML</v>
          </cell>
          <cell r="C857">
            <v>0</v>
          </cell>
        </row>
        <row r="858">
          <cell r="A858" t="str">
            <v>M4528115</v>
          </cell>
          <cell r="B858" t="str">
            <v>SOLUCION POLIELECT.(SODIO CL.-SODIO GLUC.-MAGNESIO CL.-POT.-ML-SOLUFLEX 500ML-526-502-61-37MG/100</v>
          </cell>
          <cell r="C858">
            <v>0</v>
          </cell>
        </row>
        <row r="859">
          <cell r="A859" t="str">
            <v>M4528138</v>
          </cell>
          <cell r="B859" t="str">
            <v>SOLUCION POLIELECTROLITICA ISOTONICA-ENVASE PLASTICO FLEXIBLE 500 ML.-SODIO140,POTASIO5,MAGNESIO3,CLORURO98, ACETATO27,-GLUCONATO23 MEP/L</v>
          </cell>
          <cell r="C859">
            <v>91</v>
          </cell>
        </row>
        <row r="860">
          <cell r="A860" t="str">
            <v>M4528219</v>
          </cell>
          <cell r="B860" t="str">
            <v>SOLUCION RINGER CON LACTATO-UNIDAD--ENVASE X 500ML.CON 1 BOLSA DE PROTECCION</v>
          </cell>
          <cell r="C860">
            <v>0</v>
          </cell>
        </row>
        <row r="861">
          <cell r="A861" t="str">
            <v>M4528218</v>
          </cell>
          <cell r="B861" t="str">
            <v>SOLUCION RINGER CON LACTATO-UNIDAD--ENVASE X 500 ML-SIN BOLSA DE PROTECCION.</v>
          </cell>
          <cell r="C861">
            <v>1030</v>
          </cell>
        </row>
        <row r="862">
          <cell r="A862" t="str">
            <v>M4528136</v>
          </cell>
          <cell r="B862" t="str">
            <v>SOLUCION RINGER LACTATO (FISIOLOGICA)--SOLUCION-500 ML.</v>
          </cell>
          <cell r="C862">
            <v>0</v>
          </cell>
        </row>
        <row r="863">
          <cell r="A863" t="str">
            <v>M4401007</v>
          </cell>
          <cell r="B863" t="str">
            <v>SOLUCIÃ’N DEXTROSADA (GLUCOSADA) HIPERTONICA--INYECTABLE: AMPOLLA-FRASCO AMPOLLA-25 % - 10 ML</v>
          </cell>
          <cell r="C863">
            <v>0</v>
          </cell>
        </row>
        <row r="864">
          <cell r="A864" t="str">
            <v>M4524112</v>
          </cell>
          <cell r="B864" t="str">
            <v>SOLUCIÃ’N FISIOLOGICA TRICLORURADA (DE RINGER) C/LACTATO DE SODIO--INYECTABLE ENVASE FLEXIBLE-500 ML</v>
          </cell>
          <cell r="C864">
            <v>0</v>
          </cell>
        </row>
        <row r="865">
          <cell r="A865" t="str">
            <v>M4528156</v>
          </cell>
          <cell r="B865" t="str">
            <v>SOLUCIÃ“N DEXTROSADA (GLUCOSADA) HIPERTÃ“NICA-AMPOLLA-INYECTABLE-25% - 10 ML</v>
          </cell>
          <cell r="C865">
            <v>0</v>
          </cell>
        </row>
        <row r="866">
          <cell r="A866" t="str">
            <v>M4501077</v>
          </cell>
          <cell r="B866" t="str">
            <v>SOLUCIÃ“N DEXTROSADA (GLUCOSADA) ISOTONICA-CON PUNTO DE INYECCIÃ“N ADICIONAL-INYECTABLE . ENVASE FLEXIBLE DOBLE ENVOLTURA-5 % - 500 ML</v>
          </cell>
          <cell r="C866">
            <v>0</v>
          </cell>
        </row>
        <row r="867">
          <cell r="A867" t="str">
            <v>M4506116</v>
          </cell>
          <cell r="B867" t="str">
            <v>SOLUCIÃ“N FISIOLÃ“GICA DE CLORURO DE SODIO--INYECTABLE SEMIRRÃGIDO FLEXIBLE S/ENVOLTURA-0.9% - 250 ML</v>
          </cell>
          <cell r="C867">
            <v>0</v>
          </cell>
        </row>
        <row r="868">
          <cell r="A868" t="str">
            <v>M4111112</v>
          </cell>
          <cell r="B868" t="str">
            <v>SUCCINILCOLINA--AMPOLLAS-50MG/ML - 2 ML</v>
          </cell>
          <cell r="C868">
            <v>0</v>
          </cell>
        </row>
        <row r="869">
          <cell r="A869" t="str">
            <v>M4111111</v>
          </cell>
          <cell r="B869" t="str">
            <v>SUCCINILCOLINA--FCO. AMPOLLA (LIOF.)-500 MG</v>
          </cell>
          <cell r="C869">
            <v>0</v>
          </cell>
        </row>
        <row r="870">
          <cell r="A870" t="str">
            <v>M4111113</v>
          </cell>
          <cell r="B870" t="str">
            <v>SUCCINILCOLINA--FCO. AMPOLLA (LIOF.)-100 MG</v>
          </cell>
          <cell r="C870">
            <v>0</v>
          </cell>
        </row>
        <row r="871">
          <cell r="A871" t="str">
            <v>M4101040</v>
          </cell>
          <cell r="B871" t="str">
            <v>SUCCINILCOLINA--AMPOLLAS-100MG - 5 ML</v>
          </cell>
          <cell r="C871">
            <v>2000</v>
          </cell>
        </row>
        <row r="872">
          <cell r="A872" t="str">
            <v>M4101041</v>
          </cell>
          <cell r="B872" t="str">
            <v>SUCCINILCOLINA--FCO. AMPOLLA-500MG - 10 ML</v>
          </cell>
          <cell r="C872">
            <v>0</v>
          </cell>
        </row>
        <row r="873">
          <cell r="A873" t="str">
            <v>M2301034</v>
          </cell>
          <cell r="B873" t="str">
            <v>SUCRALFATO--SUSPENSION-20GR/100ML - 200 ML</v>
          </cell>
          <cell r="C873">
            <v>90</v>
          </cell>
        </row>
        <row r="874">
          <cell r="A874" t="str">
            <v>M3823120</v>
          </cell>
          <cell r="B874" t="str">
            <v>SUERO ANTIBOTULINICO-AMPOLLA--</v>
          </cell>
          <cell r="C874">
            <v>0</v>
          </cell>
        </row>
        <row r="875">
          <cell r="A875" t="str">
            <v>M0314149</v>
          </cell>
          <cell r="B875" t="str">
            <v>SUGAMMADEX 100 MGR-ENVASE X 2 ML-AMPOLLA-TIPO MONODROGA</v>
          </cell>
          <cell r="C875">
            <v>0</v>
          </cell>
        </row>
        <row r="876">
          <cell r="A876" t="str">
            <v>M1101033</v>
          </cell>
          <cell r="B876" t="str">
            <v>SULFADIAZINA DE PLATA--COMPRIMIDO-500 MG</v>
          </cell>
          <cell r="C876">
            <v>100</v>
          </cell>
        </row>
        <row r="877">
          <cell r="A877" t="str">
            <v>M2901181</v>
          </cell>
          <cell r="B877" t="str">
            <v>SULFADIAZINA DE PLATA-LIDOCAINA-VITAMINA A--CREMA-50 GRS</v>
          </cell>
          <cell r="C877">
            <v>30</v>
          </cell>
        </row>
        <row r="878">
          <cell r="A878" t="str">
            <v>M2919131</v>
          </cell>
          <cell r="B878" t="str">
            <v>SULFADIAZINA DE PLATA-VITAMINA A-LIDOCAINA--CREMA 200 GR-1GR-248.000UI-666MG</v>
          </cell>
          <cell r="C878">
            <v>107</v>
          </cell>
        </row>
        <row r="879">
          <cell r="A879" t="str">
            <v>M2901158</v>
          </cell>
          <cell r="B879" t="str">
            <v>SULFADIAZINA DE PLATA-VITAMINA A-LIDOCAINA--CREMA 400 GR-1GR-248.000U.I-666MG</v>
          </cell>
          <cell r="C879">
            <v>6</v>
          </cell>
        </row>
        <row r="880">
          <cell r="A880" t="str">
            <v>M2901110</v>
          </cell>
          <cell r="B880" t="str">
            <v>SULFADIAZINA DE PLATA-VITAMINA A-LIDOCAINA--CREMA 30 GR-1GR-248.000U.I-666MG</v>
          </cell>
          <cell r="C880">
            <v>0</v>
          </cell>
        </row>
        <row r="881">
          <cell r="A881" t="str">
            <v>M2301043</v>
          </cell>
          <cell r="B881" t="str">
            <v>SULFASALAZINA (SALAZOSULFAPIRIDINA)--COMPRIMIDOS RECUBIERTOS-500 MG</v>
          </cell>
          <cell r="C881">
            <v>0</v>
          </cell>
        </row>
        <row r="882">
          <cell r="A882" t="str">
            <v>I0104004</v>
          </cell>
          <cell r="B882" t="str">
            <v>SULFATO DE BARIO - SUSPENSIÃ“N DE USO RECTAL-UNIDAD - BOLSA-BOLSA APLICADORA-500 ML DE SUSPENSIÃ“N</v>
          </cell>
          <cell r="C882">
            <v>0</v>
          </cell>
        </row>
        <row r="883">
          <cell r="A883" t="str">
            <v>M0501131</v>
          </cell>
          <cell r="B883" t="str">
            <v>SULFATO FERROSO--COMPRIMIDOS-500 MG</v>
          </cell>
          <cell r="C883">
            <v>0</v>
          </cell>
        </row>
        <row r="884">
          <cell r="A884" t="str">
            <v>M0501125</v>
          </cell>
          <cell r="B884" t="str">
            <v>SULFATO FERROSO--COMPRIMIDOS-200 MG</v>
          </cell>
          <cell r="C884">
            <v>12000</v>
          </cell>
        </row>
        <row r="885">
          <cell r="A885" t="str">
            <v>M0505134</v>
          </cell>
          <cell r="B885" t="str">
            <v>SULFATO FERROSO-ACIDO FOLICO--COMPRIMIDOS-525MG-0.35MG</v>
          </cell>
          <cell r="C885">
            <v>0</v>
          </cell>
        </row>
        <row r="886">
          <cell r="A886" t="str">
            <v>M5001002</v>
          </cell>
          <cell r="B886" t="str">
            <v>SUPLEMENTO ORAL LÃQUIDO - HIPERCALORICO-NORMOPROTEICO-200/240ML-1.5 CAL/ML-</v>
          </cell>
          <cell r="C886">
            <v>864</v>
          </cell>
        </row>
        <row r="887">
          <cell r="A887" t="str">
            <v>M4023184</v>
          </cell>
          <cell r="B887" t="str">
            <v>SUSTANCIA VISCOESLASTICA-JERINGA PRE LLENADA Y CANULA ESTERIL-HIALURONATO DE SODIO 3%-</v>
          </cell>
          <cell r="C887">
            <v>17</v>
          </cell>
        </row>
        <row r="888">
          <cell r="A888" t="str">
            <v>M3000011</v>
          </cell>
          <cell r="B888" t="str">
            <v>TAMSULOSINA--CAPSULAS-0.4 MG</v>
          </cell>
          <cell r="C888">
            <v>10950</v>
          </cell>
        </row>
        <row r="889">
          <cell r="A889" t="str">
            <v>M1101044</v>
          </cell>
          <cell r="B889" t="str">
            <v>TEICOPLANINA-INYECTABLE-FRASCO AMPOLLA-400 MG</v>
          </cell>
          <cell r="C889">
            <v>200</v>
          </cell>
        </row>
        <row r="890">
          <cell r="A890" t="str">
            <v>M2615226</v>
          </cell>
          <cell r="B890" t="str">
            <v>TENECTEPLASA-UNIDAD-FORMA FARMACEUTICA AMPOLLA-ANTITROMBOTICOS</v>
          </cell>
          <cell r="C890">
            <v>7</v>
          </cell>
        </row>
        <row r="891">
          <cell r="A891" t="str">
            <v>M1101112</v>
          </cell>
          <cell r="B891" t="str">
            <v>TENOFOVIR 300MG + EMTRIBICINA 200 MG.-UNIDAD-COMPRIMIDOS-</v>
          </cell>
          <cell r="C891">
            <v>0</v>
          </cell>
        </row>
        <row r="892">
          <cell r="A892" t="str">
            <v>M2401121</v>
          </cell>
          <cell r="B892" t="str">
            <v>TEOFILINA--COMPRIMIDOS-300 MG</v>
          </cell>
          <cell r="C892">
            <v>0</v>
          </cell>
        </row>
        <row r="893">
          <cell r="A893" t="str">
            <v>M1801021</v>
          </cell>
          <cell r="B893" t="str">
            <v>TERBINAFINA--COMPRIMIDOS-250 MG</v>
          </cell>
          <cell r="C893">
            <v>0</v>
          </cell>
        </row>
        <row r="894">
          <cell r="A894" t="str">
            <v>M2601055</v>
          </cell>
          <cell r="B894" t="str">
            <v>TERLIPRESINA ACETATO-MANITOL--FCO. AMPOLLA + AMPOLLA DILUYENTE-1MG-10MG - 5ML</v>
          </cell>
          <cell r="C894">
            <v>47</v>
          </cell>
        </row>
        <row r="895">
          <cell r="A895" t="str">
            <v>YH100006</v>
          </cell>
          <cell r="B895" t="str">
            <v>TEST DE BOWIE DICK--HOJAS-100 UNIDADES</v>
          </cell>
          <cell r="C895">
            <v>0</v>
          </cell>
        </row>
        <row r="896">
          <cell r="A896" t="str">
            <v>YH106003</v>
          </cell>
          <cell r="B896" t="str">
            <v>TEST DE BOWIE DICK-UNIDAD-PACK-</v>
          </cell>
          <cell r="C896">
            <v>0</v>
          </cell>
        </row>
        <row r="897">
          <cell r="A897" t="str">
            <v>M3629116</v>
          </cell>
          <cell r="B897" t="str">
            <v>TESTOSTERONA--AMPOLLAS-250MG/ML - 1 ML</v>
          </cell>
          <cell r="C897">
            <v>0</v>
          </cell>
        </row>
        <row r="898">
          <cell r="A898" t="str">
            <v>M3601117</v>
          </cell>
          <cell r="B898" t="str">
            <v>TESTOSTERONA-150 GRS- UNIDAD-GEL-</v>
          </cell>
          <cell r="C898">
            <v>21</v>
          </cell>
        </row>
        <row r="899">
          <cell r="A899" t="str">
            <v>M1101076</v>
          </cell>
          <cell r="B899" t="str">
            <v>TIGECICLINA-INYECTABLE-FRASCO AMPOLLA-50MG</v>
          </cell>
          <cell r="C899">
            <v>80</v>
          </cell>
        </row>
        <row r="900">
          <cell r="A900" t="str">
            <v>M3701068</v>
          </cell>
          <cell r="B900" t="str">
            <v>TIMOMODULINA--AMPOLLA BEBIBLE-60MG-15ML</v>
          </cell>
          <cell r="C900">
            <v>0</v>
          </cell>
        </row>
        <row r="901">
          <cell r="A901" t="str">
            <v>M0301111</v>
          </cell>
          <cell r="B901" t="str">
            <v>TIOPENTAL SODICO--FCO. AMPOLLA-1GR - 50 ML</v>
          </cell>
          <cell r="C901">
            <v>0</v>
          </cell>
        </row>
        <row r="902">
          <cell r="A902" t="str">
            <v>M1224113</v>
          </cell>
          <cell r="B902" t="str">
            <v>TIORIDAZINA--COMPRIMIDOS-200 MG</v>
          </cell>
          <cell r="C902">
            <v>2800</v>
          </cell>
        </row>
        <row r="903">
          <cell r="A903" t="str">
            <v>M1224112</v>
          </cell>
          <cell r="B903" t="str">
            <v>TIORIDAZINA--COMPRIMIDOS-25 MG</v>
          </cell>
          <cell r="C903">
            <v>0</v>
          </cell>
        </row>
        <row r="904">
          <cell r="A904" t="str">
            <v>M4001040</v>
          </cell>
          <cell r="B904" t="str">
            <v>TOBRAMICINA--GOTAS-0.3% - 5 ML</v>
          </cell>
          <cell r="C904">
            <v>101</v>
          </cell>
        </row>
        <row r="905">
          <cell r="A905" t="str">
            <v>M4001011</v>
          </cell>
          <cell r="B905" t="str">
            <v>TOBRAMICINA-DEXAMETASONA--GOTAS-0.3%-0.1% - 5 ML</v>
          </cell>
          <cell r="C905">
            <v>50</v>
          </cell>
        </row>
        <row r="906">
          <cell r="A906" t="str">
            <v>M1708189</v>
          </cell>
          <cell r="B906" t="str">
            <v>TOCILIZUMAB-4ML FRASCO AMPOLLA--80MG</v>
          </cell>
          <cell r="C906">
            <v>0</v>
          </cell>
        </row>
        <row r="907">
          <cell r="A907" t="str">
            <v>M1708190</v>
          </cell>
          <cell r="B907" t="str">
            <v>TOCILIZUMAB-10ML FRASCO AMPOLLA--200MG</v>
          </cell>
          <cell r="C907">
            <v>0</v>
          </cell>
        </row>
        <row r="908">
          <cell r="A908" t="str">
            <v>M1246125</v>
          </cell>
          <cell r="B908" t="str">
            <v>TOPIRAMATO--COMPRIMIDOS-50 MG</v>
          </cell>
          <cell r="C908">
            <v>1718</v>
          </cell>
        </row>
        <row r="909">
          <cell r="A909" t="str">
            <v>M1246124</v>
          </cell>
          <cell r="B909" t="str">
            <v>TOPIRAMATO--COMPRIMIDOS-25 MG</v>
          </cell>
          <cell r="C909">
            <v>3716</v>
          </cell>
        </row>
        <row r="910">
          <cell r="A910" t="str">
            <v>M1246126</v>
          </cell>
          <cell r="B910" t="str">
            <v>TOPIRAMATO--COMPRIMIDOS-100 MG</v>
          </cell>
          <cell r="C910">
            <v>8714</v>
          </cell>
        </row>
        <row r="911">
          <cell r="A911" t="str">
            <v>M4101001</v>
          </cell>
          <cell r="B911" t="str">
            <v>TOXINA BOTULINICA TIPO A--AMPOLLAS (LIOF.)-100 U.I.</v>
          </cell>
          <cell r="C911">
            <v>29</v>
          </cell>
        </row>
        <row r="912">
          <cell r="A912" t="str">
            <v>M4116117</v>
          </cell>
          <cell r="B912" t="str">
            <v>TOXINA BOTULINICA TIPO A--AMPOLLAS LIOFOLIZADO-200 UI</v>
          </cell>
          <cell r="C912">
            <v>0</v>
          </cell>
        </row>
        <row r="913">
          <cell r="A913" t="str">
            <v>M0201162</v>
          </cell>
          <cell r="B913" t="str">
            <v>TRAMADOL--COMPRIMIDOS-50 MG</v>
          </cell>
          <cell r="C913">
            <v>63500</v>
          </cell>
        </row>
        <row r="914">
          <cell r="A914" t="str">
            <v>M0201159</v>
          </cell>
          <cell r="B914" t="str">
            <v>TRAMADOL--GOTAS-100MG/ML - 10 ML</v>
          </cell>
          <cell r="C914">
            <v>0</v>
          </cell>
        </row>
        <row r="915">
          <cell r="A915" t="str">
            <v>M0201175</v>
          </cell>
          <cell r="B915" t="str">
            <v>TRAMADOL-GOTAS - 20 ML-ORAL-100MG/ML</v>
          </cell>
          <cell r="C915">
            <v>0</v>
          </cell>
        </row>
        <row r="916">
          <cell r="A916" t="str">
            <v>M0216162</v>
          </cell>
          <cell r="B916" t="str">
            <v>TRAMADOL-AMPOLLA X 1 ML-AMPOLLA-50 MG/ML</v>
          </cell>
          <cell r="C916">
            <v>960</v>
          </cell>
        </row>
        <row r="917">
          <cell r="A917" t="str">
            <v>M2701037</v>
          </cell>
          <cell r="B917" t="str">
            <v>TRIAMCINOLONA-FRASCO AMPOLLA-INYECTABLE-6MG/ML - 5 ML</v>
          </cell>
          <cell r="C917">
            <v>0</v>
          </cell>
        </row>
        <row r="918">
          <cell r="A918" t="str">
            <v>M2906112</v>
          </cell>
          <cell r="B918" t="str">
            <v>TRIAMCINOLONA--FCO.AMPOLLA-40MG/ML</v>
          </cell>
          <cell r="C918">
            <v>0</v>
          </cell>
        </row>
        <row r="919">
          <cell r="A919" t="str">
            <v>M2708113</v>
          </cell>
          <cell r="B919" t="str">
            <v>TRIAMCINOLONA HEXACETONIDA--FCO AMPOLLA-8MG/ML-5ML</v>
          </cell>
          <cell r="C919">
            <v>30</v>
          </cell>
        </row>
        <row r="920">
          <cell r="A920" t="str">
            <v>M1226112</v>
          </cell>
          <cell r="B920" t="str">
            <v>TRIFLUOPERAZINA--COMPRIMIDOS-10 MG</v>
          </cell>
          <cell r="C920">
            <v>4185</v>
          </cell>
        </row>
        <row r="921">
          <cell r="A921" t="str">
            <v>M0141268</v>
          </cell>
          <cell r="B921" t="str">
            <v>TRIMETAZIDINA DICLORHIDRATO 35 MG-COMPRIMIDO--</v>
          </cell>
          <cell r="C921">
            <v>0</v>
          </cell>
        </row>
        <row r="922">
          <cell r="A922" t="str">
            <v>M1101052</v>
          </cell>
          <cell r="B922" t="str">
            <v>TRIMETOPRIMA-SULFAMETOXAZOL (COTRIMOXAZOL)--COMPRIMIDOS-80MG-400MG</v>
          </cell>
          <cell r="C922">
            <v>0</v>
          </cell>
        </row>
        <row r="923">
          <cell r="A923" t="str">
            <v>M1101035</v>
          </cell>
          <cell r="B923" t="str">
            <v>TRIMETOPRIMA-SULFAMETOXAZOL (COTRIMOXAZOL)-INYECTABLE-AMPOLLA-160MG-800MG - 5ML</v>
          </cell>
          <cell r="C923">
            <v>0</v>
          </cell>
        </row>
        <row r="924">
          <cell r="A924" t="str">
            <v>M1109128</v>
          </cell>
          <cell r="B924" t="str">
            <v>TRIMETOPRIMA-SULFAMETOXAZOL (COTRIMOXAZOL)-INYECTABLE-AMPOLLAS-80MG-400MG</v>
          </cell>
          <cell r="C924">
            <v>4650</v>
          </cell>
        </row>
        <row r="925">
          <cell r="A925" t="str">
            <v>M1101036</v>
          </cell>
          <cell r="B925" t="str">
            <v>TRIMETOPRIMA-SULFAMETOXAZOL (COTRIMOXAZOL)--COMPRIMIDOS-160MG-800MG</v>
          </cell>
          <cell r="C925">
            <v>11000</v>
          </cell>
        </row>
        <row r="926">
          <cell r="A926" t="str">
            <v>D0541334</v>
          </cell>
          <cell r="B926" t="str">
            <v>TUBO DE POLIESTIRENO DE SERCCION TRIANGULAR CONTENIENDO 6 MG DE-COAGULACION ACTIVADA-TIERRA DE DIATOMEAS, PURIFICADA PARA LA-DETERMINACION DE TIEMPO DE</v>
          </cell>
          <cell r="C926">
            <v>0</v>
          </cell>
        </row>
        <row r="927">
          <cell r="A927" t="str">
            <v>D0201131</v>
          </cell>
          <cell r="B927" t="str">
            <v>TUBO DESCARTABLE P/DETERMINACION DE TIEMPO DE-UNIDAD TUBO-COAGULACIÃ“N ACTIVADA-</v>
          </cell>
          <cell r="C927">
            <v>0</v>
          </cell>
        </row>
        <row r="928">
          <cell r="A928" t="str">
            <v>M3601116</v>
          </cell>
          <cell r="B928" t="str">
            <v>UNDECANOATO DE TESTOSTERONA-AMPOLLA-INYECTABLE-1000MG/4ML</v>
          </cell>
          <cell r="C928">
            <v>0</v>
          </cell>
        </row>
        <row r="929">
          <cell r="A929" t="str">
            <v>M4219122</v>
          </cell>
          <cell r="B929" t="str">
            <v>VALGANCICLOVIR-ENVASE X 60 COMPRIMIDOS-COMPRIMIDOS-450MG</v>
          </cell>
          <cell r="C929">
            <v>0</v>
          </cell>
        </row>
        <row r="930">
          <cell r="A930" t="str">
            <v>M1246168</v>
          </cell>
          <cell r="B930" t="str">
            <v>VALPROATO DE MAGNESIO--COMPRIMIDOS-400 MG</v>
          </cell>
          <cell r="C930">
            <v>8100</v>
          </cell>
        </row>
        <row r="931">
          <cell r="A931" t="str">
            <v>M1246148</v>
          </cell>
          <cell r="B931" t="str">
            <v>VALPROATO DE MAGNESIO--COMPRIMIDO-200 MG</v>
          </cell>
          <cell r="C931">
            <v>0</v>
          </cell>
        </row>
        <row r="932">
          <cell r="A932" t="str">
            <v>M2534231</v>
          </cell>
          <cell r="B932" t="str">
            <v>VALSARTAN-COMPRIMIDOS 80 MG-COMPRIMIDO-CAPSULA-</v>
          </cell>
          <cell r="C932">
            <v>0</v>
          </cell>
        </row>
        <row r="933">
          <cell r="A933" t="str">
            <v>M2501092</v>
          </cell>
          <cell r="B933" t="str">
            <v>VALSARTAN--CAPSULAS-80 MG</v>
          </cell>
          <cell r="C933">
            <v>0</v>
          </cell>
        </row>
        <row r="934">
          <cell r="A934" t="str">
            <v>M2534241</v>
          </cell>
          <cell r="B934" t="str">
            <v>VALSARTAN--COMPRIMIDO-160 MG</v>
          </cell>
          <cell r="C934">
            <v>0</v>
          </cell>
        </row>
        <row r="935">
          <cell r="A935" t="str">
            <v>M2534230</v>
          </cell>
          <cell r="B935" t="str">
            <v>VALSARTAN-SACUBITRIL-ENVASE X 60 U.-COMPRIMIDOS-200 MG</v>
          </cell>
          <cell r="C935">
            <v>0</v>
          </cell>
        </row>
        <row r="936">
          <cell r="A936" t="str">
            <v>M2534228</v>
          </cell>
          <cell r="B936" t="str">
            <v>VALSARTAN-SACUBITRIL-COMPRIMIDOS--50 MG</v>
          </cell>
          <cell r="C936">
            <v>0</v>
          </cell>
        </row>
        <row r="937">
          <cell r="A937" t="str">
            <v>M2534229</v>
          </cell>
          <cell r="B937" t="str">
            <v>VALSARTAN-SACUBITRIL-COMPRIMIDOS--100 MG</v>
          </cell>
          <cell r="C937">
            <v>3000</v>
          </cell>
        </row>
        <row r="938">
          <cell r="A938" t="str">
            <v>M1101056</v>
          </cell>
          <cell r="B938" t="str">
            <v>VANCOMICINA-INYECTABLE-FRASCO AMPOLLA-500 MG</v>
          </cell>
          <cell r="C938">
            <v>300</v>
          </cell>
        </row>
        <row r="939">
          <cell r="A939" t="str">
            <v>M1101055</v>
          </cell>
          <cell r="B939" t="str">
            <v>VANCOMICINA-INYECTABLE-FRASCO AMPOLLA-1 GR</v>
          </cell>
          <cell r="C939">
            <v>6100</v>
          </cell>
        </row>
        <row r="940">
          <cell r="A940" t="str">
            <v>M0114011</v>
          </cell>
          <cell r="B940" t="str">
            <v>VASELINA LIQUIDA-ENVASE X 1 LITRO-SOLUCION-LITRO</v>
          </cell>
          <cell r="C940">
            <v>98</v>
          </cell>
        </row>
        <row r="941">
          <cell r="A941" t="str">
            <v>M0114021</v>
          </cell>
          <cell r="B941" t="str">
            <v>VASELINA SOLIDA-KG-X-X</v>
          </cell>
          <cell r="C941">
            <v>228</v>
          </cell>
        </row>
        <row r="942">
          <cell r="A942" t="str">
            <v>M3629129</v>
          </cell>
          <cell r="B942" t="str">
            <v>VASOPRESINA SINTETICA-AMPOLLA-INYECTABLE-20UI-1ML</v>
          </cell>
          <cell r="C942">
            <v>640</v>
          </cell>
        </row>
        <row r="943">
          <cell r="A943" t="str">
            <v>M4101008</v>
          </cell>
          <cell r="B943" t="str">
            <v>VECURONIO-FRASCO AMPOLLA LIOFILIZADO-INYECTABLE-10 MG</v>
          </cell>
          <cell r="C943">
            <v>1500</v>
          </cell>
        </row>
        <row r="944">
          <cell r="A944" t="str">
            <v>M1201138</v>
          </cell>
          <cell r="B944" t="str">
            <v>VENLAFAXINA--COMPRIMIDOS-50 MG</v>
          </cell>
          <cell r="C944">
            <v>0</v>
          </cell>
        </row>
        <row r="945">
          <cell r="A945" t="str">
            <v>M1201139</v>
          </cell>
          <cell r="B945" t="str">
            <v>VENLAFAXINA--COMPRIMIDOS-75 MG</v>
          </cell>
          <cell r="C945">
            <v>5200</v>
          </cell>
        </row>
        <row r="946">
          <cell r="A946" t="str">
            <v>M2504121</v>
          </cell>
          <cell r="B946" t="str">
            <v>VERAPAMILO--COMPRIMIDOS-80 MG</v>
          </cell>
          <cell r="C946">
            <v>0</v>
          </cell>
        </row>
        <row r="947">
          <cell r="A947" t="str">
            <v>M1201141</v>
          </cell>
          <cell r="B947" t="str">
            <v>VIGABATRIN--COMPRIMIDOS-500 MG</v>
          </cell>
          <cell r="C947">
            <v>1020</v>
          </cell>
        </row>
        <row r="948">
          <cell r="A948" t="str">
            <v>M4601031</v>
          </cell>
          <cell r="B948" t="str">
            <v>VITAMINA B1 (TIAMINA)-AMPOLLA X 1 ML-INYECTABLE-100MG/ML- 1 ML</v>
          </cell>
          <cell r="C948">
            <v>500</v>
          </cell>
        </row>
        <row r="949">
          <cell r="A949" t="str">
            <v>M4601122</v>
          </cell>
          <cell r="B949" t="str">
            <v>VITAMINA B1 (TIAMINA)--COMPRIMIDOS-300 MG</v>
          </cell>
          <cell r="C949">
            <v>450</v>
          </cell>
        </row>
        <row r="950">
          <cell r="A950" t="str">
            <v>M4601017</v>
          </cell>
          <cell r="B950" t="str">
            <v>VITAMINA B1-B6-B12--COMPRIMIDOS-250MG-250MG-3MG</v>
          </cell>
          <cell r="C950">
            <v>0</v>
          </cell>
        </row>
        <row r="951">
          <cell r="A951" t="str">
            <v>M4601063</v>
          </cell>
          <cell r="B951" t="str">
            <v>VITAMINA B1-B6-B12-FRASCO AMPOLLA LIOFILIZADO-INYECTABLE-100MG-200MG-10.000MCG</v>
          </cell>
          <cell r="C951">
            <v>0</v>
          </cell>
        </row>
        <row r="952">
          <cell r="A952" t="str">
            <v>M4611162</v>
          </cell>
          <cell r="B952" t="str">
            <v>VITAMINA B12--COMPRIMIDO-1 MG</v>
          </cell>
          <cell r="C952">
            <v>1140</v>
          </cell>
        </row>
        <row r="953">
          <cell r="A953" t="str">
            <v>M4611172</v>
          </cell>
          <cell r="B953" t="str">
            <v>VITAMINA B6-COMPRIMIDO-PYRIDOXINE HCI TEVA-50 MG.</v>
          </cell>
          <cell r="C953">
            <v>0</v>
          </cell>
        </row>
        <row r="954">
          <cell r="A954" t="str">
            <v>M4601039</v>
          </cell>
          <cell r="B954" t="str">
            <v>VITAMINA B6 (PIRIDOXINA)--COMPRIMIDOS-100 MG</v>
          </cell>
          <cell r="C954">
            <v>0</v>
          </cell>
        </row>
        <row r="955">
          <cell r="A955" t="str">
            <v>M4601044</v>
          </cell>
          <cell r="B955" t="str">
            <v>VITAMINA C (ACIDO ASCORBICO)-AMPOLLA X 5 ML-INYECTABLE-1GR - 5 ML</v>
          </cell>
          <cell r="C955">
            <v>0</v>
          </cell>
        </row>
        <row r="956">
          <cell r="A956" t="str">
            <v>M4601022</v>
          </cell>
          <cell r="B956" t="str">
            <v>VITAMINA D 2 (ERGOCALCIFEROL)-FRASCO GOTERO X 10 ML-GOTAS ORALES-10.000UI-1ML</v>
          </cell>
          <cell r="C956">
            <v>0</v>
          </cell>
        </row>
        <row r="957">
          <cell r="A957" t="str">
            <v>M4611168</v>
          </cell>
          <cell r="B957" t="str">
            <v>VITAMINA D3-FRASCO-GOTAS-100.000 UI</v>
          </cell>
          <cell r="C957">
            <v>90</v>
          </cell>
        </row>
        <row r="958">
          <cell r="A958" t="str">
            <v>M4601050</v>
          </cell>
          <cell r="B958" t="str">
            <v>VITAMINA D3 (1,25(OH)2 COLECALCIFEROL (CALCITRIOL))-Â´CÃPSULA-CÃPSULA-0.25 MCG</v>
          </cell>
          <cell r="C958">
            <v>0</v>
          </cell>
        </row>
        <row r="959">
          <cell r="A959" t="str">
            <v>M2601059</v>
          </cell>
          <cell r="B959" t="str">
            <v>VITAMINA K (FITOMENADIONA)-AMPOLLA X 1 ML-INYECTABLE-10MG - 1 ML</v>
          </cell>
          <cell r="C959">
            <v>1300</v>
          </cell>
        </row>
        <row r="960">
          <cell r="A960" t="str">
            <v>M2615222</v>
          </cell>
          <cell r="B960" t="str">
            <v>VITAMINA K (FITOMENADIONA)--10 MG-COMPRIMIDOS</v>
          </cell>
          <cell r="C960">
            <v>0</v>
          </cell>
        </row>
        <row r="961">
          <cell r="A961" t="str">
            <v>M4611136</v>
          </cell>
          <cell r="B961" t="str">
            <v>VITAMINAS B1-B6-B12--COMPRIMIDOS-125MG-140MG-5.000MCG</v>
          </cell>
          <cell r="C961">
            <v>0</v>
          </cell>
        </row>
        <row r="962">
          <cell r="A962" t="str">
            <v>M1801029</v>
          </cell>
          <cell r="B962" t="str">
            <v>VORICONAZOL-FRASCO AMPOLLA IM/IV-INYECTABLE-200 MG</v>
          </cell>
          <cell r="C962">
            <v>80</v>
          </cell>
        </row>
        <row r="963">
          <cell r="A963" t="str">
            <v>M1801028</v>
          </cell>
          <cell r="B963" t="str">
            <v>VORICONAZOL--COMPRIMIDO-200 MG</v>
          </cell>
          <cell r="C963">
            <v>270</v>
          </cell>
        </row>
        <row r="964">
          <cell r="A964" t="str">
            <v>M2534232</v>
          </cell>
          <cell r="B964" t="str">
            <v>WARFARINA 5 MG-COMPRIMIDO--</v>
          </cell>
          <cell r="C964">
            <v>250</v>
          </cell>
        </row>
        <row r="965">
          <cell r="A965" t="str">
            <v>GZ302429</v>
          </cell>
          <cell r="B965" t="str">
            <v>XILOL---LITRO</v>
          </cell>
          <cell r="C965">
            <v>0</v>
          </cell>
        </row>
        <row r="966">
          <cell r="A966" t="str">
            <v>M1201143</v>
          </cell>
          <cell r="B966" t="str">
            <v>ZOLPIDEM--COMPRIMIDO-10 MG</v>
          </cell>
          <cell r="C966">
            <v>0</v>
          </cell>
        </row>
        <row r="967">
          <cell r="A967" t="str">
            <v>M1201148</v>
          </cell>
          <cell r="B967" t="str">
            <v>ZUCLOPENTIXOL DECANOATO-AMPOLLA X 1 ML-INYECTABLE-200MG/ML - 1ML</v>
          </cell>
          <cell r="C967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Views>
    <sheetView topLeftCell="B1" zoomScale="80" workbookViewId="0">
      <selection activeCell="B15" sqref="B15"/>
    </sheetView>
  </sheetViews>
  <sheetFormatPr baseColWidth="10" defaultColWidth="11.42578125" defaultRowHeight="15" x14ac:dyDescent="0.25"/>
  <cols>
    <col min="1" max="1" width="13" hidden="1" customWidth="1"/>
    <col min="2" max="2" width="76.85546875" customWidth="1"/>
    <col min="7" max="7" width="49.28515625" customWidth="1"/>
  </cols>
  <sheetData>
    <row r="1" spans="1:7" ht="57" customHeight="1" x14ac:dyDescent="0.25">
      <c r="A1" s="192" t="s">
        <v>0</v>
      </c>
      <c r="B1" s="307" t="s">
        <v>1</v>
      </c>
      <c r="C1" s="307" t="s">
        <v>2</v>
      </c>
      <c r="D1" s="307" t="s">
        <v>3</v>
      </c>
      <c r="E1" s="307" t="s">
        <v>4</v>
      </c>
      <c r="F1" s="307" t="s">
        <v>5</v>
      </c>
      <c r="G1" s="307" t="s">
        <v>6</v>
      </c>
    </row>
    <row r="2" spans="1:7" x14ac:dyDescent="0.25">
      <c r="A2" s="36"/>
      <c r="B2" s="672" t="s">
        <v>7</v>
      </c>
      <c r="C2" s="672">
        <v>800</v>
      </c>
      <c r="D2" s="672">
        <v>5000</v>
      </c>
      <c r="E2" s="308" t="s">
        <v>8</v>
      </c>
      <c r="F2" s="672" t="s">
        <v>8</v>
      </c>
      <c r="G2" s="672"/>
    </row>
    <row r="3" spans="1:7" x14ac:dyDescent="0.25">
      <c r="A3" s="36"/>
      <c r="B3" s="672" t="s">
        <v>9</v>
      </c>
      <c r="C3" s="672">
        <v>7000</v>
      </c>
      <c r="D3" s="672">
        <v>40000</v>
      </c>
      <c r="E3" s="672" t="s">
        <v>8</v>
      </c>
      <c r="F3" s="672" t="s">
        <v>8</v>
      </c>
      <c r="G3" s="672"/>
    </row>
    <row r="4" spans="1:7" x14ac:dyDescent="0.25">
      <c r="A4" s="36"/>
      <c r="B4" s="672" t="s">
        <v>10</v>
      </c>
      <c r="C4" s="672">
        <v>2100</v>
      </c>
      <c r="D4" s="672">
        <v>4710</v>
      </c>
      <c r="E4" s="672" t="s">
        <v>8</v>
      </c>
      <c r="F4" s="672" t="s">
        <v>8</v>
      </c>
      <c r="G4" s="674" t="s">
        <v>11</v>
      </c>
    </row>
    <row r="5" spans="1:7" x14ac:dyDescent="0.25">
      <c r="A5" s="36"/>
      <c r="B5" s="672" t="s">
        <v>12</v>
      </c>
      <c r="C5" s="672">
        <v>500</v>
      </c>
      <c r="D5" s="672">
        <v>0</v>
      </c>
      <c r="E5" s="672" t="s">
        <v>8</v>
      </c>
      <c r="F5" s="672">
        <v>2000</v>
      </c>
      <c r="G5" s="672" t="s">
        <v>13</v>
      </c>
    </row>
    <row r="6" spans="1:7" x14ac:dyDescent="0.25">
      <c r="A6" s="36"/>
      <c r="B6" s="674" t="s">
        <v>14</v>
      </c>
      <c r="C6" s="752">
        <v>500</v>
      </c>
      <c r="D6" s="752">
        <v>1050</v>
      </c>
      <c r="E6" s="752" t="s">
        <v>8</v>
      </c>
      <c r="F6" s="752" t="s">
        <v>8</v>
      </c>
      <c r="G6" s="752" t="s">
        <v>11</v>
      </c>
    </row>
    <row r="7" spans="1:7" x14ac:dyDescent="0.25">
      <c r="A7" s="36"/>
      <c r="B7" s="674" t="s">
        <v>15</v>
      </c>
      <c r="C7" s="753"/>
      <c r="D7" s="753"/>
      <c r="E7" s="753"/>
      <c r="F7" s="753"/>
      <c r="G7" s="753"/>
    </row>
    <row r="8" spans="1:7" x14ac:dyDescent="0.25">
      <c r="A8" s="36"/>
      <c r="B8" s="674" t="s">
        <v>16</v>
      </c>
      <c r="C8" s="674">
        <v>500</v>
      </c>
      <c r="D8" s="674">
        <v>300</v>
      </c>
      <c r="E8" s="674" t="s">
        <v>8</v>
      </c>
      <c r="F8" s="674">
        <v>1500</v>
      </c>
      <c r="G8" s="674" t="s">
        <v>17</v>
      </c>
    </row>
    <row r="9" spans="1:7" x14ac:dyDescent="0.25">
      <c r="A9" s="36"/>
      <c r="B9" s="674" t="s">
        <v>18</v>
      </c>
      <c r="C9" s="674">
        <v>50</v>
      </c>
      <c r="D9" s="674">
        <v>0</v>
      </c>
      <c r="E9" s="674" t="s">
        <v>8</v>
      </c>
      <c r="F9" s="674">
        <v>200</v>
      </c>
      <c r="G9" s="674"/>
    </row>
    <row r="10" spans="1:7" x14ac:dyDescent="0.25">
      <c r="A10" s="36"/>
      <c r="B10" s="674" t="s">
        <v>19</v>
      </c>
      <c r="C10" s="674">
        <v>50</v>
      </c>
      <c r="D10" s="674">
        <v>0</v>
      </c>
      <c r="E10" s="674" t="s">
        <v>8</v>
      </c>
      <c r="F10" s="674" t="s">
        <v>8</v>
      </c>
      <c r="G10" s="674"/>
    </row>
    <row r="11" spans="1:7" x14ac:dyDescent="0.25">
      <c r="A11" s="36"/>
      <c r="B11" s="672" t="s">
        <v>20</v>
      </c>
      <c r="C11" s="672">
        <v>3500</v>
      </c>
      <c r="D11" s="672">
        <v>17000</v>
      </c>
      <c r="E11" s="672" t="s">
        <v>8</v>
      </c>
      <c r="F11" s="672" t="s">
        <v>8</v>
      </c>
      <c r="G11" s="672"/>
    </row>
    <row r="12" spans="1:7" x14ac:dyDescent="0.25">
      <c r="A12" s="36"/>
      <c r="B12" s="674" t="s">
        <v>21</v>
      </c>
      <c r="C12" s="674">
        <v>800</v>
      </c>
      <c r="D12" s="674">
        <v>1200</v>
      </c>
      <c r="E12" s="674" t="s">
        <v>8</v>
      </c>
      <c r="F12" s="674">
        <v>1600</v>
      </c>
      <c r="G12" s="674" t="s">
        <v>13</v>
      </c>
    </row>
    <row r="13" spans="1:7" x14ac:dyDescent="0.25">
      <c r="A13" s="36"/>
      <c r="B13" s="674" t="s">
        <v>22</v>
      </c>
      <c r="C13" s="674">
        <v>300</v>
      </c>
      <c r="D13" s="674">
        <v>0</v>
      </c>
      <c r="E13" s="674" t="s">
        <v>8</v>
      </c>
      <c r="F13" s="674"/>
      <c r="G13" s="674"/>
    </row>
    <row r="14" spans="1:7" x14ac:dyDescent="0.25">
      <c r="A14" s="36"/>
      <c r="B14" s="674" t="s">
        <v>23</v>
      </c>
      <c r="C14" s="674">
        <v>200</v>
      </c>
      <c r="D14" s="674">
        <v>0</v>
      </c>
      <c r="E14" s="674" t="s">
        <v>8</v>
      </c>
      <c r="F14" s="674">
        <v>800</v>
      </c>
      <c r="G14" s="674" t="s">
        <v>13</v>
      </c>
    </row>
    <row r="15" spans="1:7" x14ac:dyDescent="0.25">
      <c r="A15" s="36"/>
      <c r="B15" s="674" t="s">
        <v>24</v>
      </c>
      <c r="C15" s="674">
        <v>1600</v>
      </c>
      <c r="D15" s="674">
        <v>4600</v>
      </c>
      <c r="E15" s="674" t="s">
        <v>8</v>
      </c>
      <c r="F15" s="674" t="s">
        <v>8</v>
      </c>
      <c r="G15" s="674" t="s">
        <v>11</v>
      </c>
    </row>
    <row r="16" spans="1:7" x14ac:dyDescent="0.25">
      <c r="A16" s="36"/>
      <c r="B16" s="672" t="s">
        <v>25</v>
      </c>
      <c r="C16" s="672">
        <v>200</v>
      </c>
      <c r="D16" s="672">
        <v>1050</v>
      </c>
      <c r="E16" s="672" t="s">
        <v>8</v>
      </c>
      <c r="F16" s="672" t="s">
        <v>8</v>
      </c>
      <c r="G16" s="672"/>
    </row>
    <row r="17" spans="1:7" x14ac:dyDescent="0.25">
      <c r="A17" s="36"/>
      <c r="B17" s="672" t="s">
        <v>26</v>
      </c>
      <c r="C17" s="672">
        <v>2000</v>
      </c>
      <c r="D17" s="672">
        <v>6100</v>
      </c>
      <c r="E17" s="672" t="s">
        <v>8</v>
      </c>
      <c r="F17" s="672" t="s">
        <v>8</v>
      </c>
      <c r="G17" s="674" t="s">
        <v>11</v>
      </c>
    </row>
    <row r="18" spans="1:7" x14ac:dyDescent="0.25">
      <c r="A18" s="36"/>
      <c r="B18" s="672" t="s">
        <v>27</v>
      </c>
      <c r="C18" s="672">
        <v>300</v>
      </c>
      <c r="D18" s="672">
        <v>5400</v>
      </c>
      <c r="E18" s="672" t="s">
        <v>28</v>
      </c>
      <c r="F18" s="672" t="s">
        <v>28</v>
      </c>
      <c r="G18" s="672" t="s">
        <v>29</v>
      </c>
    </row>
    <row r="19" spans="1:7" x14ac:dyDescent="0.25">
      <c r="A19" s="36"/>
      <c r="B19" s="674" t="s">
        <v>30</v>
      </c>
      <c r="C19" s="752">
        <v>1000</v>
      </c>
      <c r="D19" s="752">
        <v>0</v>
      </c>
      <c r="E19" s="752" t="s">
        <v>8</v>
      </c>
      <c r="F19" s="752" t="s">
        <v>8</v>
      </c>
      <c r="G19" s="674"/>
    </row>
    <row r="20" spans="1:7" x14ac:dyDescent="0.25">
      <c r="A20" s="36"/>
      <c r="B20" s="674" t="s">
        <v>31</v>
      </c>
      <c r="C20" s="753"/>
      <c r="D20" s="753"/>
      <c r="E20" s="753"/>
      <c r="F20" s="753"/>
      <c r="G20" s="674"/>
    </row>
    <row r="21" spans="1:7" x14ac:dyDescent="0.25">
      <c r="A21" s="36"/>
      <c r="B21" s="672" t="s">
        <v>32</v>
      </c>
      <c r="C21" s="672">
        <v>0</v>
      </c>
      <c r="D21" s="672">
        <v>0</v>
      </c>
      <c r="E21" s="672" t="s">
        <v>8</v>
      </c>
      <c r="F21" s="672" t="s">
        <v>8</v>
      </c>
      <c r="G21" s="672"/>
    </row>
    <row r="22" spans="1:7" x14ac:dyDescent="0.25">
      <c r="A22" s="36"/>
      <c r="B22" s="674" t="s">
        <v>33</v>
      </c>
      <c r="C22" s="674">
        <v>700</v>
      </c>
      <c r="D22" s="674">
        <v>200</v>
      </c>
      <c r="E22" s="674" t="s">
        <v>8</v>
      </c>
      <c r="F22" s="674">
        <v>1000</v>
      </c>
      <c r="G22" s="674" t="s">
        <v>13</v>
      </c>
    </row>
    <row r="23" spans="1:7" x14ac:dyDescent="0.25">
      <c r="A23" s="36"/>
      <c r="B23" s="674" t="s">
        <v>34</v>
      </c>
      <c r="C23" s="752">
        <v>1500</v>
      </c>
      <c r="D23" s="752">
        <v>2700</v>
      </c>
      <c r="E23" s="752" t="s">
        <v>8</v>
      </c>
      <c r="F23" s="752" t="s">
        <v>8</v>
      </c>
      <c r="G23" s="752"/>
    </row>
    <row r="24" spans="1:7" x14ac:dyDescent="0.25">
      <c r="A24" s="36"/>
      <c r="B24" s="674" t="s">
        <v>35</v>
      </c>
      <c r="C24" s="753"/>
      <c r="D24" s="753"/>
      <c r="E24" s="753"/>
      <c r="F24" s="753"/>
      <c r="G24" s="753"/>
    </row>
    <row r="25" spans="1:7" x14ac:dyDescent="0.25">
      <c r="A25" s="36"/>
      <c r="B25" s="672" t="s">
        <v>36</v>
      </c>
      <c r="C25" s="672">
        <v>0</v>
      </c>
      <c r="D25" s="672">
        <v>0</v>
      </c>
      <c r="E25" s="672" t="s">
        <v>8</v>
      </c>
      <c r="F25" s="672" t="s">
        <v>8</v>
      </c>
      <c r="G25" s="672"/>
    </row>
    <row r="26" spans="1:7" x14ac:dyDescent="0.25">
      <c r="A26" s="36"/>
      <c r="B26" s="674" t="s">
        <v>37</v>
      </c>
      <c r="C26" s="674">
        <v>1000</v>
      </c>
      <c r="D26" s="674">
        <v>600</v>
      </c>
      <c r="E26" s="674" t="s">
        <v>8</v>
      </c>
      <c r="F26" s="674">
        <v>2500</v>
      </c>
      <c r="G26" s="674" t="s">
        <v>13</v>
      </c>
    </row>
    <row r="27" spans="1:7" x14ac:dyDescent="0.25">
      <c r="A27" s="36"/>
      <c r="B27" s="672" t="s">
        <v>38</v>
      </c>
      <c r="C27" s="754">
        <v>5000</v>
      </c>
      <c r="D27" s="754">
        <v>5225</v>
      </c>
      <c r="E27" s="754" t="s">
        <v>8</v>
      </c>
      <c r="F27" s="754">
        <v>20000</v>
      </c>
      <c r="G27" s="754" t="s">
        <v>13</v>
      </c>
    </row>
    <row r="28" spans="1:7" x14ac:dyDescent="0.25">
      <c r="A28" s="36"/>
      <c r="B28" s="672" t="s">
        <v>39</v>
      </c>
      <c r="C28" s="753"/>
      <c r="D28" s="753"/>
      <c r="E28" s="753"/>
      <c r="F28" s="753"/>
      <c r="G28" s="753"/>
    </row>
    <row r="29" spans="1:7" x14ac:dyDescent="0.25">
      <c r="A29" s="36"/>
      <c r="B29" s="672" t="s">
        <v>40</v>
      </c>
      <c r="C29" s="672">
        <v>2200</v>
      </c>
      <c r="D29" s="672">
        <v>4800</v>
      </c>
      <c r="E29" s="672" t="s">
        <v>8</v>
      </c>
      <c r="F29" s="672">
        <v>15000</v>
      </c>
      <c r="G29" s="672"/>
    </row>
    <row r="30" spans="1:7" x14ac:dyDescent="0.25">
      <c r="A30" s="36"/>
      <c r="B30" s="672" t="s">
        <v>41</v>
      </c>
      <c r="C30" s="672">
        <v>6000</v>
      </c>
      <c r="D30" s="672">
        <v>10300</v>
      </c>
      <c r="E30" s="672" t="s">
        <v>8</v>
      </c>
      <c r="F30" s="672"/>
      <c r="G30" s="672" t="s">
        <v>42</v>
      </c>
    </row>
    <row r="31" spans="1:7" x14ac:dyDescent="0.25">
      <c r="A31" s="36"/>
      <c r="B31" s="672" t="s">
        <v>43</v>
      </c>
      <c r="C31" s="672">
        <v>200</v>
      </c>
      <c r="D31" s="672">
        <v>920</v>
      </c>
      <c r="E31" s="672" t="s">
        <v>8</v>
      </c>
      <c r="F31" s="672" t="s">
        <v>8</v>
      </c>
      <c r="G31" s="672" t="s">
        <v>44</v>
      </c>
    </row>
    <row r="32" spans="1:7" x14ac:dyDescent="0.25">
      <c r="A32" s="36"/>
      <c r="B32" s="674" t="s">
        <v>45</v>
      </c>
      <c r="C32" s="674">
        <v>200</v>
      </c>
      <c r="D32" s="674">
        <v>405</v>
      </c>
      <c r="E32" s="674" t="s">
        <v>8</v>
      </c>
      <c r="F32" s="674" t="s">
        <v>8</v>
      </c>
      <c r="G32" s="674"/>
    </row>
    <row r="33" spans="1:7" x14ac:dyDescent="0.25">
      <c r="A33" s="36"/>
      <c r="B33" s="674" t="s">
        <v>46</v>
      </c>
      <c r="C33" s="674">
        <v>1000</v>
      </c>
      <c r="D33" s="674">
        <v>2350</v>
      </c>
      <c r="E33" s="674" t="s">
        <v>8</v>
      </c>
      <c r="F33" s="674" t="s">
        <v>8</v>
      </c>
      <c r="G33" s="674"/>
    </row>
    <row r="34" spans="1:7" x14ac:dyDescent="0.25">
      <c r="A34" s="36"/>
      <c r="B34" s="672" t="s">
        <v>47</v>
      </c>
      <c r="C34" s="672">
        <v>250</v>
      </c>
      <c r="D34" s="672">
        <v>700</v>
      </c>
      <c r="E34" s="672" t="s">
        <v>8</v>
      </c>
      <c r="F34" s="672" t="s">
        <v>8</v>
      </c>
      <c r="G34" s="674" t="s">
        <v>11</v>
      </c>
    </row>
    <row r="35" spans="1:7" x14ac:dyDescent="0.25">
      <c r="A35" s="36"/>
      <c r="B35" s="672" t="s">
        <v>48</v>
      </c>
      <c r="C35" s="672">
        <v>9000</v>
      </c>
      <c r="D35" s="672">
        <v>46000</v>
      </c>
      <c r="E35" s="672" t="s">
        <v>8</v>
      </c>
      <c r="F35" s="672" t="s">
        <v>8</v>
      </c>
      <c r="G35" s="672"/>
    </row>
    <row r="36" spans="1:7" x14ac:dyDescent="0.25">
      <c r="A36" s="36"/>
      <c r="B36" s="672" t="s">
        <v>49</v>
      </c>
      <c r="C36" s="672">
        <v>600</v>
      </c>
      <c r="D36" s="672">
        <v>2400</v>
      </c>
      <c r="E36" s="672" t="s">
        <v>8</v>
      </c>
      <c r="F36" s="672" t="s">
        <v>8</v>
      </c>
      <c r="G36" s="672"/>
    </row>
    <row r="37" spans="1:7" x14ac:dyDescent="0.25">
      <c r="A37" s="36"/>
      <c r="B37" s="672" t="s">
        <v>50</v>
      </c>
      <c r="C37" s="672">
        <v>400</v>
      </c>
      <c r="D37" s="672">
        <v>2877</v>
      </c>
      <c r="E37" s="672" t="s">
        <v>8</v>
      </c>
      <c r="F37" s="672" t="s">
        <v>8</v>
      </c>
      <c r="G37" s="672"/>
    </row>
    <row r="38" spans="1:7" x14ac:dyDescent="0.25">
      <c r="A38" s="36"/>
      <c r="B38" s="672" t="s">
        <v>51</v>
      </c>
      <c r="C38" s="672">
        <v>150</v>
      </c>
      <c r="D38" s="672">
        <v>810</v>
      </c>
      <c r="E38" s="672" t="s">
        <v>8</v>
      </c>
      <c r="F38" s="672">
        <v>300</v>
      </c>
      <c r="G38" s="672"/>
    </row>
    <row r="39" spans="1:7" x14ac:dyDescent="0.25">
      <c r="A39" s="36"/>
      <c r="B39" s="674" t="s">
        <v>52</v>
      </c>
      <c r="C39" s="674">
        <v>1300</v>
      </c>
      <c r="D39" s="674">
        <v>2950</v>
      </c>
      <c r="E39" s="674" t="s">
        <v>8</v>
      </c>
      <c r="F39" s="674" t="s">
        <v>8</v>
      </c>
      <c r="G39" s="674"/>
    </row>
    <row r="40" spans="1:7" x14ac:dyDescent="0.25">
      <c r="A40" s="36"/>
      <c r="B40" s="672" t="s">
        <v>53</v>
      </c>
      <c r="C40" s="672">
        <v>9000</v>
      </c>
      <c r="D40" s="672">
        <v>20200</v>
      </c>
      <c r="E40" s="672" t="s">
        <v>8</v>
      </c>
      <c r="F40" s="672">
        <v>20000</v>
      </c>
      <c r="G40" s="672" t="s">
        <v>54</v>
      </c>
    </row>
    <row r="41" spans="1:7" x14ac:dyDescent="0.25">
      <c r="A41" s="36"/>
      <c r="B41" s="672" t="s">
        <v>55</v>
      </c>
      <c r="C41" s="672">
        <v>10</v>
      </c>
      <c r="D41" s="672">
        <v>0</v>
      </c>
      <c r="E41" s="672" t="s">
        <v>8</v>
      </c>
      <c r="F41" s="672">
        <v>20</v>
      </c>
      <c r="G41" s="672" t="s">
        <v>54</v>
      </c>
    </row>
    <row r="42" spans="1:7" x14ac:dyDescent="0.25">
      <c r="A42" s="36"/>
      <c r="B42" s="672" t="s">
        <v>56</v>
      </c>
      <c r="C42" s="754">
        <v>8000</v>
      </c>
      <c r="D42" s="754">
        <v>22176</v>
      </c>
      <c r="E42" s="754" t="s">
        <v>8</v>
      </c>
      <c r="F42" s="754">
        <v>8000</v>
      </c>
      <c r="G42" s="754" t="s">
        <v>54</v>
      </c>
    </row>
    <row r="43" spans="1:7" x14ac:dyDescent="0.25">
      <c r="A43" s="36"/>
      <c r="B43" s="672" t="s">
        <v>57</v>
      </c>
      <c r="C43" s="753"/>
      <c r="D43" s="753"/>
      <c r="E43" s="753"/>
      <c r="F43" s="753"/>
      <c r="G43" s="753"/>
    </row>
    <row r="44" spans="1:7" x14ac:dyDescent="0.25">
      <c r="A44" s="36"/>
      <c r="B44" s="672" t="s">
        <v>58</v>
      </c>
      <c r="C44" s="672">
        <v>400</v>
      </c>
      <c r="D44" s="672">
        <v>1500</v>
      </c>
      <c r="E44" s="672" t="s">
        <v>8</v>
      </c>
      <c r="F44" s="672">
        <v>1500</v>
      </c>
      <c r="G44" s="672" t="s">
        <v>59</v>
      </c>
    </row>
    <row r="45" spans="1:7" x14ac:dyDescent="0.25">
      <c r="A45" s="36"/>
      <c r="B45" s="672" t="s">
        <v>60</v>
      </c>
      <c r="C45" s="672">
        <v>2200</v>
      </c>
      <c r="D45" s="672">
        <v>6820</v>
      </c>
      <c r="E45" s="672" t="s">
        <v>8</v>
      </c>
      <c r="F45" s="672">
        <v>4000</v>
      </c>
      <c r="G45" s="672" t="s">
        <v>54</v>
      </c>
    </row>
    <row r="46" spans="1:7" x14ac:dyDescent="0.25">
      <c r="A46" s="36"/>
      <c r="B46" s="674" t="s">
        <v>61</v>
      </c>
      <c r="C46" s="674">
        <v>1100</v>
      </c>
      <c r="D46" s="674">
        <v>2200</v>
      </c>
      <c r="E46" s="674" t="s">
        <v>8</v>
      </c>
      <c r="F46" s="674">
        <v>2000</v>
      </c>
      <c r="G46" s="674" t="s">
        <v>17</v>
      </c>
    </row>
    <row r="47" spans="1:7" x14ac:dyDescent="0.25">
      <c r="A47" s="36"/>
      <c r="B47" s="672" t="s">
        <v>62</v>
      </c>
      <c r="C47" s="672">
        <v>6500</v>
      </c>
      <c r="D47" s="672">
        <v>52200</v>
      </c>
      <c r="E47" s="672" t="s">
        <v>8</v>
      </c>
      <c r="F47" s="672" t="s">
        <v>8</v>
      </c>
      <c r="G47" s="672"/>
    </row>
    <row r="48" spans="1:7" x14ac:dyDescent="0.25">
      <c r="A48" s="36"/>
      <c r="B48" s="674" t="s">
        <v>63</v>
      </c>
      <c r="C48" s="674">
        <v>5500</v>
      </c>
      <c r="D48" s="674">
        <v>5500</v>
      </c>
      <c r="E48" s="674" t="s">
        <v>8</v>
      </c>
      <c r="F48" s="674" t="s">
        <v>8</v>
      </c>
      <c r="G48" s="674" t="s">
        <v>11</v>
      </c>
    </row>
    <row r="49" spans="1:7" x14ac:dyDescent="0.25">
      <c r="A49" s="36"/>
      <c r="B49" s="672" t="s">
        <v>64</v>
      </c>
      <c r="C49" s="672">
        <v>5800</v>
      </c>
      <c r="D49" s="672">
        <v>26000</v>
      </c>
      <c r="E49" s="672" t="s">
        <v>8</v>
      </c>
      <c r="F49" s="672" t="s">
        <v>8</v>
      </c>
      <c r="G49" s="672"/>
    </row>
    <row r="50" spans="1:7" x14ac:dyDescent="0.25">
      <c r="A50" s="36"/>
      <c r="B50" s="674" t="s">
        <v>65</v>
      </c>
      <c r="C50" s="674">
        <v>3000</v>
      </c>
      <c r="D50" s="674">
        <v>0</v>
      </c>
      <c r="E50" s="674" t="s">
        <v>8</v>
      </c>
      <c r="F50" s="674">
        <v>10000</v>
      </c>
      <c r="G50" s="674" t="s">
        <v>17</v>
      </c>
    </row>
    <row r="51" spans="1:7" x14ac:dyDescent="0.25">
      <c r="A51" s="36"/>
      <c r="B51" s="672" t="s">
        <v>66</v>
      </c>
      <c r="C51" s="672">
        <v>6200</v>
      </c>
      <c r="D51" s="672">
        <v>20340</v>
      </c>
      <c r="E51" s="672" t="s">
        <v>8</v>
      </c>
      <c r="F51" s="672">
        <v>6000</v>
      </c>
      <c r="G51" s="672" t="s">
        <v>17</v>
      </c>
    </row>
    <row r="52" spans="1:7" x14ac:dyDescent="0.25">
      <c r="A52" s="36"/>
      <c r="B52" s="672" t="s">
        <v>67</v>
      </c>
      <c r="C52" s="672">
        <v>1800</v>
      </c>
      <c r="D52" s="672">
        <v>9000</v>
      </c>
      <c r="E52" s="672" t="s">
        <v>8</v>
      </c>
      <c r="F52" s="672" t="s">
        <v>8</v>
      </c>
      <c r="G52" s="672"/>
    </row>
    <row r="53" spans="1:7" x14ac:dyDescent="0.25">
      <c r="A53" s="36"/>
      <c r="B53" s="672" t="s">
        <v>68</v>
      </c>
      <c r="C53" s="672">
        <v>5000</v>
      </c>
      <c r="D53" s="672">
        <v>52975</v>
      </c>
      <c r="E53" s="672" t="s">
        <v>8</v>
      </c>
      <c r="F53" s="672" t="s">
        <v>8</v>
      </c>
      <c r="G53" s="672"/>
    </row>
    <row r="54" spans="1:7" x14ac:dyDescent="0.25">
      <c r="A54" s="36"/>
      <c r="B54" s="672" t="s">
        <v>69</v>
      </c>
      <c r="C54" s="672">
        <v>1300</v>
      </c>
      <c r="D54" s="672">
        <v>10200</v>
      </c>
      <c r="E54" s="672" t="s">
        <v>8</v>
      </c>
      <c r="F54" s="672" t="s">
        <v>8</v>
      </c>
      <c r="G54" s="672"/>
    </row>
    <row r="55" spans="1:7" x14ac:dyDescent="0.25">
      <c r="A55" s="36"/>
      <c r="B55" s="672" t="s">
        <v>70</v>
      </c>
      <c r="C55" s="754">
        <v>70</v>
      </c>
      <c r="D55" s="754">
        <v>340</v>
      </c>
      <c r="E55" s="754" t="s">
        <v>8</v>
      </c>
      <c r="F55" s="754" t="s">
        <v>8</v>
      </c>
      <c r="G55" s="754"/>
    </row>
    <row r="56" spans="1:7" x14ac:dyDescent="0.25">
      <c r="A56" s="36"/>
      <c r="B56" s="672" t="s">
        <v>71</v>
      </c>
      <c r="C56" s="753"/>
      <c r="D56" s="753"/>
      <c r="E56" s="753"/>
      <c r="F56" s="753"/>
      <c r="G56" s="753"/>
    </row>
    <row r="57" spans="1:7" x14ac:dyDescent="0.25">
      <c r="A57" s="36"/>
      <c r="B57" s="672" t="s">
        <v>72</v>
      </c>
      <c r="C57" s="672">
        <v>100</v>
      </c>
      <c r="D57" s="672">
        <v>100</v>
      </c>
      <c r="E57" s="672" t="s">
        <v>8</v>
      </c>
      <c r="F57" s="672" t="s">
        <v>8</v>
      </c>
      <c r="G57" s="672" t="s">
        <v>73</v>
      </c>
    </row>
    <row r="58" spans="1:7" x14ac:dyDescent="0.25">
      <c r="A58" s="36"/>
    </row>
    <row r="59" spans="1:7" x14ac:dyDescent="0.25">
      <c r="A59" s="36"/>
    </row>
    <row r="60" spans="1:7" x14ac:dyDescent="0.25">
      <c r="A60" s="36"/>
      <c r="B60" s="670" t="s">
        <v>74</v>
      </c>
    </row>
    <row r="61" spans="1:7" x14ac:dyDescent="0.25">
      <c r="A61" s="36"/>
    </row>
    <row r="62" spans="1:7" x14ac:dyDescent="0.25">
      <c r="A62" s="36"/>
    </row>
    <row r="63" spans="1:7" x14ac:dyDescent="0.25">
      <c r="A63" s="36"/>
    </row>
    <row r="64" spans="1:7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</sheetData>
  <autoFilter ref="A1"/>
  <mergeCells count="29">
    <mergeCell ref="E55:E56"/>
    <mergeCell ref="E42:E43"/>
    <mergeCell ref="G42:G43"/>
    <mergeCell ref="E23:E24"/>
    <mergeCell ref="F55:F56"/>
    <mergeCell ref="G27:G28"/>
    <mergeCell ref="G6:G7"/>
    <mergeCell ref="C55:C56"/>
    <mergeCell ref="E6:E7"/>
    <mergeCell ref="F23:F24"/>
    <mergeCell ref="G55:G56"/>
    <mergeCell ref="E27:E28"/>
    <mergeCell ref="F27:F28"/>
    <mergeCell ref="C23:C24"/>
    <mergeCell ref="C27:C28"/>
    <mergeCell ref="D55:D56"/>
    <mergeCell ref="D42:D43"/>
    <mergeCell ref="C19:C20"/>
    <mergeCell ref="D19:D20"/>
    <mergeCell ref="F19:F20"/>
    <mergeCell ref="D27:D28"/>
    <mergeCell ref="G23:G24"/>
    <mergeCell ref="C6:C7"/>
    <mergeCell ref="D6:D7"/>
    <mergeCell ref="F6:F7"/>
    <mergeCell ref="E19:E20"/>
    <mergeCell ref="F42:F43"/>
    <mergeCell ref="C42:C43"/>
    <mergeCell ref="D23:D24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A1:AC1047964"/>
  <sheetViews>
    <sheetView zoomScale="83" zoomScaleNormal="85" workbookViewId="0">
      <pane ySplit="2" topLeftCell="A65" activePane="bottomLeft" state="frozen"/>
      <selection pane="bottomLeft" activeCell="B37" sqref="B37"/>
    </sheetView>
  </sheetViews>
  <sheetFormatPr baseColWidth="10" defaultColWidth="11.42578125" defaultRowHeight="15" x14ac:dyDescent="0.25"/>
  <cols>
    <col min="1" max="1" width="15" customWidth="1"/>
    <col min="2" max="2" width="64.28515625" style="2" customWidth="1"/>
    <col min="3" max="3" width="16.7109375" hidden="1" customWidth="1"/>
    <col min="4" max="5" width="12.140625" hidden="1" customWidth="1"/>
    <col min="6" max="6" width="12.85546875" hidden="1" customWidth="1"/>
    <col min="7" max="7" width="11" hidden="1" customWidth="1"/>
    <col min="8" max="8" width="11.28515625" hidden="1" customWidth="1"/>
    <col min="9" max="9" width="13.42578125" hidden="1" customWidth="1"/>
    <col min="10" max="10" width="18.28515625" hidden="1" customWidth="1"/>
    <col min="11" max="11" width="10.42578125" customWidth="1"/>
    <col min="12" max="12" width="9.85546875" customWidth="1"/>
    <col min="13" max="13" width="16" customWidth="1"/>
    <col min="14" max="14" width="10.140625" customWidth="1"/>
    <col min="15" max="15" width="8.28515625" customWidth="1"/>
    <col min="16" max="16" width="9.42578125" style="729" customWidth="1"/>
    <col min="17" max="17" width="7.42578125" customWidth="1"/>
    <col min="18" max="20" width="12.5703125" customWidth="1"/>
    <col min="21" max="21" width="19.5703125" style="2" customWidth="1"/>
    <col min="22" max="22" width="14.7109375" customWidth="1"/>
    <col min="23" max="23" width="15.28515625" customWidth="1"/>
    <col min="24" max="24" width="15" customWidth="1"/>
    <col min="25" max="25" width="16.5703125" customWidth="1"/>
    <col min="26" max="26" width="22.140625" customWidth="1"/>
    <col min="27" max="27" width="14.85546875" customWidth="1"/>
    <col min="28" max="28" width="60.7109375" customWidth="1"/>
  </cols>
  <sheetData>
    <row r="1" spans="1:28" ht="15" customHeight="1" thickBot="1" x14ac:dyDescent="0.3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63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9" t="s">
        <v>90</v>
      </c>
      <c r="Q1" s="764" t="s">
        <v>91</v>
      </c>
      <c r="R1" s="759" t="s">
        <v>92</v>
      </c>
      <c r="S1" s="759" t="s">
        <v>1937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74"/>
      <c r="C2" s="776"/>
      <c r="D2" s="778"/>
      <c r="E2" s="753"/>
      <c r="F2" s="753"/>
      <c r="G2" s="753"/>
      <c r="H2" s="753"/>
      <c r="I2" s="765"/>
      <c r="J2" s="765"/>
      <c r="K2" s="758"/>
      <c r="L2" s="767"/>
      <c r="M2" s="753"/>
      <c r="N2" s="753"/>
      <c r="O2" s="753"/>
      <c r="P2" s="770"/>
      <c r="Q2" s="765"/>
      <c r="R2" s="753"/>
      <c r="S2" s="753"/>
      <c r="T2" s="753"/>
      <c r="U2" s="70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642" customFormat="1" ht="15" customHeight="1" x14ac:dyDescent="0.25">
      <c r="B3" s="654" t="s">
        <v>104</v>
      </c>
      <c r="P3" s="710"/>
      <c r="U3" s="654"/>
      <c r="W3" s="327">
        <f t="shared" ref="W3" si="0">U3+V3</f>
        <v>0</v>
      </c>
      <c r="Z3" s="331">
        <f t="shared" ref="Z3" si="1">R3*X3</f>
        <v>0</v>
      </c>
      <c r="AA3" s="374">
        <f t="shared" ref="AA3" si="2">W3*Y3</f>
        <v>0</v>
      </c>
    </row>
    <row r="4" spans="1:28" s="640" customFormat="1" ht="52.5" customHeight="1" x14ac:dyDescent="0.25">
      <c r="A4" s="54" t="s">
        <v>105</v>
      </c>
      <c r="B4" s="54" t="s">
        <v>106</v>
      </c>
      <c r="C4" s="247"/>
      <c r="D4" s="55">
        <v>60</v>
      </c>
      <c r="E4" s="55">
        <v>120</v>
      </c>
      <c r="F4" s="247">
        <v>240</v>
      </c>
      <c r="G4" s="247"/>
      <c r="H4" s="247">
        <v>360</v>
      </c>
      <c r="I4" s="247"/>
      <c r="J4" s="247"/>
      <c r="K4" s="96">
        <v>787999</v>
      </c>
      <c r="L4" s="166"/>
      <c r="M4" s="96" t="s">
        <v>1945</v>
      </c>
      <c r="N4" s="63"/>
      <c r="O4" s="96">
        <v>1</v>
      </c>
      <c r="P4" s="711"/>
      <c r="Q4" s="19"/>
      <c r="R4" s="19">
        <v>1500</v>
      </c>
      <c r="S4" s="31"/>
      <c r="T4" s="12"/>
      <c r="U4" s="76"/>
      <c r="V4" s="31"/>
      <c r="W4" s="676">
        <f t="shared" ref="W4:W11" si="3">U4+V4</f>
        <v>0</v>
      </c>
      <c r="X4" s="299">
        <v>58</v>
      </c>
      <c r="Y4" s="8">
        <v>75</v>
      </c>
      <c r="Z4" s="8">
        <f t="shared" ref="Z4:Z11" si="4">R4*X4</f>
        <v>87000</v>
      </c>
      <c r="AA4" s="599">
        <f>W4*Y4</f>
        <v>0</v>
      </c>
      <c r="AB4" s="31"/>
    </row>
    <row r="5" spans="1:28" s="640" customFormat="1" ht="94.5" customHeight="1" x14ac:dyDescent="0.25">
      <c r="A5" s="54" t="s">
        <v>107</v>
      </c>
      <c r="B5" s="577" t="s">
        <v>108</v>
      </c>
      <c r="C5" s="306"/>
      <c r="D5" s="243">
        <v>40</v>
      </c>
      <c r="E5" s="243">
        <v>60</v>
      </c>
      <c r="F5" s="306">
        <v>0</v>
      </c>
      <c r="G5" s="306"/>
      <c r="H5" s="306">
        <v>250</v>
      </c>
      <c r="I5" s="306"/>
      <c r="J5" s="306"/>
      <c r="K5" s="96">
        <v>787999</v>
      </c>
      <c r="L5" s="166"/>
      <c r="M5" s="96" t="s">
        <v>1945</v>
      </c>
      <c r="N5" s="63"/>
      <c r="O5" s="96">
        <v>2</v>
      </c>
      <c r="P5" s="711"/>
      <c r="Q5" s="1"/>
      <c r="R5" s="1">
        <v>420</v>
      </c>
      <c r="S5" s="36"/>
      <c r="T5" s="12"/>
      <c r="U5" s="77"/>
      <c r="V5" s="36"/>
      <c r="W5" s="676">
        <f t="shared" si="3"/>
        <v>0</v>
      </c>
      <c r="X5" s="301">
        <v>1558</v>
      </c>
      <c r="Y5" s="8">
        <v>2990</v>
      </c>
      <c r="Z5" s="8">
        <f t="shared" si="4"/>
        <v>654360</v>
      </c>
      <c r="AA5" s="599">
        <f t="shared" ref="AA5:AA11" si="5">W5*Y5</f>
        <v>0</v>
      </c>
      <c r="AB5" s="31"/>
    </row>
    <row r="6" spans="1:28" s="640" customFormat="1" ht="20.25" customHeight="1" x14ac:dyDescent="0.25">
      <c r="A6" s="692" t="s">
        <v>109</v>
      </c>
      <c r="B6" s="498" t="s">
        <v>110</v>
      </c>
      <c r="C6" s="243"/>
      <c r="D6" s="243">
        <v>4000</v>
      </c>
      <c r="E6" s="243">
        <v>4000</v>
      </c>
      <c r="F6" s="306">
        <v>0</v>
      </c>
      <c r="G6" s="306"/>
      <c r="H6" s="306">
        <v>24000</v>
      </c>
      <c r="I6" s="306"/>
      <c r="J6" s="306"/>
      <c r="K6" s="60">
        <v>787999</v>
      </c>
      <c r="L6" s="306"/>
      <c r="M6" s="306" t="s">
        <v>285</v>
      </c>
      <c r="N6" s="63"/>
      <c r="O6" s="96">
        <v>3</v>
      </c>
      <c r="P6" s="711"/>
      <c r="Q6" s="1"/>
      <c r="R6" s="1">
        <v>28000</v>
      </c>
      <c r="S6" s="36"/>
      <c r="T6" s="12"/>
      <c r="U6" s="77"/>
      <c r="V6" s="36"/>
      <c r="W6" s="676">
        <f t="shared" si="3"/>
        <v>0</v>
      </c>
      <c r="X6" s="301">
        <v>130.5</v>
      </c>
      <c r="Y6" s="8">
        <v>332.6</v>
      </c>
      <c r="Z6" s="8">
        <f t="shared" si="4"/>
        <v>3654000</v>
      </c>
      <c r="AA6" s="599">
        <f t="shared" si="5"/>
        <v>0</v>
      </c>
      <c r="AB6" s="31"/>
    </row>
    <row r="7" spans="1:28" s="288" customFormat="1" ht="39.4" customHeight="1" x14ac:dyDescent="0.25">
      <c r="A7" s="12" t="s">
        <v>111</v>
      </c>
      <c r="B7" s="12" t="s">
        <v>112</v>
      </c>
      <c r="C7" s="19"/>
      <c r="D7" s="18">
        <v>10</v>
      </c>
      <c r="E7" s="18">
        <v>8</v>
      </c>
      <c r="F7" s="19">
        <v>10</v>
      </c>
      <c r="G7" s="19"/>
      <c r="H7" s="19">
        <v>60</v>
      </c>
      <c r="I7" s="19"/>
      <c r="J7" s="19"/>
      <c r="K7" s="96">
        <v>787999</v>
      </c>
      <c r="L7" s="18"/>
      <c r="M7" s="29" t="s">
        <v>1945</v>
      </c>
      <c r="N7" s="6"/>
      <c r="O7" s="29">
        <v>4</v>
      </c>
      <c r="P7" s="711"/>
      <c r="Q7" s="6"/>
      <c r="R7" s="18">
        <v>60</v>
      </c>
      <c r="S7" s="18"/>
      <c r="T7" s="12"/>
      <c r="U7" s="6"/>
      <c r="V7" s="18"/>
      <c r="W7" s="676">
        <f t="shared" si="3"/>
        <v>0</v>
      </c>
      <c r="X7" s="298">
        <v>4300</v>
      </c>
      <c r="Y7" s="8">
        <v>5990</v>
      </c>
      <c r="Z7" s="8">
        <f t="shared" si="4"/>
        <v>258000</v>
      </c>
      <c r="AA7" s="190">
        <f t="shared" si="5"/>
        <v>0</v>
      </c>
      <c r="AB7" s="1"/>
    </row>
    <row r="8" spans="1:28" s="90" customFormat="1" ht="52.5" customHeight="1" x14ac:dyDescent="0.25">
      <c r="A8" s="20" t="s">
        <v>113</v>
      </c>
      <c r="B8" s="221" t="s">
        <v>114</v>
      </c>
      <c r="C8" s="643"/>
      <c r="D8" s="643"/>
      <c r="E8" s="313">
        <v>116</v>
      </c>
      <c r="F8" s="313">
        <v>120</v>
      </c>
      <c r="G8" s="304">
        <v>120</v>
      </c>
      <c r="H8" s="313">
        <v>1392</v>
      </c>
      <c r="I8" s="643"/>
      <c r="J8" s="643"/>
      <c r="K8" s="96">
        <v>787999</v>
      </c>
      <c r="L8" s="66"/>
      <c r="M8" s="19" t="s">
        <v>1786</v>
      </c>
      <c r="N8" s="19"/>
      <c r="O8" s="19">
        <v>5</v>
      </c>
      <c r="P8" s="712"/>
      <c r="Q8" s="14"/>
      <c r="R8" s="20">
        <v>300</v>
      </c>
      <c r="S8" s="644"/>
      <c r="T8" s="313"/>
      <c r="U8" s="730"/>
      <c r="V8" s="644"/>
      <c r="W8" s="258">
        <f>U8+V8</f>
        <v>0</v>
      </c>
      <c r="X8" s="645">
        <v>13264</v>
      </c>
      <c r="Y8" s="645">
        <v>17219.7</v>
      </c>
      <c r="Z8" s="646">
        <f t="shared" ref="Z8" si="6">R8*X8</f>
        <v>3979200</v>
      </c>
      <c r="AA8" s="646">
        <f>W8*Y8</f>
        <v>0</v>
      </c>
      <c r="AB8" s="644"/>
    </row>
    <row r="9" spans="1:28" s="90" customFormat="1" x14ac:dyDescent="0.25">
      <c r="A9" s="18" t="s">
        <v>109</v>
      </c>
      <c r="B9" s="12" t="s">
        <v>115</v>
      </c>
      <c r="C9" s="282"/>
      <c r="D9" s="282"/>
      <c r="E9" s="19"/>
      <c r="F9" s="19"/>
      <c r="G9" s="54"/>
      <c r="H9" s="19"/>
      <c r="I9" s="282"/>
      <c r="J9" s="282"/>
      <c r="K9" s="96">
        <v>787999</v>
      </c>
      <c r="L9" s="66"/>
      <c r="M9" s="19" t="s">
        <v>593</v>
      </c>
      <c r="N9" s="19"/>
      <c r="O9" s="19">
        <v>6</v>
      </c>
      <c r="P9" s="712"/>
      <c r="Q9" s="23"/>
      <c r="R9" s="18">
        <v>18000</v>
      </c>
      <c r="S9" s="31"/>
      <c r="T9" s="19"/>
      <c r="U9" s="76"/>
      <c r="V9" s="31"/>
      <c r="W9" s="66">
        <f t="shared" ref="W9:W10" si="7">U9+V9</f>
        <v>0</v>
      </c>
      <c r="X9" s="283">
        <v>174.9</v>
      </c>
      <c r="Y9" s="283">
        <v>254.82</v>
      </c>
      <c r="Z9" s="122"/>
      <c r="AA9" s="646">
        <f t="shared" ref="AA9:AA10" si="8">W9*Y9</f>
        <v>0</v>
      </c>
      <c r="AB9" s="644"/>
    </row>
    <row r="10" spans="1:28" s="90" customFormat="1" x14ac:dyDescent="0.25">
      <c r="A10" s="55" t="s">
        <v>116</v>
      </c>
      <c r="B10" s="92" t="s">
        <v>1943</v>
      </c>
      <c r="C10" s="694"/>
      <c r="D10" s="694"/>
      <c r="E10" s="247"/>
      <c r="F10" s="247"/>
      <c r="G10" s="92"/>
      <c r="H10" s="247"/>
      <c r="I10" s="694"/>
      <c r="J10" s="694"/>
      <c r="K10" s="60">
        <v>787999</v>
      </c>
      <c r="L10" s="55"/>
      <c r="M10" s="247" t="s">
        <v>285</v>
      </c>
      <c r="N10" s="19"/>
      <c r="O10" s="19">
        <v>7</v>
      </c>
      <c r="P10" s="712"/>
      <c r="Q10" s="23"/>
      <c r="R10" s="18">
        <v>24000</v>
      </c>
      <c r="S10" s="31"/>
      <c r="T10" s="19"/>
      <c r="U10" s="76"/>
      <c r="V10" s="31"/>
      <c r="W10" s="66">
        <f t="shared" si="7"/>
        <v>0</v>
      </c>
      <c r="X10" s="283">
        <v>103</v>
      </c>
      <c r="Y10" s="283">
        <v>151.63999999999999</v>
      </c>
      <c r="Z10" s="122"/>
      <c r="AA10" s="646">
        <f t="shared" si="8"/>
        <v>0</v>
      </c>
      <c r="AB10" s="644"/>
    </row>
    <row r="11" spans="1:28" s="642" customFormat="1" ht="15" customHeight="1" x14ac:dyDescent="0.25">
      <c r="B11" s="654" t="s">
        <v>117</v>
      </c>
      <c r="P11" s="710"/>
      <c r="U11" s="654"/>
      <c r="W11" s="377">
        <f t="shared" si="3"/>
        <v>0</v>
      </c>
      <c r="Z11" s="379">
        <f t="shared" si="4"/>
        <v>0</v>
      </c>
      <c r="AA11" s="374">
        <f t="shared" si="5"/>
        <v>0</v>
      </c>
    </row>
    <row r="12" spans="1:28" s="73" customFormat="1" ht="26.65" customHeight="1" x14ac:dyDescent="0.25">
      <c r="A12" s="12" t="s">
        <v>118</v>
      </c>
      <c r="B12" s="12" t="s">
        <v>119</v>
      </c>
      <c r="C12" s="647"/>
      <c r="D12" s="229"/>
      <c r="E12" s="229"/>
      <c r="F12" s="369">
        <v>150</v>
      </c>
      <c r="G12" s="648"/>
      <c r="H12" s="650"/>
      <c r="I12" s="649"/>
      <c r="J12" s="649"/>
      <c r="K12" s="121">
        <v>788001</v>
      </c>
      <c r="L12" s="649"/>
      <c r="M12" s="121" t="s">
        <v>1955</v>
      </c>
      <c r="N12" s="121" t="s">
        <v>1956</v>
      </c>
      <c r="O12" s="121">
        <v>1</v>
      </c>
      <c r="P12" s="709"/>
      <c r="Q12" s="110"/>
      <c r="R12" s="184">
        <v>200</v>
      </c>
      <c r="S12" s="184"/>
      <c r="T12" s="651"/>
      <c r="U12" s="184"/>
      <c r="V12" s="229"/>
      <c r="W12" s="66">
        <f>U12+V12</f>
        <v>0</v>
      </c>
      <c r="X12" s="67">
        <v>1899</v>
      </c>
      <c r="Y12" s="67">
        <v>1200</v>
      </c>
      <c r="Z12" s="122">
        <f>R12*X12</f>
        <v>379800</v>
      </c>
      <c r="AA12" s="122">
        <f>W12*Y12</f>
        <v>0</v>
      </c>
      <c r="AB12" s="229"/>
    </row>
    <row r="13" spans="1:28" s="636" customFormat="1" x14ac:dyDescent="0.25">
      <c r="A13" s="66" t="s">
        <v>120</v>
      </c>
      <c r="B13" s="66" t="s">
        <v>121</v>
      </c>
      <c r="C13" s="66">
        <v>50</v>
      </c>
      <c r="D13" s="66">
        <v>55</v>
      </c>
      <c r="E13" s="66">
        <v>50</v>
      </c>
      <c r="F13" s="66">
        <v>50</v>
      </c>
      <c r="G13" s="171">
        <v>325</v>
      </c>
      <c r="H13" s="319">
        <v>400</v>
      </c>
      <c r="I13" s="66">
        <v>70</v>
      </c>
      <c r="J13" s="66" t="s">
        <v>122</v>
      </c>
      <c r="K13" s="121">
        <v>788001</v>
      </c>
      <c r="L13" s="66"/>
      <c r="M13" s="121" t="s">
        <v>1955</v>
      </c>
      <c r="N13" s="121" t="s">
        <v>1956</v>
      </c>
      <c r="O13" s="66">
        <v>2</v>
      </c>
      <c r="P13" s="713"/>
      <c r="Q13" s="66"/>
      <c r="R13" s="186">
        <v>200</v>
      </c>
      <c r="S13" s="52"/>
      <c r="T13" s="52"/>
      <c r="U13" s="275"/>
      <c r="V13" s="18"/>
      <c r="W13" s="66">
        <f>U13+V13</f>
        <v>0</v>
      </c>
      <c r="X13" s="67">
        <v>3479</v>
      </c>
      <c r="Y13" s="67">
        <v>2960</v>
      </c>
      <c r="Z13" s="8">
        <f t="shared" ref="Z13:Z14" si="9">R13*X13</f>
        <v>695800</v>
      </c>
      <c r="AA13" s="122">
        <f t="shared" ref="AA13:AA14" si="10">W13*Y13</f>
        <v>0</v>
      </c>
      <c r="AB13" s="69"/>
    </row>
    <row r="14" spans="1:28" s="116" customFormat="1" x14ac:dyDescent="0.25">
      <c r="A14" s="68" t="s">
        <v>123</v>
      </c>
      <c r="B14" s="68" t="s">
        <v>124</v>
      </c>
      <c r="C14" s="54">
        <v>33</v>
      </c>
      <c r="D14" s="54">
        <v>60</v>
      </c>
      <c r="E14" s="54">
        <v>100</v>
      </c>
      <c r="F14" s="54">
        <v>200</v>
      </c>
      <c r="G14" s="171">
        <v>0</v>
      </c>
      <c r="H14" s="68">
        <v>1200</v>
      </c>
      <c r="I14" s="66">
        <v>0</v>
      </c>
      <c r="J14" s="129" t="s">
        <v>122</v>
      </c>
      <c r="K14" s="121">
        <v>788001</v>
      </c>
      <c r="L14" s="66"/>
      <c r="M14" s="66" t="s">
        <v>1955</v>
      </c>
      <c r="N14" s="121" t="s">
        <v>1956</v>
      </c>
      <c r="O14" s="66">
        <v>3</v>
      </c>
      <c r="P14" s="714"/>
      <c r="Q14" s="18"/>
      <c r="R14" s="19">
        <v>1200</v>
      </c>
      <c r="S14" s="18"/>
      <c r="T14" s="18"/>
      <c r="U14" s="275"/>
      <c r="V14" s="18"/>
      <c r="W14" s="66">
        <f>U14+V14</f>
        <v>0</v>
      </c>
      <c r="X14" s="67">
        <v>555.99</v>
      </c>
      <c r="Y14" s="67">
        <v>1320</v>
      </c>
      <c r="Z14" s="8">
        <f t="shared" si="9"/>
        <v>667188</v>
      </c>
      <c r="AA14" s="122">
        <f t="shared" si="10"/>
        <v>0</v>
      </c>
      <c r="AB14" s="18"/>
    </row>
    <row r="15" spans="1:28" s="132" customFormat="1" x14ac:dyDescent="0.25">
      <c r="A15" s="55" t="s">
        <v>125</v>
      </c>
      <c r="B15" s="55" t="s">
        <v>126</v>
      </c>
      <c r="C15" s="55"/>
      <c r="D15" s="55"/>
      <c r="E15" s="55">
        <v>0</v>
      </c>
      <c r="F15" s="429">
        <v>0</v>
      </c>
      <c r="G15" s="92">
        <v>48</v>
      </c>
      <c r="H15" s="55">
        <v>0</v>
      </c>
      <c r="I15" s="429"/>
      <c r="J15" s="250" t="s">
        <v>122</v>
      </c>
      <c r="K15" s="245">
        <v>788001</v>
      </c>
      <c r="L15" s="293"/>
      <c r="M15" s="55" t="s">
        <v>285</v>
      </c>
      <c r="N15" s="121" t="s">
        <v>1956</v>
      </c>
      <c r="O15" s="66">
        <v>4</v>
      </c>
      <c r="P15" s="715"/>
      <c r="Q15" s="18"/>
      <c r="R15" s="66">
        <v>24</v>
      </c>
      <c r="S15" s="52"/>
      <c r="T15" s="63"/>
      <c r="U15" s="63"/>
      <c r="V15" s="63"/>
      <c r="W15" s="66">
        <f>U15+V15</f>
        <v>0</v>
      </c>
      <c r="X15" s="67">
        <v>165000</v>
      </c>
      <c r="Y15" s="67">
        <v>319444.44</v>
      </c>
      <c r="Z15" s="8">
        <f>R15*X15</f>
        <v>3960000</v>
      </c>
      <c r="AA15" s="122">
        <f>W15*Y15</f>
        <v>0</v>
      </c>
      <c r="AB15" s="22"/>
    </row>
    <row r="16" spans="1:28" s="73" customFormat="1" ht="26.25" customHeight="1" x14ac:dyDescent="0.25">
      <c r="A16" s="238" t="s">
        <v>127</v>
      </c>
      <c r="B16" s="238" t="s">
        <v>128</v>
      </c>
      <c r="C16" s="696"/>
      <c r="D16" s="697"/>
      <c r="E16" s="697"/>
      <c r="F16" s="698">
        <v>4000</v>
      </c>
      <c r="G16" s="699"/>
      <c r="H16" s="700"/>
      <c r="I16" s="701"/>
      <c r="J16" s="701"/>
      <c r="K16" s="695">
        <v>788001</v>
      </c>
      <c r="L16" s="701"/>
      <c r="M16" s="695" t="s">
        <v>129</v>
      </c>
      <c r="N16" s="121" t="s">
        <v>1956</v>
      </c>
      <c r="O16" s="121"/>
      <c r="P16" s="709"/>
      <c r="Q16" s="110"/>
      <c r="R16" s="110">
        <v>10000</v>
      </c>
      <c r="S16" s="184"/>
      <c r="T16" s="651"/>
      <c r="U16" s="184"/>
      <c r="V16" s="229"/>
      <c r="W16" s="229"/>
      <c r="X16" s="67">
        <v>800</v>
      </c>
      <c r="Y16" s="67"/>
      <c r="Z16" s="122">
        <f>R16*X16</f>
        <v>8000000</v>
      </c>
      <c r="AA16" s="122">
        <f>W16*Y16</f>
        <v>0</v>
      </c>
      <c r="AB16" s="229"/>
    </row>
    <row r="17" spans="1:28" s="73" customFormat="1" x14ac:dyDescent="0.25">
      <c r="A17" s="12" t="s">
        <v>130</v>
      </c>
      <c r="B17" s="12" t="s">
        <v>131</v>
      </c>
      <c r="C17" s="647"/>
      <c r="D17" s="229"/>
      <c r="E17" s="229"/>
      <c r="F17" s="369">
        <v>5000</v>
      </c>
      <c r="G17" s="648"/>
      <c r="H17" s="650"/>
      <c r="I17" s="649"/>
      <c r="J17" s="649"/>
      <c r="K17" s="121">
        <v>788001</v>
      </c>
      <c r="L17" s="649"/>
      <c r="M17" s="121" t="s">
        <v>1955</v>
      </c>
      <c r="N17" s="121" t="s">
        <v>1956</v>
      </c>
      <c r="O17" s="121">
        <v>6</v>
      </c>
      <c r="P17" s="709"/>
      <c r="Q17" s="110"/>
      <c r="R17" s="184">
        <v>30000</v>
      </c>
      <c r="S17" s="184"/>
      <c r="T17" s="651"/>
      <c r="U17" s="184"/>
      <c r="V17" s="229"/>
      <c r="W17" s="229"/>
      <c r="X17" s="67">
        <v>530</v>
      </c>
      <c r="Y17" s="67">
        <v>552</v>
      </c>
      <c r="Z17" s="122">
        <f t="shared" ref="Z17:Z31" si="11">R17*X17</f>
        <v>15900000</v>
      </c>
      <c r="AA17" s="122">
        <f t="shared" ref="AA17:AA31" si="12">W17*Y17</f>
        <v>0</v>
      </c>
      <c r="AB17" s="229"/>
    </row>
    <row r="18" spans="1:28" s="73" customFormat="1" ht="16.5" customHeight="1" x14ac:dyDescent="0.25">
      <c r="A18" s="12" t="s">
        <v>132</v>
      </c>
      <c r="B18" s="12" t="s">
        <v>133</v>
      </c>
      <c r="C18" s="647"/>
      <c r="D18" s="229"/>
      <c r="E18" s="229"/>
      <c r="F18" s="369">
        <v>350</v>
      </c>
      <c r="G18" s="648"/>
      <c r="H18" s="650"/>
      <c r="I18" s="649"/>
      <c r="J18" s="649"/>
      <c r="K18" s="121">
        <v>788001</v>
      </c>
      <c r="L18" s="649"/>
      <c r="M18" s="121" t="s">
        <v>1955</v>
      </c>
      <c r="N18" s="121" t="s">
        <v>1956</v>
      </c>
      <c r="O18" s="121">
        <v>7</v>
      </c>
      <c r="P18" s="709"/>
      <c r="Q18" s="110"/>
      <c r="R18" s="184">
        <v>600</v>
      </c>
      <c r="S18" s="184"/>
      <c r="T18" s="651"/>
      <c r="U18" s="184"/>
      <c r="V18" s="229"/>
      <c r="W18" s="66">
        <f t="shared" ref="W18:W25" si="13">U18+V18</f>
        <v>0</v>
      </c>
      <c r="X18" s="67">
        <v>10650</v>
      </c>
      <c r="Y18" s="67">
        <v>13162</v>
      </c>
      <c r="Z18" s="122">
        <f t="shared" ref="Z18:Z25" si="14">R18*X18</f>
        <v>6390000</v>
      </c>
      <c r="AA18" s="122">
        <f t="shared" ref="AA18:AA25" si="15">W18*Y18</f>
        <v>0</v>
      </c>
      <c r="AB18" s="229"/>
    </row>
    <row r="19" spans="1:28" s="73" customFormat="1" x14ac:dyDescent="0.25">
      <c r="A19" s="12" t="s">
        <v>134</v>
      </c>
      <c r="B19" s="12" t="s">
        <v>135</v>
      </c>
      <c r="C19" s="647"/>
      <c r="D19" s="229"/>
      <c r="E19" s="229"/>
      <c r="F19" s="369">
        <v>150</v>
      </c>
      <c r="G19" s="648"/>
      <c r="H19" s="650"/>
      <c r="I19" s="649"/>
      <c r="J19" s="649"/>
      <c r="K19" s="121">
        <v>788001</v>
      </c>
      <c r="L19" s="649"/>
      <c r="M19" s="121" t="s">
        <v>1955</v>
      </c>
      <c r="N19" s="121" t="s">
        <v>1956</v>
      </c>
      <c r="O19" s="121">
        <v>8</v>
      </c>
      <c r="P19" s="709"/>
      <c r="Q19" s="110"/>
      <c r="R19" s="184">
        <v>200</v>
      </c>
      <c r="S19" s="184"/>
      <c r="T19" s="651"/>
      <c r="U19" s="184"/>
      <c r="V19" s="229"/>
      <c r="W19" s="66">
        <f t="shared" si="13"/>
        <v>0</v>
      </c>
      <c r="X19" s="67">
        <v>25645</v>
      </c>
      <c r="Y19" s="67">
        <v>20400</v>
      </c>
      <c r="Z19" s="122">
        <f t="shared" si="14"/>
        <v>5129000</v>
      </c>
      <c r="AA19" s="122">
        <f t="shared" si="15"/>
        <v>0</v>
      </c>
      <c r="AB19" s="229"/>
    </row>
    <row r="20" spans="1:28" s="73" customFormat="1" x14ac:dyDescent="0.25">
      <c r="A20" s="12" t="s">
        <v>136</v>
      </c>
      <c r="B20" s="12" t="s">
        <v>137</v>
      </c>
      <c r="C20" s="647"/>
      <c r="D20" s="229"/>
      <c r="E20" s="229"/>
      <c r="F20" s="369">
        <v>250</v>
      </c>
      <c r="G20" s="648"/>
      <c r="H20" s="650"/>
      <c r="I20" s="649"/>
      <c r="J20" s="649"/>
      <c r="K20" s="121">
        <v>788001</v>
      </c>
      <c r="L20" s="649"/>
      <c r="M20" s="121" t="s">
        <v>272</v>
      </c>
      <c r="N20" s="121" t="s">
        <v>1956</v>
      </c>
      <c r="O20" s="121">
        <v>9</v>
      </c>
      <c r="P20" s="709"/>
      <c r="Q20" s="110"/>
      <c r="R20" s="184">
        <v>500</v>
      </c>
      <c r="S20" s="184"/>
      <c r="T20" s="651"/>
      <c r="U20" s="184"/>
      <c r="V20" s="229"/>
      <c r="W20" s="66">
        <f t="shared" si="13"/>
        <v>0</v>
      </c>
      <c r="X20" s="67">
        <v>660</v>
      </c>
      <c r="Y20" s="67">
        <v>640</v>
      </c>
      <c r="Z20" s="122">
        <f t="shared" si="14"/>
        <v>330000</v>
      </c>
      <c r="AA20" s="122">
        <f t="shared" si="15"/>
        <v>0</v>
      </c>
      <c r="AB20" s="229"/>
    </row>
    <row r="21" spans="1:28" s="73" customFormat="1" x14ac:dyDescent="0.25">
      <c r="A21" s="92" t="s">
        <v>138</v>
      </c>
      <c r="B21" s="92" t="s">
        <v>139</v>
      </c>
      <c r="C21" s="704"/>
      <c r="D21" s="585"/>
      <c r="E21" s="585"/>
      <c r="F21" s="705">
        <v>220</v>
      </c>
      <c r="G21" s="706"/>
      <c r="H21" s="707"/>
      <c r="I21" s="690"/>
      <c r="J21" s="690"/>
      <c r="K21" s="245">
        <v>788001</v>
      </c>
      <c r="L21" s="690"/>
      <c r="M21" s="245" t="s">
        <v>259</v>
      </c>
      <c r="N21" s="121" t="s">
        <v>1956</v>
      </c>
      <c r="O21" s="121">
        <v>10</v>
      </c>
      <c r="P21" s="709"/>
      <c r="Q21" s="110"/>
      <c r="R21" s="184">
        <v>150</v>
      </c>
      <c r="S21" s="184"/>
      <c r="T21" s="651"/>
      <c r="U21" s="184"/>
      <c r="V21" s="229"/>
      <c r="W21" s="66">
        <f t="shared" si="13"/>
        <v>0</v>
      </c>
      <c r="X21" s="67">
        <v>5000</v>
      </c>
      <c r="Y21" s="67">
        <v>5989.59</v>
      </c>
      <c r="Z21" s="122">
        <f t="shared" si="14"/>
        <v>750000</v>
      </c>
      <c r="AA21" s="122">
        <f t="shared" si="15"/>
        <v>0</v>
      </c>
      <c r="AB21" s="229"/>
    </row>
    <row r="22" spans="1:28" s="73" customFormat="1" ht="17.25" customHeight="1" x14ac:dyDescent="0.25">
      <c r="A22" s="12" t="s">
        <v>140</v>
      </c>
      <c r="B22" s="12" t="s">
        <v>141</v>
      </c>
      <c r="C22" s="647"/>
      <c r="D22" s="229"/>
      <c r="E22" s="229"/>
      <c r="F22" s="369">
        <v>1000</v>
      </c>
      <c r="G22" s="648"/>
      <c r="H22" s="650"/>
      <c r="I22" s="649"/>
      <c r="J22" s="649"/>
      <c r="K22" s="121">
        <v>788001</v>
      </c>
      <c r="L22" s="649"/>
      <c r="M22" s="121" t="s">
        <v>1955</v>
      </c>
      <c r="N22" s="121" t="s">
        <v>1956</v>
      </c>
      <c r="O22" s="121">
        <v>11</v>
      </c>
      <c r="P22" s="709"/>
      <c r="Q22" s="110"/>
      <c r="R22" s="184">
        <v>2500</v>
      </c>
      <c r="S22" s="184"/>
      <c r="T22" s="651"/>
      <c r="U22" s="184"/>
      <c r="V22" s="229"/>
      <c r="W22" s="66">
        <f t="shared" si="13"/>
        <v>0</v>
      </c>
      <c r="X22" s="67">
        <v>639.29</v>
      </c>
      <c r="Y22" s="67">
        <v>480</v>
      </c>
      <c r="Z22" s="122">
        <f t="shared" si="14"/>
        <v>1598225</v>
      </c>
      <c r="AA22" s="122">
        <f t="shared" si="15"/>
        <v>0</v>
      </c>
      <c r="AB22" s="229"/>
    </row>
    <row r="23" spans="1:28" s="73" customFormat="1" x14ac:dyDescent="0.25">
      <c r="A23" s="12" t="s">
        <v>142</v>
      </c>
      <c r="B23" s="12" t="s">
        <v>143</v>
      </c>
      <c r="C23" s="647"/>
      <c r="D23" s="229"/>
      <c r="E23" s="229"/>
      <c r="F23" s="369">
        <v>50</v>
      </c>
      <c r="G23" s="648"/>
      <c r="H23" s="650"/>
      <c r="I23" s="649"/>
      <c r="J23" s="649"/>
      <c r="K23" s="121">
        <v>788001</v>
      </c>
      <c r="L23" s="649"/>
      <c r="M23" s="121" t="s">
        <v>1955</v>
      </c>
      <c r="N23" s="121" t="s">
        <v>1956</v>
      </c>
      <c r="O23" s="121">
        <v>12</v>
      </c>
      <c r="P23" s="709"/>
      <c r="Q23" s="110"/>
      <c r="R23" s="184">
        <v>150</v>
      </c>
      <c r="S23" s="184"/>
      <c r="T23" s="651"/>
      <c r="U23" s="184"/>
      <c r="V23" s="229"/>
      <c r="W23" s="66">
        <f t="shared" si="13"/>
        <v>0</v>
      </c>
      <c r="X23" s="67">
        <v>13299</v>
      </c>
      <c r="Y23" s="67">
        <v>12000</v>
      </c>
      <c r="Z23" s="122">
        <f t="shared" si="14"/>
        <v>1994850</v>
      </c>
      <c r="AA23" s="122">
        <f t="shared" si="15"/>
        <v>0</v>
      </c>
      <c r="AB23" s="229"/>
    </row>
    <row r="24" spans="1:28" s="73" customFormat="1" x14ac:dyDescent="0.25">
      <c r="A24" s="12" t="s">
        <v>144</v>
      </c>
      <c r="B24" s="12" t="s">
        <v>145</v>
      </c>
      <c r="C24" s="647"/>
      <c r="D24" s="229"/>
      <c r="E24" s="229"/>
      <c r="F24" s="369">
        <v>450</v>
      </c>
      <c r="G24" s="648"/>
      <c r="H24" s="650"/>
      <c r="I24" s="649"/>
      <c r="J24" s="649"/>
      <c r="K24" s="121">
        <v>788001</v>
      </c>
      <c r="L24" s="649"/>
      <c r="M24" s="121" t="s">
        <v>1955</v>
      </c>
      <c r="N24" s="121" t="s">
        <v>1956</v>
      </c>
      <c r="O24" s="121">
        <v>13</v>
      </c>
      <c r="P24" s="709"/>
      <c r="Q24" s="110"/>
      <c r="R24" s="184">
        <v>300</v>
      </c>
      <c r="S24" s="184"/>
      <c r="T24" s="651"/>
      <c r="U24" s="184"/>
      <c r="V24" s="229"/>
      <c r="W24" s="66">
        <f t="shared" si="13"/>
        <v>0</v>
      </c>
      <c r="X24" s="67">
        <v>608</v>
      </c>
      <c r="Y24" s="67">
        <v>480</v>
      </c>
      <c r="Z24" s="122">
        <f t="shared" si="14"/>
        <v>182400</v>
      </c>
      <c r="AA24" s="122">
        <f t="shared" si="15"/>
        <v>0</v>
      </c>
      <c r="AB24" s="229"/>
    </row>
    <row r="25" spans="1:28" s="73" customFormat="1" x14ac:dyDescent="0.25">
      <c r="A25" s="12" t="s">
        <v>146</v>
      </c>
      <c r="B25" s="12" t="s">
        <v>147</v>
      </c>
      <c r="C25" s="647"/>
      <c r="D25" s="229"/>
      <c r="E25" s="229"/>
      <c r="F25" s="369">
        <v>50</v>
      </c>
      <c r="G25" s="648"/>
      <c r="H25" s="650"/>
      <c r="I25" s="649"/>
      <c r="J25" s="649"/>
      <c r="K25" s="121">
        <v>788001</v>
      </c>
      <c r="L25" s="649"/>
      <c r="M25" s="121" t="s">
        <v>263</v>
      </c>
      <c r="N25" s="121" t="s">
        <v>1956</v>
      </c>
      <c r="O25" s="121">
        <v>14</v>
      </c>
      <c r="P25" s="709"/>
      <c r="Q25" s="110"/>
      <c r="R25" s="184">
        <v>50</v>
      </c>
      <c r="S25" s="184"/>
      <c r="T25" s="651"/>
      <c r="U25" s="184"/>
      <c r="V25" s="229"/>
      <c r="W25" s="66">
        <f t="shared" si="13"/>
        <v>0</v>
      </c>
      <c r="X25" s="67">
        <v>6985</v>
      </c>
      <c r="Y25" s="67">
        <v>5090.91</v>
      </c>
      <c r="Z25" s="122">
        <f t="shared" si="14"/>
        <v>349250</v>
      </c>
      <c r="AA25" s="122">
        <f t="shared" si="15"/>
        <v>0</v>
      </c>
      <c r="AB25" s="229"/>
    </row>
    <row r="26" spans="1:28" s="73" customFormat="1" x14ac:dyDescent="0.25">
      <c r="A26" s="12" t="s">
        <v>148</v>
      </c>
      <c r="B26" s="12" t="s">
        <v>149</v>
      </c>
      <c r="C26" s="647"/>
      <c r="D26" s="229"/>
      <c r="E26" s="229"/>
      <c r="F26" s="369">
        <v>5500</v>
      </c>
      <c r="G26" s="648"/>
      <c r="H26" s="650"/>
      <c r="I26" s="649"/>
      <c r="J26" s="649"/>
      <c r="K26" s="121">
        <v>788001</v>
      </c>
      <c r="L26" s="649"/>
      <c r="M26" s="121" t="s">
        <v>1955</v>
      </c>
      <c r="N26" s="121" t="s">
        <v>1956</v>
      </c>
      <c r="O26" s="121">
        <v>15</v>
      </c>
      <c r="P26" s="709"/>
      <c r="Q26" s="110"/>
      <c r="R26" s="184">
        <v>40000</v>
      </c>
      <c r="S26" s="184"/>
      <c r="T26" s="651"/>
      <c r="U26" s="184"/>
      <c r="V26" s="229"/>
      <c r="W26" s="229"/>
      <c r="X26" s="67">
        <v>454</v>
      </c>
      <c r="Y26" s="67">
        <v>480</v>
      </c>
      <c r="Z26" s="122">
        <f t="shared" si="11"/>
        <v>18160000</v>
      </c>
      <c r="AA26" s="122">
        <f t="shared" si="12"/>
        <v>0</v>
      </c>
      <c r="AB26" s="229"/>
    </row>
    <row r="27" spans="1:28" s="73" customFormat="1" x14ac:dyDescent="0.25">
      <c r="A27" s="12" t="s">
        <v>150</v>
      </c>
      <c r="B27" s="12" t="s">
        <v>151</v>
      </c>
      <c r="C27" s="647"/>
      <c r="D27" s="229"/>
      <c r="E27" s="229"/>
      <c r="F27" s="369">
        <v>1500</v>
      </c>
      <c r="G27" s="648"/>
      <c r="H27" s="650"/>
      <c r="I27" s="649"/>
      <c r="J27" s="649"/>
      <c r="K27" s="121">
        <v>788001</v>
      </c>
      <c r="L27" s="649"/>
      <c r="M27" s="121" t="s">
        <v>1955</v>
      </c>
      <c r="N27" s="121" t="s">
        <v>1956</v>
      </c>
      <c r="O27" s="121">
        <v>16</v>
      </c>
      <c r="P27" s="709"/>
      <c r="Q27" s="110"/>
      <c r="R27" s="184">
        <v>4000</v>
      </c>
      <c r="S27" s="184"/>
      <c r="T27" s="651"/>
      <c r="U27" s="184"/>
      <c r="V27" s="229"/>
      <c r="W27" s="66">
        <f>U27+V27</f>
        <v>0</v>
      </c>
      <c r="X27" s="67">
        <v>1365</v>
      </c>
      <c r="Y27" s="67">
        <v>866</v>
      </c>
      <c r="Z27" s="122">
        <f>R27*X27</f>
        <v>5460000</v>
      </c>
      <c r="AA27" s="122">
        <f>W27*Y27</f>
        <v>0</v>
      </c>
      <c r="AB27" s="229"/>
    </row>
    <row r="28" spans="1:28" s="73" customFormat="1" x14ac:dyDescent="0.25">
      <c r="A28" s="12" t="s">
        <v>152</v>
      </c>
      <c r="B28" s="12" t="s">
        <v>153</v>
      </c>
      <c r="C28" s="647"/>
      <c r="D28" s="229"/>
      <c r="E28" s="229"/>
      <c r="F28" s="369">
        <v>150</v>
      </c>
      <c r="G28" s="648"/>
      <c r="H28" s="650"/>
      <c r="I28" s="649"/>
      <c r="J28" s="649"/>
      <c r="K28" s="121">
        <v>788001</v>
      </c>
      <c r="L28" s="649"/>
      <c r="M28" s="121" t="s">
        <v>1955</v>
      </c>
      <c r="N28" s="121" t="s">
        <v>1956</v>
      </c>
      <c r="O28" s="121">
        <v>17</v>
      </c>
      <c r="P28" s="709"/>
      <c r="Q28" s="110"/>
      <c r="R28" s="184">
        <v>300</v>
      </c>
      <c r="S28" s="184"/>
      <c r="T28" s="651"/>
      <c r="U28" s="184"/>
      <c r="V28" s="229"/>
      <c r="W28" s="66">
        <f>U28+V28</f>
        <v>0</v>
      </c>
      <c r="X28" s="67">
        <v>774</v>
      </c>
      <c r="Y28" s="67">
        <v>756</v>
      </c>
      <c r="Z28" s="122">
        <f>R28*X28</f>
        <v>232200</v>
      </c>
      <c r="AA28" s="122">
        <f>W28*Y28</f>
        <v>0</v>
      </c>
      <c r="AB28" s="229"/>
    </row>
    <row r="29" spans="1:28" s="73" customFormat="1" x14ac:dyDescent="0.25">
      <c r="A29" s="12" t="s">
        <v>154</v>
      </c>
      <c r="B29" s="12" t="s">
        <v>155</v>
      </c>
      <c r="C29" s="647"/>
      <c r="D29" s="229"/>
      <c r="E29" s="229"/>
      <c r="F29" s="369">
        <v>2000</v>
      </c>
      <c r="G29" s="648"/>
      <c r="H29" s="650"/>
      <c r="I29" s="649"/>
      <c r="J29" s="649"/>
      <c r="K29" s="121">
        <v>788001</v>
      </c>
      <c r="L29" s="649"/>
      <c r="M29" s="121" t="s">
        <v>1955</v>
      </c>
      <c r="N29" s="121" t="s">
        <v>1956</v>
      </c>
      <c r="O29" s="121">
        <v>18</v>
      </c>
      <c r="P29" s="709"/>
      <c r="Q29" s="110"/>
      <c r="R29" s="184">
        <v>5000</v>
      </c>
      <c r="S29" s="184"/>
      <c r="T29" s="651"/>
      <c r="U29" s="184"/>
      <c r="V29" s="229"/>
      <c r="W29" s="66">
        <f>U29+V29</f>
        <v>0</v>
      </c>
      <c r="X29" s="67">
        <v>525</v>
      </c>
      <c r="Y29" s="67">
        <v>540</v>
      </c>
      <c r="Z29" s="122">
        <f>R29*X29</f>
        <v>2625000</v>
      </c>
      <c r="AA29" s="122">
        <f>W29*Y29</f>
        <v>0</v>
      </c>
      <c r="AB29" s="229"/>
    </row>
    <row r="30" spans="1:28" s="73" customFormat="1" x14ac:dyDescent="0.25">
      <c r="A30" s="54" t="s">
        <v>156</v>
      </c>
      <c r="B30" s="54" t="s">
        <v>157</v>
      </c>
      <c r="C30" s="647"/>
      <c r="D30" s="130"/>
      <c r="E30" s="130"/>
      <c r="F30" s="369">
        <v>5500</v>
      </c>
      <c r="G30" s="648"/>
      <c r="H30" s="691"/>
      <c r="I30" s="649"/>
      <c r="J30" s="649"/>
      <c r="K30" s="121">
        <v>788001</v>
      </c>
      <c r="L30" s="649"/>
      <c r="M30" s="121" t="s">
        <v>1955</v>
      </c>
      <c r="N30" s="121" t="s">
        <v>1956</v>
      </c>
      <c r="O30" s="121">
        <v>19</v>
      </c>
      <c r="P30" s="709"/>
      <c r="Q30" s="110"/>
      <c r="R30" s="184">
        <v>5000</v>
      </c>
      <c r="S30" s="184"/>
      <c r="T30" s="651"/>
      <c r="U30" s="184"/>
      <c r="V30" s="229"/>
      <c r="W30" s="66">
        <f>U30+V30</f>
        <v>0</v>
      </c>
      <c r="X30" s="67">
        <v>665</v>
      </c>
      <c r="Y30" s="67">
        <v>684</v>
      </c>
      <c r="Z30" s="122">
        <f>R30*X30</f>
        <v>3325000</v>
      </c>
      <c r="AA30" s="122">
        <f>W30*Y30</f>
        <v>0</v>
      </c>
      <c r="AB30" s="229"/>
    </row>
    <row r="31" spans="1:28" s="73" customFormat="1" x14ac:dyDescent="0.25">
      <c r="A31" s="54" t="s">
        <v>158</v>
      </c>
      <c r="B31" s="54" t="s">
        <v>159</v>
      </c>
      <c r="C31" s="647"/>
      <c r="D31" s="130"/>
      <c r="E31" s="130"/>
      <c r="F31" s="369">
        <v>800</v>
      </c>
      <c r="G31" s="648"/>
      <c r="H31" s="691"/>
      <c r="I31" s="649"/>
      <c r="J31" s="649"/>
      <c r="K31" s="121">
        <v>788001</v>
      </c>
      <c r="L31" s="649"/>
      <c r="M31" s="121" t="s">
        <v>688</v>
      </c>
      <c r="N31" s="121" t="s">
        <v>1956</v>
      </c>
      <c r="O31" s="121">
        <v>20</v>
      </c>
      <c r="P31" s="709"/>
      <c r="Q31" s="110"/>
      <c r="R31" s="184">
        <v>2000</v>
      </c>
      <c r="S31" s="184"/>
      <c r="T31" s="651"/>
      <c r="U31" s="184"/>
      <c r="V31" s="229"/>
      <c r="W31" s="66">
        <f t="shared" ref="W31" si="16">U31+V31</f>
        <v>0</v>
      </c>
      <c r="X31" s="67">
        <v>7660</v>
      </c>
      <c r="Y31" s="67">
        <v>6100</v>
      </c>
      <c r="Z31" s="122">
        <f t="shared" si="11"/>
        <v>15320000</v>
      </c>
      <c r="AA31" s="122">
        <f t="shared" si="12"/>
        <v>0</v>
      </c>
      <c r="AB31" s="229"/>
    </row>
    <row r="32" spans="1:28" s="73" customFormat="1" x14ac:dyDescent="0.25">
      <c r="A32" s="54" t="s">
        <v>160</v>
      </c>
      <c r="B32" s="54" t="s">
        <v>161</v>
      </c>
      <c r="C32" s="647"/>
      <c r="D32" s="130"/>
      <c r="E32" s="130"/>
      <c r="F32" s="369">
        <v>125</v>
      </c>
      <c r="G32" s="648"/>
      <c r="H32" s="691"/>
      <c r="I32" s="649"/>
      <c r="J32" s="649"/>
      <c r="K32" s="121">
        <v>788001</v>
      </c>
      <c r="L32" s="649"/>
      <c r="M32" s="121" t="s">
        <v>259</v>
      </c>
      <c r="N32" s="121" t="s">
        <v>1956</v>
      </c>
      <c r="O32" s="121">
        <v>21</v>
      </c>
      <c r="P32" s="709"/>
      <c r="Q32" s="110"/>
      <c r="R32" s="184">
        <v>100</v>
      </c>
      <c r="S32" s="184"/>
      <c r="T32" s="651"/>
      <c r="U32" s="184"/>
      <c r="V32" s="229"/>
      <c r="W32" s="66">
        <f>U32+V32</f>
        <v>0</v>
      </c>
      <c r="X32" s="67">
        <v>13199</v>
      </c>
      <c r="Y32" s="67">
        <v>13069</v>
      </c>
      <c r="Z32" s="122">
        <f>R32*X32</f>
        <v>1319900</v>
      </c>
      <c r="AA32" s="122">
        <f>W32*Y32</f>
        <v>0</v>
      </c>
      <c r="AB32" s="229"/>
    </row>
    <row r="33" spans="1:29" ht="15" customHeight="1" x14ac:dyDescent="0.25">
      <c r="A33" s="243" t="s">
        <v>162</v>
      </c>
      <c r="B33" s="243" t="s">
        <v>163</v>
      </c>
      <c r="C33" s="251"/>
      <c r="D33" s="251"/>
      <c r="E33" s="251"/>
      <c r="F33" s="251"/>
      <c r="G33" s="251"/>
      <c r="H33" s="251"/>
      <c r="I33" s="251"/>
      <c r="J33" s="251"/>
      <c r="K33" s="245">
        <v>788001</v>
      </c>
      <c r="L33" s="92"/>
      <c r="M33" s="92" t="s">
        <v>285</v>
      </c>
      <c r="N33" s="121" t="s">
        <v>1956</v>
      </c>
      <c r="O33" s="121">
        <v>22</v>
      </c>
      <c r="P33" s="716"/>
      <c r="Q33" s="12"/>
      <c r="R33" s="18">
        <v>24</v>
      </c>
      <c r="S33" s="223"/>
      <c r="T33" s="223"/>
      <c r="U33" s="223"/>
      <c r="V33" s="12"/>
      <c r="W33" s="66">
        <f>U33+V33</f>
        <v>0</v>
      </c>
      <c r="X33" s="67">
        <v>200000</v>
      </c>
      <c r="Y33" s="67"/>
      <c r="Z33" s="8">
        <f>R33*X33</f>
        <v>4800000</v>
      </c>
      <c r="AA33" s="122">
        <f>W33*Y33</f>
        <v>0</v>
      </c>
      <c r="AB33" s="12"/>
    </row>
    <row r="34" spans="1:29" ht="15" customHeight="1" x14ac:dyDescent="0.25">
      <c r="A34" s="66" t="s">
        <v>164</v>
      </c>
      <c r="B34" s="66" t="s">
        <v>165</v>
      </c>
      <c r="C34" s="693"/>
      <c r="D34" s="693"/>
      <c r="E34" s="693"/>
      <c r="F34" s="276"/>
      <c r="G34" s="276"/>
      <c r="H34" s="276"/>
      <c r="I34" s="276"/>
      <c r="J34" s="276"/>
      <c r="K34" s="121">
        <v>788001</v>
      </c>
      <c r="L34" s="54"/>
      <c r="M34" s="54" t="s">
        <v>1955</v>
      </c>
      <c r="N34" s="121" t="s">
        <v>1956</v>
      </c>
      <c r="O34" s="121">
        <v>23</v>
      </c>
      <c r="P34" s="716"/>
      <c r="Q34" s="12"/>
      <c r="R34" s="18">
        <v>8000</v>
      </c>
      <c r="S34" s="223"/>
      <c r="T34" s="223"/>
      <c r="U34" s="223"/>
      <c r="V34" s="12"/>
      <c r="W34" s="66">
        <f t="shared" ref="W34:W38" si="17">U34+V34</f>
        <v>0</v>
      </c>
      <c r="X34" s="67">
        <v>720</v>
      </c>
      <c r="Y34" s="67">
        <v>900</v>
      </c>
      <c r="Z34" s="8">
        <f>R34*X34</f>
        <v>5760000</v>
      </c>
      <c r="AA34" s="122"/>
      <c r="AB34" s="12"/>
    </row>
    <row r="35" spans="1:29" ht="15" customHeight="1" x14ac:dyDescent="0.25">
      <c r="A35" s="66" t="s">
        <v>166</v>
      </c>
      <c r="B35" s="66" t="s">
        <v>167</v>
      </c>
      <c r="C35" s="693"/>
      <c r="D35" s="693"/>
      <c r="E35" s="693"/>
      <c r="F35" s="276"/>
      <c r="G35" s="276"/>
      <c r="H35" s="276"/>
      <c r="I35" s="276"/>
      <c r="J35" s="276"/>
      <c r="K35" s="121">
        <v>788001</v>
      </c>
      <c r="L35" s="54"/>
      <c r="M35" s="54" t="s">
        <v>1955</v>
      </c>
      <c r="N35" s="121" t="s">
        <v>1956</v>
      </c>
      <c r="O35" s="121">
        <v>24</v>
      </c>
      <c r="P35" s="716"/>
      <c r="Q35" s="12"/>
      <c r="R35" s="18">
        <v>600</v>
      </c>
      <c r="S35" s="223"/>
      <c r="T35" s="223"/>
      <c r="U35" s="223"/>
      <c r="V35" s="12"/>
      <c r="W35" s="66">
        <f t="shared" si="17"/>
        <v>0</v>
      </c>
      <c r="X35" s="67">
        <v>824.6</v>
      </c>
      <c r="Y35" s="67">
        <v>744</v>
      </c>
      <c r="Z35" s="8">
        <f>R35*X35</f>
        <v>494760</v>
      </c>
      <c r="AA35" s="122"/>
      <c r="AB35" s="12"/>
    </row>
    <row r="36" spans="1:29" s="116" customFormat="1" x14ac:dyDescent="0.25">
      <c r="A36" s="55" t="s">
        <v>168</v>
      </c>
      <c r="B36" s="55" t="s">
        <v>169</v>
      </c>
      <c r="C36" s="55"/>
      <c r="D36" s="55">
        <v>0</v>
      </c>
      <c r="E36" s="55">
        <v>20</v>
      </c>
      <c r="F36" s="55">
        <v>0</v>
      </c>
      <c r="G36" s="55"/>
      <c r="H36" s="419">
        <v>0</v>
      </c>
      <c r="I36" s="55"/>
      <c r="J36" s="55" t="s">
        <v>122</v>
      </c>
      <c r="K36" s="245">
        <v>788001</v>
      </c>
      <c r="L36" s="55"/>
      <c r="M36" s="55" t="s">
        <v>285</v>
      </c>
      <c r="N36" s="121" t="s">
        <v>1956</v>
      </c>
      <c r="O36" s="121">
        <v>25</v>
      </c>
      <c r="P36" s="713"/>
      <c r="Q36" s="66"/>
      <c r="R36" s="186">
        <v>100</v>
      </c>
      <c r="S36" s="186"/>
      <c r="T36" s="186"/>
      <c r="U36" s="66"/>
      <c r="V36" s="66"/>
      <c r="W36" s="66">
        <f t="shared" si="17"/>
        <v>0</v>
      </c>
      <c r="X36" s="67">
        <v>3489</v>
      </c>
      <c r="Y36" s="67">
        <v>20200</v>
      </c>
      <c r="Z36" s="8">
        <f t="shared" ref="Z36:Z39" si="18">R36*X36</f>
        <v>348900</v>
      </c>
      <c r="AA36" s="122">
        <f t="shared" ref="AA36:AA38" si="19">W36*Y36</f>
        <v>0</v>
      </c>
      <c r="AB36" s="274"/>
    </row>
    <row r="37" spans="1:29" s="116" customFormat="1" x14ac:dyDescent="0.25">
      <c r="A37" s="66" t="s">
        <v>170</v>
      </c>
      <c r="B37" s="66" t="s">
        <v>171</v>
      </c>
      <c r="C37" s="66">
        <v>8.3333333333333339</v>
      </c>
      <c r="D37" s="54">
        <v>15</v>
      </c>
      <c r="E37" s="54">
        <v>15</v>
      </c>
      <c r="F37" s="54">
        <v>15</v>
      </c>
      <c r="G37" s="171">
        <v>25</v>
      </c>
      <c r="H37" s="68">
        <v>185</v>
      </c>
      <c r="I37" s="66">
        <v>50</v>
      </c>
      <c r="J37" s="129" t="s">
        <v>122</v>
      </c>
      <c r="K37" s="121">
        <v>788001</v>
      </c>
      <c r="L37" s="66"/>
      <c r="M37" s="66" t="s">
        <v>1959</v>
      </c>
      <c r="N37" s="121" t="s">
        <v>1956</v>
      </c>
      <c r="O37" s="121">
        <v>26</v>
      </c>
      <c r="P37" s="713"/>
      <c r="Q37" s="66"/>
      <c r="R37" s="174">
        <v>150</v>
      </c>
      <c r="S37" s="66"/>
      <c r="T37" s="66"/>
      <c r="U37" s="68"/>
      <c r="V37" s="66"/>
      <c r="W37" s="66">
        <f t="shared" si="17"/>
        <v>0</v>
      </c>
      <c r="X37" s="67">
        <v>12500</v>
      </c>
      <c r="Y37" s="67">
        <v>10500</v>
      </c>
      <c r="Z37" s="8">
        <f t="shared" si="18"/>
        <v>1875000</v>
      </c>
      <c r="AA37" s="122">
        <f t="shared" si="19"/>
        <v>0</v>
      </c>
      <c r="AB37" s="66"/>
    </row>
    <row r="38" spans="1:29" s="669" customFormat="1" x14ac:dyDescent="0.25">
      <c r="A38" s="66" t="s">
        <v>172</v>
      </c>
      <c r="B38" s="66" t="s">
        <v>173</v>
      </c>
      <c r="C38" s="66" t="s">
        <v>174</v>
      </c>
      <c r="D38" s="54">
        <v>100</v>
      </c>
      <c r="E38" s="54">
        <v>200</v>
      </c>
      <c r="F38" s="54">
        <v>100</v>
      </c>
      <c r="G38" s="171">
        <v>1500</v>
      </c>
      <c r="H38" s="68">
        <v>2200</v>
      </c>
      <c r="I38" s="66"/>
      <c r="J38" s="129" t="s">
        <v>122</v>
      </c>
      <c r="K38" s="121">
        <v>788001</v>
      </c>
      <c r="L38" s="63"/>
      <c r="M38" s="63" t="s">
        <v>263</v>
      </c>
      <c r="N38" s="121" t="s">
        <v>1956</v>
      </c>
      <c r="O38" s="121">
        <v>27</v>
      </c>
      <c r="P38" s="715"/>
      <c r="Q38" s="6"/>
      <c r="R38" s="19">
        <v>1000</v>
      </c>
      <c r="S38" s="19"/>
      <c r="T38" s="19"/>
      <c r="U38" s="275"/>
      <c r="V38" s="6"/>
      <c r="W38" s="18">
        <f t="shared" si="17"/>
        <v>0</v>
      </c>
      <c r="X38" s="67">
        <v>5890</v>
      </c>
      <c r="Y38" s="67">
        <v>5185.38</v>
      </c>
      <c r="Z38" s="279">
        <f t="shared" si="18"/>
        <v>5890000</v>
      </c>
      <c r="AA38" s="8">
        <f t="shared" si="19"/>
        <v>0</v>
      </c>
      <c r="AB38" s="6"/>
    </row>
    <row r="39" spans="1:29" ht="15" customHeight="1" x14ac:dyDescent="0.25">
      <c r="A39" s="66" t="s">
        <v>177</v>
      </c>
      <c r="B39" s="66" t="s">
        <v>178</v>
      </c>
      <c r="C39" s="276"/>
      <c r="D39" s="276"/>
      <c r="E39" s="276"/>
      <c r="F39" s="276"/>
      <c r="G39" s="276"/>
      <c r="H39" s="276"/>
      <c r="I39" s="276"/>
      <c r="J39" s="276"/>
      <c r="K39" s="121">
        <v>788001</v>
      </c>
      <c r="L39" s="54"/>
      <c r="M39" s="54" t="s">
        <v>263</v>
      </c>
      <c r="N39" s="121" t="s">
        <v>1956</v>
      </c>
      <c r="O39" s="121">
        <v>28</v>
      </c>
      <c r="P39" s="716"/>
      <c r="Q39" s="12"/>
      <c r="R39" s="18">
        <v>72</v>
      </c>
      <c r="S39" s="223"/>
      <c r="T39" s="223"/>
      <c r="U39" s="223"/>
      <c r="V39" s="12"/>
      <c r="W39" s="66">
        <f>U39+V39</f>
        <v>0</v>
      </c>
      <c r="X39" s="67">
        <v>57459.15</v>
      </c>
      <c r="Y39" s="67">
        <v>51163.59</v>
      </c>
      <c r="Z39" s="8">
        <f t="shared" si="18"/>
        <v>4137058.8000000003</v>
      </c>
      <c r="AA39" s="122">
        <f>W39*Y39</f>
        <v>0</v>
      </c>
      <c r="AB39" s="12"/>
    </row>
    <row r="40" spans="1:29" s="132" customFormat="1" x14ac:dyDescent="0.25">
      <c r="A40" s="55" t="s">
        <v>175</v>
      </c>
      <c r="B40" s="55" t="s">
        <v>176</v>
      </c>
      <c r="C40" s="55"/>
      <c r="D40" s="55"/>
      <c r="E40" s="55">
        <v>10</v>
      </c>
      <c r="F40" s="429">
        <v>10</v>
      </c>
      <c r="G40" s="92">
        <f>VLOOKUP(A40,'[1]yourspreadsheetname (1)'!$A$2:$C$968, 3, FALSE)</f>
        <v>47</v>
      </c>
      <c r="H40" s="55">
        <v>40</v>
      </c>
      <c r="I40" s="429">
        <v>8</v>
      </c>
      <c r="J40" s="250" t="s">
        <v>122</v>
      </c>
      <c r="K40" s="245">
        <v>788001</v>
      </c>
      <c r="L40" s="293"/>
      <c r="M40" s="55" t="s">
        <v>272</v>
      </c>
      <c r="N40" s="121" t="s">
        <v>1956</v>
      </c>
      <c r="O40" s="121">
        <v>29</v>
      </c>
      <c r="P40" s="715"/>
      <c r="Q40" s="18"/>
      <c r="R40" s="66">
        <v>60</v>
      </c>
      <c r="S40" s="18"/>
      <c r="T40" s="63"/>
      <c r="U40" s="63"/>
      <c r="V40" s="63"/>
      <c r="W40" s="66">
        <f>U40+V40</f>
        <v>0</v>
      </c>
      <c r="X40" s="67">
        <v>523300</v>
      </c>
      <c r="Y40" s="67">
        <v>493294.7</v>
      </c>
      <c r="Z40" s="8">
        <f>R40*X40</f>
        <v>31398000</v>
      </c>
      <c r="AA40" s="122">
        <f>W40*Y40</f>
        <v>0</v>
      </c>
      <c r="AB40" s="37"/>
    </row>
    <row r="41" spans="1:29" s="669" customFormat="1" x14ac:dyDescent="0.25">
      <c r="A41" s="55" t="s">
        <v>257</v>
      </c>
      <c r="B41" s="92" t="s">
        <v>258</v>
      </c>
      <c r="C41" s="92">
        <v>120</v>
      </c>
      <c r="D41" s="92">
        <v>120</v>
      </c>
      <c r="E41" s="92">
        <v>100</v>
      </c>
      <c r="F41" s="92">
        <v>100</v>
      </c>
      <c r="G41" s="430">
        <v>300</v>
      </c>
      <c r="H41" s="56">
        <v>600</v>
      </c>
      <c r="I41" s="55">
        <v>600</v>
      </c>
      <c r="J41" s="244"/>
      <c r="K41" s="245">
        <v>788001</v>
      </c>
      <c r="L41" s="55"/>
      <c r="M41" s="55" t="s">
        <v>263</v>
      </c>
      <c r="N41" s="121" t="s">
        <v>1956</v>
      </c>
      <c r="O41" s="121">
        <v>30</v>
      </c>
      <c r="P41" s="715"/>
      <c r="Q41" s="7"/>
      <c r="R41" s="7">
        <f>((F41*15)-G41-I41)/2</f>
        <v>300</v>
      </c>
      <c r="S41" s="7"/>
      <c r="T41" s="7"/>
      <c r="U41" s="7"/>
      <c r="V41" s="18"/>
      <c r="W41" s="66">
        <f>U41+V41</f>
        <v>0</v>
      </c>
      <c r="X41" s="67">
        <v>1615</v>
      </c>
      <c r="Y41" s="67">
        <v>2832.76</v>
      </c>
      <c r="Z41" s="8">
        <f>R41*X41</f>
        <v>484500</v>
      </c>
      <c r="AA41" s="122">
        <f>W41*Y41</f>
        <v>0</v>
      </c>
      <c r="AB41" s="31"/>
      <c r="AC41" s="680"/>
    </row>
    <row r="42" spans="1:29" s="680" customFormat="1" x14ac:dyDescent="0.25">
      <c r="A42" s="237" t="s">
        <v>261</v>
      </c>
      <c r="B42" s="238" t="s">
        <v>1957</v>
      </c>
      <c r="C42" s="238"/>
      <c r="D42" s="238"/>
      <c r="E42" s="238"/>
      <c r="F42" s="238"/>
      <c r="G42" s="702"/>
      <c r="H42" s="348"/>
      <c r="I42" s="237"/>
      <c r="J42" s="703"/>
      <c r="K42" s="695">
        <v>788001</v>
      </c>
      <c r="L42" s="237"/>
      <c r="M42" s="237" t="s">
        <v>129</v>
      </c>
      <c r="N42" s="121" t="s">
        <v>1956</v>
      </c>
      <c r="O42" s="121">
        <v>31</v>
      </c>
      <c r="P42" s="715"/>
      <c r="Q42" s="7"/>
      <c r="R42" s="7"/>
      <c r="S42" s="7"/>
      <c r="T42" s="7"/>
      <c r="U42" s="7"/>
      <c r="V42" s="18"/>
      <c r="W42" s="66"/>
      <c r="X42" s="67"/>
      <c r="Y42" s="67"/>
      <c r="Z42" s="8"/>
      <c r="AA42" s="122"/>
      <c r="AB42" s="31"/>
    </row>
    <row r="43" spans="1:29" s="680" customFormat="1" x14ac:dyDescent="0.25">
      <c r="A43" s="237" t="s">
        <v>264</v>
      </c>
      <c r="B43" s="238" t="s">
        <v>1958</v>
      </c>
      <c r="C43" s="238"/>
      <c r="D43" s="238"/>
      <c r="E43" s="238"/>
      <c r="F43" s="238"/>
      <c r="G43" s="702"/>
      <c r="H43" s="348"/>
      <c r="I43" s="237"/>
      <c r="J43" s="703"/>
      <c r="K43" s="695">
        <v>788001</v>
      </c>
      <c r="L43" s="237"/>
      <c r="M43" s="237" t="s">
        <v>129</v>
      </c>
      <c r="N43" s="121" t="s">
        <v>1956</v>
      </c>
      <c r="O43" s="121">
        <v>32</v>
      </c>
      <c r="P43" s="715"/>
      <c r="Q43" s="7"/>
      <c r="R43" s="7"/>
      <c r="S43" s="7"/>
      <c r="T43" s="7"/>
      <c r="U43" s="7"/>
      <c r="V43" s="18"/>
      <c r="W43" s="66"/>
      <c r="X43" s="67"/>
      <c r="Y43" s="67"/>
      <c r="Z43" s="8"/>
      <c r="AA43" s="122"/>
      <c r="AB43" s="31"/>
    </row>
    <row r="44" spans="1:29" s="680" customFormat="1" ht="17.25" customHeight="1" x14ac:dyDescent="0.25">
      <c r="A44" s="421" t="s">
        <v>266</v>
      </c>
      <c r="B44" s="421" t="s">
        <v>267</v>
      </c>
      <c r="C44" s="55">
        <v>60</v>
      </c>
      <c r="D44" s="55">
        <v>50</v>
      </c>
      <c r="E44" s="55">
        <v>60</v>
      </c>
      <c r="F44" s="55">
        <v>60</v>
      </c>
      <c r="G44" s="430">
        <v>200</v>
      </c>
      <c r="H44" s="56">
        <v>600</v>
      </c>
      <c r="I44" s="55">
        <v>480</v>
      </c>
      <c r="J44" s="251"/>
      <c r="K44" s="245">
        <v>788001</v>
      </c>
      <c r="L44" s="55"/>
      <c r="M44" s="55" t="s">
        <v>272</v>
      </c>
      <c r="N44" s="121" t="s">
        <v>1956</v>
      </c>
      <c r="O44" s="121">
        <v>33</v>
      </c>
      <c r="P44" s="715"/>
      <c r="Q44" s="13"/>
      <c r="R44" s="7">
        <v>120</v>
      </c>
      <c r="S44" s="7"/>
      <c r="T44" s="7"/>
      <c r="U44" s="7"/>
      <c r="V44" s="18"/>
      <c r="W44" s="66">
        <f t="shared" ref="W44" si="20">U44+V44</f>
        <v>0</v>
      </c>
      <c r="X44" s="67">
        <v>80149.59</v>
      </c>
      <c r="Y44" s="67">
        <v>80961.63</v>
      </c>
      <c r="Z44" s="8">
        <f t="shared" ref="Z44" si="21">R44*X44</f>
        <v>9617950.7999999989</v>
      </c>
      <c r="AA44" s="122">
        <f t="shared" ref="AA44" si="22">W44*Y44</f>
        <v>0</v>
      </c>
      <c r="AB44" s="18"/>
    </row>
    <row r="45" spans="1:29" s="669" customFormat="1" x14ac:dyDescent="0.25">
      <c r="A45" s="498" t="s">
        <v>268</v>
      </c>
      <c r="B45" s="55" t="s">
        <v>269</v>
      </c>
      <c r="C45" s="55"/>
      <c r="D45" s="55"/>
      <c r="E45" s="55">
        <v>1000</v>
      </c>
      <c r="F45" s="55">
        <v>1500</v>
      </c>
      <c r="G45" s="306">
        <v>2000</v>
      </c>
      <c r="H45" s="56">
        <v>2000</v>
      </c>
      <c r="I45" s="55">
        <v>0</v>
      </c>
      <c r="J45" s="55"/>
      <c r="K45" s="245">
        <v>788001</v>
      </c>
      <c r="L45" s="55"/>
      <c r="M45" s="93" t="s">
        <v>259</v>
      </c>
      <c r="N45" s="121" t="s">
        <v>1956</v>
      </c>
      <c r="O45" s="121">
        <v>34</v>
      </c>
      <c r="P45" s="715"/>
      <c r="Q45" s="7"/>
      <c r="R45" s="7">
        <v>6000</v>
      </c>
      <c r="S45" s="102"/>
      <c r="T45" s="102"/>
      <c r="U45" s="7"/>
      <c r="V45" s="7"/>
      <c r="W45" s="66">
        <f>U45+V45</f>
        <v>0</v>
      </c>
      <c r="X45" s="67">
        <v>587.9</v>
      </c>
      <c r="Y45" s="67">
        <v>825.6</v>
      </c>
      <c r="Z45" s="8">
        <f>R45*X45</f>
        <v>3527400</v>
      </c>
      <c r="AA45" s="122">
        <f>W45*Y45</f>
        <v>0</v>
      </c>
      <c r="AB45" s="31"/>
      <c r="AC45" s="680"/>
    </row>
    <row r="46" spans="1:29" s="132" customFormat="1" x14ac:dyDescent="0.25">
      <c r="A46" s="66" t="s">
        <v>270</v>
      </c>
      <c r="B46" s="66" t="s">
        <v>271</v>
      </c>
      <c r="C46" s="66"/>
      <c r="D46" s="66"/>
      <c r="E46" s="66">
        <v>10</v>
      </c>
      <c r="F46" s="333">
        <v>10</v>
      </c>
      <c r="G46" s="54" t="e">
        <f>VLOOKUP(A46,'[1]yourspreadsheetname (1)'!$A$2:$C$968, 3, FALSE)</f>
        <v>#N/A</v>
      </c>
      <c r="H46" s="66">
        <v>50</v>
      </c>
      <c r="I46" s="169"/>
      <c r="J46" s="173" t="s">
        <v>122</v>
      </c>
      <c r="K46" s="121">
        <v>788001</v>
      </c>
      <c r="L46" s="274"/>
      <c r="M46" s="66" t="s">
        <v>1955</v>
      </c>
      <c r="N46" s="121" t="s">
        <v>1956</v>
      </c>
      <c r="O46" s="121">
        <v>35</v>
      </c>
      <c r="P46" s="715"/>
      <c r="Q46" s="18"/>
      <c r="R46" s="66">
        <v>25</v>
      </c>
      <c r="S46" s="18"/>
      <c r="T46" s="18"/>
      <c r="U46" s="66"/>
      <c r="V46" s="63"/>
      <c r="W46" s="66">
        <f>U46+V46</f>
        <v>0</v>
      </c>
      <c r="X46" s="67">
        <v>783</v>
      </c>
      <c r="Y46" s="67">
        <v>828</v>
      </c>
      <c r="Z46" s="8">
        <f>R46*X46</f>
        <v>19575</v>
      </c>
      <c r="AA46" s="122">
        <f>W46*Y46</f>
        <v>0</v>
      </c>
      <c r="AB46" s="18"/>
    </row>
    <row r="47" spans="1:29" s="132" customFormat="1" x14ac:dyDescent="0.25">
      <c r="A47" s="212" t="s">
        <v>275</v>
      </c>
      <c r="B47" s="66" t="s">
        <v>276</v>
      </c>
      <c r="C47" s="66"/>
      <c r="D47" s="66"/>
      <c r="E47" s="66">
        <v>10</v>
      </c>
      <c r="F47" s="333"/>
      <c r="G47" s="54">
        <f>VLOOKUP(A47,'[1]yourspreadsheetname (1)'!$A$2:$C$968, 3, FALSE)</f>
        <v>0</v>
      </c>
      <c r="H47" s="66">
        <v>50</v>
      </c>
      <c r="I47" s="169"/>
      <c r="J47" s="173" t="s">
        <v>122</v>
      </c>
      <c r="K47" s="121">
        <v>788001</v>
      </c>
      <c r="L47" s="274"/>
      <c r="M47" s="66" t="s">
        <v>1955</v>
      </c>
      <c r="N47" s="121" t="s">
        <v>1956</v>
      </c>
      <c r="O47" s="121">
        <v>36</v>
      </c>
      <c r="P47" s="715"/>
      <c r="Q47" s="18"/>
      <c r="R47" s="66">
        <v>50</v>
      </c>
      <c r="S47" s="18"/>
      <c r="T47" s="18"/>
      <c r="U47" s="66"/>
      <c r="V47" s="54"/>
      <c r="W47" s="66">
        <f>U47+V47</f>
        <v>0</v>
      </c>
      <c r="X47" s="67">
        <v>780</v>
      </c>
      <c r="Y47" s="67">
        <v>600</v>
      </c>
      <c r="Z47" s="8">
        <f>R47*X47</f>
        <v>39000</v>
      </c>
      <c r="AA47" s="122">
        <f>W47*Y47</f>
        <v>0</v>
      </c>
      <c r="AB47" s="37"/>
    </row>
    <row r="48" spans="1:29" s="669" customFormat="1" x14ac:dyDescent="0.25">
      <c r="A48" s="66" t="s">
        <v>277</v>
      </c>
      <c r="B48" s="66" t="s">
        <v>278</v>
      </c>
      <c r="C48" s="66"/>
      <c r="D48" s="66"/>
      <c r="E48" s="66">
        <v>10</v>
      </c>
      <c r="F48" s="66">
        <v>10</v>
      </c>
      <c r="G48" s="171">
        <v>145</v>
      </c>
      <c r="H48" s="62">
        <v>100</v>
      </c>
      <c r="I48" s="66">
        <v>0</v>
      </c>
      <c r="J48" s="66"/>
      <c r="K48" s="121">
        <v>788001</v>
      </c>
      <c r="L48" s="66"/>
      <c r="M48" s="66" t="s">
        <v>1955</v>
      </c>
      <c r="N48" s="121" t="s">
        <v>1956</v>
      </c>
      <c r="O48" s="121">
        <v>37</v>
      </c>
      <c r="P48" s="715"/>
      <c r="Q48" s="18"/>
      <c r="R48" s="7">
        <v>120</v>
      </c>
      <c r="S48" s="102"/>
      <c r="T48" s="102"/>
      <c r="U48" s="7"/>
      <c r="V48" s="18"/>
      <c r="W48" s="66">
        <f>U48+V48</f>
        <v>0</v>
      </c>
      <c r="X48" s="67">
        <v>818.4</v>
      </c>
      <c r="Y48" s="67">
        <v>6534</v>
      </c>
      <c r="Z48" s="8">
        <f>R48*X48</f>
        <v>98208</v>
      </c>
      <c r="AA48" s="122">
        <f>W48*Y48</f>
        <v>0</v>
      </c>
      <c r="AB48" s="18"/>
    </row>
    <row r="49" spans="1:28" s="100" customFormat="1" ht="15" customHeight="1" x14ac:dyDescent="0.25">
      <c r="B49" s="180" t="s">
        <v>179</v>
      </c>
      <c r="P49" s="717"/>
      <c r="U49" s="180"/>
      <c r="W49" s="377">
        <f t="shared" ref="W49:W93" si="23">U49+V49</f>
        <v>0</v>
      </c>
      <c r="Z49" s="671">
        <f t="shared" ref="Z49:Z91" si="24">R49*X49</f>
        <v>0</v>
      </c>
      <c r="AA49" s="671">
        <f t="shared" ref="AA49:AA91" si="25">W49*Y49</f>
        <v>0</v>
      </c>
    </row>
    <row r="50" spans="1:28" s="73" customFormat="1" x14ac:dyDescent="0.25">
      <c r="A50" s="92" t="s">
        <v>180</v>
      </c>
      <c r="B50" s="92" t="s">
        <v>181</v>
      </c>
      <c r="C50" s="704"/>
      <c r="D50" s="585"/>
      <c r="E50" s="585"/>
      <c r="F50" s="705">
        <v>3000</v>
      </c>
      <c r="G50" s="706"/>
      <c r="H50" s="707"/>
      <c r="I50" s="690"/>
      <c r="J50" s="690"/>
      <c r="K50" s="245">
        <v>788020</v>
      </c>
      <c r="L50" s="690"/>
      <c r="M50" s="245" t="s">
        <v>894</v>
      </c>
      <c r="N50" s="121" t="s">
        <v>1940</v>
      </c>
      <c r="O50" s="121">
        <v>1</v>
      </c>
      <c r="P50" s="709"/>
      <c r="Q50" s="110"/>
      <c r="R50" s="184">
        <v>2000</v>
      </c>
      <c r="S50" s="184"/>
      <c r="T50" s="651"/>
      <c r="U50" s="184"/>
      <c r="V50" s="229"/>
      <c r="W50" s="66">
        <f>U50+V50</f>
        <v>0</v>
      </c>
      <c r="X50" s="648">
        <v>89.93</v>
      </c>
      <c r="Y50" s="119">
        <v>140</v>
      </c>
      <c r="Z50" s="122">
        <f t="shared" ref="Z50:Z69" si="26">R50*X50</f>
        <v>179860</v>
      </c>
      <c r="AA50" s="122">
        <f t="shared" ref="AA50:AA69" si="27">W50*Y50</f>
        <v>0</v>
      </c>
      <c r="AB50" s="229"/>
    </row>
    <row r="51" spans="1:28" s="73" customFormat="1" x14ac:dyDescent="0.25">
      <c r="A51" s="92" t="s">
        <v>182</v>
      </c>
      <c r="B51" s="92" t="s">
        <v>183</v>
      </c>
      <c r="C51" s="704"/>
      <c r="D51" s="585"/>
      <c r="E51" s="585"/>
      <c r="F51" s="705">
        <v>600</v>
      </c>
      <c r="G51" s="706"/>
      <c r="H51" s="707"/>
      <c r="I51" s="690"/>
      <c r="J51" s="690"/>
      <c r="K51" s="245">
        <v>788020</v>
      </c>
      <c r="L51" s="690"/>
      <c r="M51" s="245" t="s">
        <v>1037</v>
      </c>
      <c r="N51" s="121" t="s">
        <v>1940</v>
      </c>
      <c r="O51" s="121">
        <v>2</v>
      </c>
      <c r="P51" s="709"/>
      <c r="Q51" s="110"/>
      <c r="R51" s="184">
        <v>3200</v>
      </c>
      <c r="S51" s="184"/>
      <c r="T51" s="651"/>
      <c r="U51" s="184"/>
      <c r="V51" s="229"/>
      <c r="W51" s="66">
        <f t="shared" si="23"/>
        <v>0</v>
      </c>
      <c r="X51" s="648">
        <v>385</v>
      </c>
      <c r="Y51" s="119">
        <v>152.88999999999999</v>
      </c>
      <c r="Z51" s="122">
        <f t="shared" si="26"/>
        <v>1232000</v>
      </c>
      <c r="AA51" s="122">
        <f t="shared" si="27"/>
        <v>0</v>
      </c>
      <c r="AB51" s="229"/>
    </row>
    <row r="52" spans="1:28" s="73" customFormat="1" x14ac:dyDescent="0.25">
      <c r="A52" s="92" t="s">
        <v>184</v>
      </c>
      <c r="B52" s="92" t="s">
        <v>185</v>
      </c>
      <c r="C52" s="704"/>
      <c r="D52" s="585"/>
      <c r="E52" s="585"/>
      <c r="F52" s="705">
        <v>1700</v>
      </c>
      <c r="G52" s="706"/>
      <c r="H52" s="707"/>
      <c r="I52" s="690"/>
      <c r="J52" s="690"/>
      <c r="K52" s="245">
        <v>788020</v>
      </c>
      <c r="L52" s="690"/>
      <c r="M52" s="245" t="s">
        <v>129</v>
      </c>
      <c r="N52" s="121" t="s">
        <v>1940</v>
      </c>
      <c r="O52" s="121">
        <v>3</v>
      </c>
      <c r="P52" s="709"/>
      <c r="Q52" s="110"/>
      <c r="R52" s="184">
        <v>5000</v>
      </c>
      <c r="S52" s="184"/>
      <c r="T52" s="651"/>
      <c r="U52" s="184"/>
      <c r="V52" s="229"/>
      <c r="W52" s="66">
        <f>U52+V52</f>
        <v>0</v>
      </c>
      <c r="X52" s="648">
        <v>172</v>
      </c>
      <c r="Y52" s="119">
        <v>195.39</v>
      </c>
      <c r="Z52" s="122">
        <f t="shared" si="26"/>
        <v>860000</v>
      </c>
      <c r="AA52" s="122">
        <f t="shared" si="27"/>
        <v>0</v>
      </c>
      <c r="AB52" s="229"/>
    </row>
    <row r="53" spans="1:28" s="73" customFormat="1" x14ac:dyDescent="0.25">
      <c r="A53" s="12" t="s">
        <v>186</v>
      </c>
      <c r="B53" s="12" t="s">
        <v>187</v>
      </c>
      <c r="C53" s="647"/>
      <c r="D53" s="229"/>
      <c r="E53" s="229"/>
      <c r="F53" s="369">
        <v>6700</v>
      </c>
      <c r="G53" s="648"/>
      <c r="H53" s="650"/>
      <c r="I53" s="649"/>
      <c r="J53" s="649"/>
      <c r="K53" s="121">
        <v>788020</v>
      </c>
      <c r="L53" s="649"/>
      <c r="M53" s="121" t="s">
        <v>259</v>
      </c>
      <c r="N53" s="121" t="s">
        <v>1940</v>
      </c>
      <c r="O53" s="121">
        <v>4</v>
      </c>
      <c r="P53" s="709"/>
      <c r="Q53" s="110"/>
      <c r="R53" s="652">
        <v>35000</v>
      </c>
      <c r="S53" s="652"/>
      <c r="T53" s="651"/>
      <c r="U53" s="184"/>
      <c r="V53" s="229"/>
      <c r="W53" s="66">
        <f>U53+V53</f>
        <v>0</v>
      </c>
      <c r="X53" s="648">
        <v>33.200000000000003</v>
      </c>
      <c r="Y53" s="119">
        <v>42.5</v>
      </c>
      <c r="Z53" s="122">
        <f t="shared" si="26"/>
        <v>1162000</v>
      </c>
      <c r="AA53" s="122">
        <f t="shared" si="27"/>
        <v>0</v>
      </c>
      <c r="AB53" s="229"/>
    </row>
    <row r="54" spans="1:28" s="73" customFormat="1" x14ac:dyDescent="0.25">
      <c r="A54" s="12" t="s">
        <v>188</v>
      </c>
      <c r="B54" s="12" t="s">
        <v>189</v>
      </c>
      <c r="C54" s="647"/>
      <c r="D54" s="229"/>
      <c r="E54" s="229"/>
      <c r="F54" s="369">
        <v>11000</v>
      </c>
      <c r="G54" s="648"/>
      <c r="H54" s="650"/>
      <c r="I54" s="649"/>
      <c r="J54" s="649"/>
      <c r="K54" s="121">
        <v>788020</v>
      </c>
      <c r="L54" s="649"/>
      <c r="M54" s="121" t="s">
        <v>259</v>
      </c>
      <c r="N54" s="121" t="s">
        <v>1940</v>
      </c>
      <c r="O54" s="121">
        <v>5</v>
      </c>
      <c r="P54" s="709"/>
      <c r="Q54" s="110"/>
      <c r="R54" s="184">
        <v>25000</v>
      </c>
      <c r="S54" s="184"/>
      <c r="T54" s="651"/>
      <c r="U54" s="184"/>
      <c r="V54" s="229"/>
      <c r="W54" s="66">
        <f t="shared" si="23"/>
        <v>0</v>
      </c>
      <c r="X54" s="648">
        <v>100.99</v>
      </c>
      <c r="Y54" s="119">
        <v>115.75</v>
      </c>
      <c r="Z54" s="122">
        <f t="shared" si="26"/>
        <v>2524750</v>
      </c>
      <c r="AA54" s="122">
        <f t="shared" si="27"/>
        <v>0</v>
      </c>
      <c r="AB54" s="229"/>
    </row>
    <row r="55" spans="1:28" s="116" customFormat="1" ht="15.75" customHeight="1" x14ac:dyDescent="0.25">
      <c r="A55" s="92" t="s">
        <v>190</v>
      </c>
      <c r="B55" s="92" t="s">
        <v>191</v>
      </c>
      <c r="C55" s="92">
        <v>0</v>
      </c>
      <c r="D55" s="92">
        <v>75</v>
      </c>
      <c r="E55" s="92">
        <v>50</v>
      </c>
      <c r="F55" s="92">
        <v>40</v>
      </c>
      <c r="G55" s="92">
        <f>VLOOKUP(A55,'[1]yourspreadsheetname (1)'!$A$2:$C$968, 3, FALSE)</f>
        <v>380</v>
      </c>
      <c r="H55" s="92">
        <v>300</v>
      </c>
      <c r="I55" s="92"/>
      <c r="J55" s="309"/>
      <c r="K55" s="245">
        <v>788020</v>
      </c>
      <c r="L55" s="92"/>
      <c r="M55" s="92" t="s">
        <v>894</v>
      </c>
      <c r="N55" s="121" t="s">
        <v>1940</v>
      </c>
      <c r="O55" s="54">
        <v>6</v>
      </c>
      <c r="P55" s="718"/>
      <c r="Q55" s="54"/>
      <c r="R55" s="18">
        <v>300</v>
      </c>
      <c r="S55" s="54"/>
      <c r="T55" s="12"/>
      <c r="U55" s="54"/>
      <c r="V55" s="54"/>
      <c r="W55" s="66">
        <f t="shared" ref="W55:W71" si="28">U55+V55</f>
        <v>0</v>
      </c>
      <c r="X55" s="206">
        <v>338</v>
      </c>
      <c r="Y55" s="119">
        <v>4120.6099999999997</v>
      </c>
      <c r="Z55" s="8">
        <f t="shared" si="26"/>
        <v>101400</v>
      </c>
      <c r="AA55" s="122">
        <f t="shared" si="27"/>
        <v>0</v>
      </c>
      <c r="AB55" s="54"/>
    </row>
    <row r="56" spans="1:28" s="73" customFormat="1" x14ac:dyDescent="0.25">
      <c r="A56" s="12" t="s">
        <v>192</v>
      </c>
      <c r="B56" s="12" t="s">
        <v>1941</v>
      </c>
      <c r="C56" s="647"/>
      <c r="D56" s="229"/>
      <c r="E56" s="229"/>
      <c r="F56" s="369">
        <v>7000</v>
      </c>
      <c r="G56" s="648"/>
      <c r="H56" s="650"/>
      <c r="I56" s="649"/>
      <c r="J56" s="649"/>
      <c r="K56" s="121">
        <v>788020</v>
      </c>
      <c r="L56" s="649"/>
      <c r="M56" s="121" t="s">
        <v>263</v>
      </c>
      <c r="N56" s="121" t="s">
        <v>1940</v>
      </c>
      <c r="O56" s="121">
        <v>7</v>
      </c>
      <c r="P56" s="709"/>
      <c r="Q56" s="110"/>
      <c r="R56" s="184">
        <v>30000</v>
      </c>
      <c r="S56" s="184"/>
      <c r="T56" s="651"/>
      <c r="U56" s="184"/>
      <c r="V56" s="229"/>
      <c r="W56" s="66">
        <f t="shared" si="28"/>
        <v>0</v>
      </c>
      <c r="X56" s="648">
        <v>236.98</v>
      </c>
      <c r="Y56" s="119">
        <v>299</v>
      </c>
      <c r="Z56" s="122">
        <f t="shared" si="26"/>
        <v>7109400</v>
      </c>
      <c r="AA56" s="122">
        <f t="shared" si="27"/>
        <v>0</v>
      </c>
      <c r="AB56" s="229"/>
    </row>
    <row r="57" spans="1:28" s="73" customFormat="1" x14ac:dyDescent="0.25">
      <c r="A57" s="12" t="s">
        <v>193</v>
      </c>
      <c r="B57" s="12" t="s">
        <v>194</v>
      </c>
      <c r="C57" s="647"/>
      <c r="D57" s="229"/>
      <c r="E57" s="229"/>
      <c r="F57" s="369">
        <v>9000</v>
      </c>
      <c r="G57" s="648"/>
      <c r="H57" s="650"/>
      <c r="I57" s="649"/>
      <c r="J57" s="649"/>
      <c r="K57" s="121">
        <v>788020</v>
      </c>
      <c r="L57" s="649"/>
      <c r="M57" s="121" t="s">
        <v>1037</v>
      </c>
      <c r="N57" s="121" t="s">
        <v>1940</v>
      </c>
      <c r="O57" s="121">
        <v>8</v>
      </c>
      <c r="P57" s="709"/>
      <c r="Q57" s="110"/>
      <c r="R57" s="184">
        <v>30000</v>
      </c>
      <c r="S57" s="184"/>
      <c r="T57" s="651"/>
      <c r="U57" s="184"/>
      <c r="V57" s="229"/>
      <c r="W57" s="66">
        <f t="shared" si="28"/>
        <v>0</v>
      </c>
      <c r="X57" s="648">
        <v>91.25</v>
      </c>
      <c r="Y57" s="119">
        <v>87.49</v>
      </c>
      <c r="Z57" s="122">
        <f t="shared" si="26"/>
        <v>2737500</v>
      </c>
      <c r="AA57" s="122">
        <f t="shared" si="27"/>
        <v>0</v>
      </c>
      <c r="AB57" s="229"/>
    </row>
    <row r="58" spans="1:28" s="73" customFormat="1" ht="29.25" customHeight="1" x14ac:dyDescent="0.25">
      <c r="A58" s="12" t="s">
        <v>195</v>
      </c>
      <c r="B58" s="12" t="s">
        <v>196</v>
      </c>
      <c r="C58" s="647"/>
      <c r="D58" s="229"/>
      <c r="E58" s="229"/>
      <c r="F58" s="369">
        <v>2000</v>
      </c>
      <c r="G58" s="648"/>
      <c r="H58" s="650"/>
      <c r="I58" s="649"/>
      <c r="J58" s="649"/>
      <c r="K58" s="121">
        <v>788020</v>
      </c>
      <c r="L58" s="649"/>
      <c r="M58" s="121" t="s">
        <v>1942</v>
      </c>
      <c r="N58" s="121" t="s">
        <v>1940</v>
      </c>
      <c r="O58" s="121">
        <v>9</v>
      </c>
      <c r="P58" s="709"/>
      <c r="Q58" s="110"/>
      <c r="R58" s="184">
        <v>6000</v>
      </c>
      <c r="S58" s="184"/>
      <c r="T58" s="651"/>
      <c r="U58" s="184"/>
      <c r="V58" s="229"/>
      <c r="W58" s="66">
        <f t="shared" si="28"/>
        <v>0</v>
      </c>
      <c r="X58" s="648">
        <v>482.1</v>
      </c>
      <c r="Y58" s="119">
        <v>540</v>
      </c>
      <c r="Z58" s="122">
        <f t="shared" si="26"/>
        <v>2892600</v>
      </c>
      <c r="AA58" s="122">
        <f t="shared" si="27"/>
        <v>0</v>
      </c>
      <c r="AB58" s="229"/>
    </row>
    <row r="59" spans="1:28" s="73" customFormat="1" x14ac:dyDescent="0.25">
      <c r="A59" s="12" t="s">
        <v>197</v>
      </c>
      <c r="B59" s="12" t="s">
        <v>198</v>
      </c>
      <c r="C59" s="647"/>
      <c r="D59" s="229"/>
      <c r="E59" s="229"/>
      <c r="F59" s="369">
        <v>8000</v>
      </c>
      <c r="G59" s="648"/>
      <c r="H59" s="650"/>
      <c r="I59" s="649"/>
      <c r="J59" s="649"/>
      <c r="K59" s="121">
        <v>788020</v>
      </c>
      <c r="L59" s="649"/>
      <c r="M59" s="121" t="s">
        <v>263</v>
      </c>
      <c r="N59" s="121" t="s">
        <v>1940</v>
      </c>
      <c r="O59" s="121">
        <v>10</v>
      </c>
      <c r="P59" s="709"/>
      <c r="Q59" s="110"/>
      <c r="R59" s="184">
        <v>15000</v>
      </c>
      <c r="S59" s="184"/>
      <c r="T59" s="651"/>
      <c r="U59" s="184"/>
      <c r="V59" s="229"/>
      <c r="W59" s="66">
        <f t="shared" si="28"/>
        <v>0</v>
      </c>
      <c r="X59" s="648">
        <v>47.59</v>
      </c>
      <c r="Y59" s="119">
        <v>45.99</v>
      </c>
      <c r="Z59" s="122">
        <f t="shared" si="26"/>
        <v>713850</v>
      </c>
      <c r="AA59" s="122">
        <f t="shared" si="27"/>
        <v>0</v>
      </c>
      <c r="AB59" s="229"/>
    </row>
    <row r="60" spans="1:28" s="73" customFormat="1" x14ac:dyDescent="0.25">
      <c r="A60" s="92" t="s">
        <v>199</v>
      </c>
      <c r="B60" s="92" t="s">
        <v>200</v>
      </c>
      <c r="C60" s="704"/>
      <c r="D60" s="585"/>
      <c r="E60" s="585"/>
      <c r="F60" s="705">
        <v>400</v>
      </c>
      <c r="G60" s="706"/>
      <c r="H60" s="707"/>
      <c r="I60" s="690"/>
      <c r="J60" s="690"/>
      <c r="K60" s="245">
        <v>788020</v>
      </c>
      <c r="L60" s="690"/>
      <c r="M60" s="245" t="s">
        <v>894</v>
      </c>
      <c r="N60" s="121" t="s">
        <v>1940</v>
      </c>
      <c r="O60" s="121">
        <v>11</v>
      </c>
      <c r="P60" s="709"/>
      <c r="Q60" s="110"/>
      <c r="R60" s="184">
        <v>500</v>
      </c>
      <c r="S60" s="184"/>
      <c r="T60" s="651"/>
      <c r="U60" s="184"/>
      <c r="V60" s="229"/>
      <c r="W60" s="66">
        <f t="shared" si="28"/>
        <v>0</v>
      </c>
      <c r="X60" s="648">
        <v>48.45</v>
      </c>
      <c r="Y60" s="119">
        <v>82.95</v>
      </c>
      <c r="Z60" s="122">
        <f t="shared" si="26"/>
        <v>24225</v>
      </c>
      <c r="AA60" s="122">
        <f t="shared" si="27"/>
        <v>0</v>
      </c>
      <c r="AB60" s="229"/>
    </row>
    <row r="61" spans="1:28" s="73" customFormat="1" x14ac:dyDescent="0.25">
      <c r="A61" s="92" t="s">
        <v>201</v>
      </c>
      <c r="B61" s="92" t="s">
        <v>202</v>
      </c>
      <c r="C61" s="704"/>
      <c r="D61" s="585"/>
      <c r="E61" s="585"/>
      <c r="F61" s="705">
        <v>1000</v>
      </c>
      <c r="G61" s="706"/>
      <c r="H61" s="707"/>
      <c r="I61" s="690"/>
      <c r="J61" s="690"/>
      <c r="K61" s="245">
        <v>788020</v>
      </c>
      <c r="L61" s="690"/>
      <c r="M61" s="245" t="s">
        <v>129</v>
      </c>
      <c r="N61" s="121" t="s">
        <v>1940</v>
      </c>
      <c r="O61" s="121">
        <v>12</v>
      </c>
      <c r="P61" s="709"/>
      <c r="Q61" s="110"/>
      <c r="R61" s="652">
        <v>6000</v>
      </c>
      <c r="S61" s="652"/>
      <c r="T61" s="651"/>
      <c r="U61" s="184"/>
      <c r="V61" s="229"/>
      <c r="W61" s="66">
        <f t="shared" si="28"/>
        <v>0</v>
      </c>
      <c r="X61" s="648">
        <v>152.44999999999999</v>
      </c>
      <c r="Y61" s="119">
        <v>161.80000000000001</v>
      </c>
      <c r="Z61" s="122">
        <f t="shared" si="26"/>
        <v>914699.99999999988</v>
      </c>
      <c r="AA61" s="122">
        <f t="shared" si="27"/>
        <v>0</v>
      </c>
      <c r="AB61" s="229"/>
    </row>
    <row r="62" spans="1:28" s="116" customFormat="1" x14ac:dyDescent="0.25">
      <c r="A62" s="93" t="s">
        <v>203</v>
      </c>
      <c r="B62" s="93" t="s">
        <v>204</v>
      </c>
      <c r="C62" s="92">
        <v>30</v>
      </c>
      <c r="D62" s="92"/>
      <c r="E62" s="92">
        <v>50</v>
      </c>
      <c r="F62" s="92">
        <v>30</v>
      </c>
      <c r="G62" s="92" t="e">
        <f>VLOOKUP(A62,'[1]yourspreadsheetname (1)'!$A$2:$C$968, 3, FALSE)</f>
        <v>#N/A</v>
      </c>
      <c r="H62" s="92">
        <v>300</v>
      </c>
      <c r="I62" s="92"/>
      <c r="J62" s="92"/>
      <c r="K62" s="245">
        <v>788020</v>
      </c>
      <c r="L62" s="259"/>
      <c r="M62" s="92" t="s">
        <v>285</v>
      </c>
      <c r="N62" s="245" t="s">
        <v>1940</v>
      </c>
      <c r="O62" s="92">
        <v>13</v>
      </c>
      <c r="P62" s="718"/>
      <c r="Q62" s="54"/>
      <c r="R62" s="18">
        <v>120</v>
      </c>
      <c r="S62" s="54"/>
      <c r="T62" s="12"/>
      <c r="U62" s="54"/>
      <c r="V62" s="54"/>
      <c r="W62" s="66">
        <f t="shared" si="28"/>
        <v>0</v>
      </c>
      <c r="X62" s="206">
        <v>1938.54</v>
      </c>
      <c r="Y62" s="119">
        <v>3411.36</v>
      </c>
      <c r="Z62" s="8">
        <f t="shared" si="26"/>
        <v>232624.8</v>
      </c>
      <c r="AA62" s="122">
        <f t="shared" si="27"/>
        <v>0</v>
      </c>
      <c r="AB62" s="54"/>
    </row>
    <row r="63" spans="1:28" s="73" customFormat="1" x14ac:dyDescent="0.25">
      <c r="A63" s="12" t="s">
        <v>205</v>
      </c>
      <c r="B63" s="12" t="s">
        <v>206</v>
      </c>
      <c r="C63" s="647"/>
      <c r="D63" s="229"/>
      <c r="E63" s="229"/>
      <c r="F63" s="369">
        <v>1500</v>
      </c>
      <c r="G63" s="648"/>
      <c r="H63" s="650"/>
      <c r="I63" s="649"/>
      <c r="J63" s="649"/>
      <c r="K63" s="121">
        <v>788020</v>
      </c>
      <c r="L63" s="649"/>
      <c r="M63" s="121" t="s">
        <v>259</v>
      </c>
      <c r="N63" s="121" t="s">
        <v>1940</v>
      </c>
      <c r="O63" s="121">
        <v>14</v>
      </c>
      <c r="P63" s="709"/>
      <c r="Q63" s="110"/>
      <c r="R63" s="184">
        <v>6000</v>
      </c>
      <c r="S63" s="184"/>
      <c r="T63" s="651"/>
      <c r="U63" s="184"/>
      <c r="V63" s="229"/>
      <c r="W63" s="66">
        <f t="shared" si="28"/>
        <v>0</v>
      </c>
      <c r="X63" s="648">
        <v>197.85</v>
      </c>
      <c r="Y63" s="119">
        <v>196.2</v>
      </c>
      <c r="Z63" s="122">
        <f t="shared" si="26"/>
        <v>1187100</v>
      </c>
      <c r="AA63" s="122">
        <f t="shared" si="27"/>
        <v>0</v>
      </c>
      <c r="AB63" s="229"/>
    </row>
    <row r="64" spans="1:28" s="73" customFormat="1" x14ac:dyDescent="0.25">
      <c r="A64" s="12" t="s">
        <v>207</v>
      </c>
      <c r="B64" s="12" t="s">
        <v>208</v>
      </c>
      <c r="C64" s="647"/>
      <c r="D64" s="229"/>
      <c r="E64" s="229"/>
      <c r="F64" s="369">
        <v>2900</v>
      </c>
      <c r="G64" s="648"/>
      <c r="H64" s="650"/>
      <c r="I64" s="649"/>
      <c r="J64" s="649"/>
      <c r="K64" s="121">
        <v>788020</v>
      </c>
      <c r="L64" s="649"/>
      <c r="M64" s="121" t="s">
        <v>263</v>
      </c>
      <c r="N64" s="121" t="s">
        <v>1940</v>
      </c>
      <c r="O64" s="121">
        <v>15</v>
      </c>
      <c r="P64" s="709"/>
      <c r="Q64" s="110"/>
      <c r="R64" s="184">
        <v>6000</v>
      </c>
      <c r="S64" s="184"/>
      <c r="T64" s="651"/>
      <c r="U64" s="184"/>
      <c r="V64" s="229"/>
      <c r="W64" s="66">
        <f t="shared" si="28"/>
        <v>0</v>
      </c>
      <c r="X64" s="648">
        <v>99.99</v>
      </c>
      <c r="Y64" s="119">
        <v>103.99</v>
      </c>
      <c r="Z64" s="122">
        <f t="shared" si="26"/>
        <v>599940</v>
      </c>
      <c r="AA64" s="122">
        <f t="shared" si="27"/>
        <v>0</v>
      </c>
      <c r="AB64" s="229"/>
    </row>
    <row r="65" spans="1:28" s="73" customFormat="1" x14ac:dyDescent="0.25">
      <c r="A65" s="12" t="s">
        <v>209</v>
      </c>
      <c r="B65" s="12" t="s">
        <v>210</v>
      </c>
      <c r="C65" s="647"/>
      <c r="D65" s="229"/>
      <c r="E65" s="229"/>
      <c r="F65" s="369">
        <v>3500</v>
      </c>
      <c r="G65" s="648"/>
      <c r="H65" s="650"/>
      <c r="I65" s="649"/>
      <c r="J65" s="649"/>
      <c r="K65" s="121">
        <v>788020</v>
      </c>
      <c r="L65" s="649"/>
      <c r="M65" s="121" t="s">
        <v>259</v>
      </c>
      <c r="N65" s="121" t="s">
        <v>1940</v>
      </c>
      <c r="O65" s="121">
        <v>16</v>
      </c>
      <c r="P65" s="709"/>
      <c r="Q65" s="110"/>
      <c r="R65" s="184">
        <v>18000</v>
      </c>
      <c r="S65" s="184"/>
      <c r="T65" s="651"/>
      <c r="U65" s="184"/>
      <c r="V65" s="229"/>
      <c r="W65" s="66">
        <f t="shared" si="28"/>
        <v>0</v>
      </c>
      <c r="X65" s="648">
        <v>78</v>
      </c>
      <c r="Y65" s="119">
        <v>80.900000000000006</v>
      </c>
      <c r="Z65" s="122">
        <f t="shared" si="26"/>
        <v>1404000</v>
      </c>
      <c r="AA65" s="122">
        <f t="shared" si="27"/>
        <v>0</v>
      </c>
      <c r="AB65" s="229"/>
    </row>
    <row r="66" spans="1:28" s="73" customFormat="1" x14ac:dyDescent="0.25">
      <c r="A66" s="12" t="s">
        <v>211</v>
      </c>
      <c r="B66" s="12" t="s">
        <v>212</v>
      </c>
      <c r="C66" s="647"/>
      <c r="D66" s="229"/>
      <c r="E66" s="229"/>
      <c r="F66" s="369">
        <v>2000</v>
      </c>
      <c r="G66" s="648"/>
      <c r="H66" s="650"/>
      <c r="I66" s="649"/>
      <c r="J66" s="649"/>
      <c r="K66" s="121">
        <v>788020</v>
      </c>
      <c r="L66" s="649"/>
      <c r="M66" s="121" t="s">
        <v>1037</v>
      </c>
      <c r="N66" s="121" t="s">
        <v>1940</v>
      </c>
      <c r="O66" s="121">
        <v>17</v>
      </c>
      <c r="P66" s="709"/>
      <c r="Q66" s="110"/>
      <c r="R66" s="184">
        <v>3000</v>
      </c>
      <c r="S66" s="184"/>
      <c r="T66" s="651"/>
      <c r="U66" s="184"/>
      <c r="V66" s="229"/>
      <c r="W66" s="66">
        <f t="shared" si="28"/>
        <v>0</v>
      </c>
      <c r="X66" s="648">
        <v>116.5</v>
      </c>
      <c r="Y66" s="119">
        <v>99.99</v>
      </c>
      <c r="Z66" s="122">
        <f t="shared" si="26"/>
        <v>349500</v>
      </c>
      <c r="AA66" s="122">
        <f t="shared" si="27"/>
        <v>0</v>
      </c>
      <c r="AB66" s="229"/>
    </row>
    <row r="67" spans="1:28" s="73" customFormat="1" x14ac:dyDescent="0.25">
      <c r="A67" s="12" t="s">
        <v>213</v>
      </c>
      <c r="B67" s="12" t="s">
        <v>214</v>
      </c>
      <c r="C67" s="647"/>
      <c r="D67" s="229"/>
      <c r="E67" s="229"/>
      <c r="F67" s="369">
        <v>5000</v>
      </c>
      <c r="G67" s="648"/>
      <c r="H67" s="650"/>
      <c r="I67" s="649"/>
      <c r="J67" s="649"/>
      <c r="K67" s="121">
        <v>788020</v>
      </c>
      <c r="L67" s="649"/>
      <c r="M67" s="121" t="s">
        <v>263</v>
      </c>
      <c r="N67" s="121" t="s">
        <v>1940</v>
      </c>
      <c r="O67" s="121">
        <v>18</v>
      </c>
      <c r="P67" s="709"/>
      <c r="Q67" s="110"/>
      <c r="R67" s="184">
        <v>8000</v>
      </c>
      <c r="S67" s="184"/>
      <c r="T67" s="651"/>
      <c r="U67" s="184"/>
      <c r="V67" s="229"/>
      <c r="W67" s="66">
        <f t="shared" si="28"/>
        <v>0</v>
      </c>
      <c r="X67" s="648">
        <v>86.99</v>
      </c>
      <c r="Y67" s="119">
        <v>75.989999999999995</v>
      </c>
      <c r="Z67" s="122">
        <f t="shared" si="26"/>
        <v>695920</v>
      </c>
      <c r="AA67" s="122">
        <f t="shared" si="27"/>
        <v>0</v>
      </c>
      <c r="AB67" s="229"/>
    </row>
    <row r="68" spans="1:28" s="73" customFormat="1" x14ac:dyDescent="0.25">
      <c r="A68" s="92" t="s">
        <v>215</v>
      </c>
      <c r="B68" s="92" t="s">
        <v>216</v>
      </c>
      <c r="C68" s="704"/>
      <c r="D68" s="585"/>
      <c r="E68" s="585"/>
      <c r="F68" s="705">
        <v>15000</v>
      </c>
      <c r="G68" s="706"/>
      <c r="H68" s="707"/>
      <c r="I68" s="690"/>
      <c r="J68" s="690"/>
      <c r="K68" s="245">
        <v>788020</v>
      </c>
      <c r="L68" s="690"/>
      <c r="M68" s="245" t="s">
        <v>259</v>
      </c>
      <c r="N68" s="121" t="s">
        <v>1940</v>
      </c>
      <c r="O68" s="121">
        <v>19</v>
      </c>
      <c r="P68" s="709"/>
      <c r="Q68" s="110"/>
      <c r="R68" s="184">
        <v>20000</v>
      </c>
      <c r="S68" s="184"/>
      <c r="T68" s="651"/>
      <c r="U68" s="184"/>
      <c r="V68" s="229"/>
      <c r="W68" s="66">
        <f t="shared" si="28"/>
        <v>0</v>
      </c>
      <c r="X68" s="648">
        <v>129.09</v>
      </c>
      <c r="Y68" s="119">
        <v>135</v>
      </c>
      <c r="Z68" s="122">
        <f t="shared" si="26"/>
        <v>2581800</v>
      </c>
      <c r="AA68" s="122">
        <f t="shared" si="27"/>
        <v>0</v>
      </c>
      <c r="AB68" s="229"/>
    </row>
    <row r="69" spans="1:28" s="90" customFormat="1" x14ac:dyDescent="0.25">
      <c r="A69" s="259" t="s">
        <v>217</v>
      </c>
      <c r="B69" s="259" t="s">
        <v>218</v>
      </c>
      <c r="C69" s="92">
        <v>2</v>
      </c>
      <c r="D69" s="92"/>
      <c r="E69" s="92">
        <v>2</v>
      </c>
      <c r="F69" s="92">
        <v>2</v>
      </c>
      <c r="G69" s="92" t="e">
        <f>VLOOKUP(A69,'[1]yourspreadsheetname (1)'!$A$2:$C$968, 3, FALSE)</f>
        <v>#N/A</v>
      </c>
      <c r="H69" s="257">
        <v>24</v>
      </c>
      <c r="I69" s="92"/>
      <c r="J69" s="92"/>
      <c r="K69" s="245">
        <v>788020</v>
      </c>
      <c r="L69" s="92"/>
      <c r="M69" s="92" t="s">
        <v>259</v>
      </c>
      <c r="N69" s="121" t="s">
        <v>1940</v>
      </c>
      <c r="O69" s="66">
        <v>20</v>
      </c>
      <c r="P69" s="718"/>
      <c r="Q69" s="54"/>
      <c r="R69" s="66">
        <v>15</v>
      </c>
      <c r="S69" s="223"/>
      <c r="T69" s="223"/>
      <c r="U69" s="12"/>
      <c r="V69" s="12"/>
      <c r="W69" s="66">
        <f t="shared" si="28"/>
        <v>0</v>
      </c>
      <c r="X69" s="144">
        <v>6850</v>
      </c>
      <c r="Y69" s="119">
        <v>8815</v>
      </c>
      <c r="Z69" s="8">
        <f t="shared" si="26"/>
        <v>102750</v>
      </c>
      <c r="AA69" s="122">
        <f t="shared" si="27"/>
        <v>0</v>
      </c>
      <c r="AB69" s="12"/>
    </row>
    <row r="70" spans="1:28" s="73" customFormat="1" x14ac:dyDescent="0.25">
      <c r="A70" s="259" t="s">
        <v>219</v>
      </c>
      <c r="B70" s="559" t="s">
        <v>220</v>
      </c>
      <c r="C70" s="559">
        <v>60</v>
      </c>
      <c r="D70" s="92"/>
      <c r="E70" s="92">
        <v>80</v>
      </c>
      <c r="F70" s="92">
        <v>60</v>
      </c>
      <c r="G70" s="92">
        <f>VLOOKUP(A70,'[1]yourspreadsheetname (1)'!$A$2:$C$968, 3, FALSE)</f>
        <v>0</v>
      </c>
      <c r="H70" s="257">
        <v>480</v>
      </c>
      <c r="I70" s="92"/>
      <c r="J70" s="92"/>
      <c r="K70" s="245">
        <v>788020</v>
      </c>
      <c r="L70" s="92"/>
      <c r="M70" s="92" t="s">
        <v>263</v>
      </c>
      <c r="N70" s="121" t="s">
        <v>1940</v>
      </c>
      <c r="O70" s="54">
        <v>21</v>
      </c>
      <c r="P70" s="716"/>
      <c r="Q70" s="12"/>
      <c r="R70" s="18">
        <f>((F70*15)-G70-I70)/2</f>
        <v>450</v>
      </c>
      <c r="S70" s="223"/>
      <c r="T70" s="223"/>
      <c r="U70" s="223"/>
      <c r="V70" s="12"/>
      <c r="W70" s="66">
        <f t="shared" si="28"/>
        <v>0</v>
      </c>
      <c r="X70" s="144">
        <v>4350</v>
      </c>
      <c r="Y70" s="119">
        <v>25399</v>
      </c>
      <c r="Z70" s="8">
        <f t="shared" ref="Z70" si="29">R70*X70</f>
        <v>1957500</v>
      </c>
      <c r="AA70" s="122">
        <f t="shared" ref="AA70" si="30">W70*Y70</f>
        <v>0</v>
      </c>
      <c r="AB70" s="12"/>
    </row>
    <row r="71" spans="1:28" s="637" customFormat="1" x14ac:dyDescent="0.25">
      <c r="A71" s="81" t="s">
        <v>221</v>
      </c>
      <c r="B71" s="81" t="s">
        <v>222</v>
      </c>
      <c r="C71" s="92"/>
      <c r="D71" s="92"/>
      <c r="E71" s="92">
        <v>1</v>
      </c>
      <c r="F71" s="92">
        <v>90</v>
      </c>
      <c r="G71" s="92">
        <v>0</v>
      </c>
      <c r="H71" s="257">
        <v>1</v>
      </c>
      <c r="I71" s="92"/>
      <c r="J71" s="92"/>
      <c r="K71" s="121">
        <v>788020</v>
      </c>
      <c r="L71" s="54"/>
      <c r="M71" s="54" t="s">
        <v>259</v>
      </c>
      <c r="N71" s="121" t="s">
        <v>1940</v>
      </c>
      <c r="O71" s="66">
        <v>22</v>
      </c>
      <c r="P71" s="719"/>
      <c r="Q71" s="54"/>
      <c r="R71" s="66">
        <v>600</v>
      </c>
      <c r="S71" s="223"/>
      <c r="T71" s="223"/>
      <c r="U71" s="12"/>
      <c r="V71" s="12"/>
      <c r="W71" s="66">
        <f t="shared" si="28"/>
        <v>0</v>
      </c>
      <c r="X71" s="144">
        <v>918</v>
      </c>
      <c r="Y71" s="119">
        <v>852.4</v>
      </c>
      <c r="Z71" s="8">
        <f>R71*X71</f>
        <v>550800</v>
      </c>
      <c r="AA71" s="122">
        <f>W71*Y71</f>
        <v>0</v>
      </c>
      <c r="AB71" s="12"/>
    </row>
    <row r="72" spans="1:28" s="100" customFormat="1" ht="15" customHeight="1" x14ac:dyDescent="0.25">
      <c r="B72" s="180" t="s">
        <v>223</v>
      </c>
      <c r="P72" s="717"/>
      <c r="U72" s="180"/>
      <c r="W72" s="327">
        <f t="shared" si="23"/>
        <v>0</v>
      </c>
      <c r="Z72" s="656">
        <f t="shared" ref="Z72" si="31">R72*X72</f>
        <v>0</v>
      </c>
      <c r="AA72" s="656">
        <f t="shared" ref="AA72" si="32">W72*Y72</f>
        <v>0</v>
      </c>
    </row>
    <row r="73" spans="1:28" s="73" customFormat="1" x14ac:dyDescent="0.25">
      <c r="A73" s="92" t="s">
        <v>224</v>
      </c>
      <c r="B73" s="92" t="s">
        <v>1946</v>
      </c>
      <c r="C73" s="704"/>
      <c r="D73" s="585"/>
      <c r="E73" s="585"/>
      <c r="F73" s="705">
        <v>1600</v>
      </c>
      <c r="G73" s="706"/>
      <c r="H73" s="707"/>
      <c r="I73" s="690"/>
      <c r="J73" s="690"/>
      <c r="K73" s="245">
        <v>788000</v>
      </c>
      <c r="L73" s="690"/>
      <c r="M73" s="245" t="s">
        <v>272</v>
      </c>
      <c r="N73" s="121" t="s">
        <v>1954</v>
      </c>
      <c r="O73" s="121">
        <v>1</v>
      </c>
      <c r="P73" s="709"/>
      <c r="Q73" s="110"/>
      <c r="R73" s="184">
        <v>6000</v>
      </c>
      <c r="S73" s="184"/>
      <c r="T73" s="651"/>
      <c r="U73" s="184"/>
      <c r="V73" s="229"/>
      <c r="W73" s="66">
        <f t="shared" ref="W73:W79" si="33">U73+V73</f>
        <v>0</v>
      </c>
      <c r="X73" s="144">
        <v>988</v>
      </c>
      <c r="Y73" s="144">
        <v>3230.14</v>
      </c>
      <c r="Z73" s="122">
        <f t="shared" ref="Z73:Z79" si="34">R73*X73</f>
        <v>5928000</v>
      </c>
      <c r="AA73" s="122">
        <f>W73*Y73</f>
        <v>0</v>
      </c>
      <c r="AB73" s="229"/>
    </row>
    <row r="74" spans="1:28" s="73" customFormat="1" x14ac:dyDescent="0.25">
      <c r="A74" s="12" t="s">
        <v>225</v>
      </c>
      <c r="B74" s="12" t="s">
        <v>1947</v>
      </c>
      <c r="C74" s="647"/>
      <c r="D74" s="229"/>
      <c r="E74" s="229"/>
      <c r="F74" s="369">
        <v>880</v>
      </c>
      <c r="G74" s="648"/>
      <c r="H74" s="650"/>
      <c r="I74" s="649"/>
      <c r="J74" s="649"/>
      <c r="K74" s="121">
        <v>788000</v>
      </c>
      <c r="L74" s="649"/>
      <c r="M74" s="121" t="s">
        <v>259</v>
      </c>
      <c r="N74" s="121" t="s">
        <v>1954</v>
      </c>
      <c r="O74" s="121">
        <v>2</v>
      </c>
      <c r="P74" s="709"/>
      <c r="Q74" s="110"/>
      <c r="R74" s="184">
        <v>1000</v>
      </c>
      <c r="S74" s="184"/>
      <c r="T74" s="651"/>
      <c r="U74" s="184"/>
      <c r="V74" s="229"/>
      <c r="W74" s="66">
        <f t="shared" si="33"/>
        <v>0</v>
      </c>
      <c r="X74" s="144">
        <v>4130</v>
      </c>
      <c r="Y74" s="144">
        <v>4116</v>
      </c>
      <c r="Z74" s="122">
        <f t="shared" si="34"/>
        <v>4130000</v>
      </c>
      <c r="AA74" s="122">
        <f>W74*Y74</f>
        <v>0</v>
      </c>
      <c r="AB74" s="229"/>
    </row>
    <row r="75" spans="1:28" s="73" customFormat="1" x14ac:dyDescent="0.25">
      <c r="A75" s="12" t="s">
        <v>226</v>
      </c>
      <c r="B75" s="12" t="s">
        <v>1948</v>
      </c>
      <c r="C75" s="647"/>
      <c r="D75" s="229"/>
      <c r="E75" s="229"/>
      <c r="F75" s="369">
        <v>400</v>
      </c>
      <c r="G75" s="648"/>
      <c r="H75" s="650"/>
      <c r="I75" s="649"/>
      <c r="J75" s="649"/>
      <c r="K75" s="121">
        <v>788000</v>
      </c>
      <c r="L75" s="649"/>
      <c r="M75" s="121" t="s">
        <v>1955</v>
      </c>
      <c r="N75" s="121" t="s">
        <v>1954</v>
      </c>
      <c r="O75" s="121">
        <v>3</v>
      </c>
      <c r="P75" s="709"/>
      <c r="Q75" s="110"/>
      <c r="R75" s="184">
        <v>800</v>
      </c>
      <c r="S75" s="184"/>
      <c r="T75" s="651"/>
      <c r="U75" s="184"/>
      <c r="V75" s="229"/>
      <c r="W75" s="66">
        <f t="shared" si="33"/>
        <v>0</v>
      </c>
      <c r="X75" s="144">
        <v>738</v>
      </c>
      <c r="Y75" s="144">
        <v>576</v>
      </c>
      <c r="Z75" s="122">
        <f t="shared" si="34"/>
        <v>590400</v>
      </c>
      <c r="AA75" s="122">
        <f t="shared" ref="AA75:AA79" si="35">W75*Y75</f>
        <v>0</v>
      </c>
      <c r="AB75" s="229"/>
    </row>
    <row r="76" spans="1:28" s="73" customFormat="1" x14ac:dyDescent="0.25">
      <c r="A76" s="12" t="s">
        <v>227</v>
      </c>
      <c r="B76" s="12" t="s">
        <v>1949</v>
      </c>
      <c r="C76" s="647"/>
      <c r="D76" s="229"/>
      <c r="E76" s="229"/>
      <c r="F76" s="369">
        <v>1000</v>
      </c>
      <c r="G76" s="648"/>
      <c r="H76" s="650"/>
      <c r="I76" s="649"/>
      <c r="J76" s="649"/>
      <c r="K76" s="121">
        <v>788000</v>
      </c>
      <c r="L76" s="649"/>
      <c r="M76" s="121" t="s">
        <v>283</v>
      </c>
      <c r="N76" s="121" t="s">
        <v>1954</v>
      </c>
      <c r="O76" s="121">
        <v>4</v>
      </c>
      <c r="P76" s="709"/>
      <c r="Q76" s="110"/>
      <c r="R76" s="184">
        <v>2200</v>
      </c>
      <c r="S76" s="184"/>
      <c r="T76" s="651"/>
      <c r="U76" s="184"/>
      <c r="V76" s="229"/>
      <c r="W76" s="66">
        <f t="shared" si="33"/>
        <v>0</v>
      </c>
      <c r="X76" s="144">
        <v>7345</v>
      </c>
      <c r="Y76" s="144">
        <v>6900</v>
      </c>
      <c r="Z76" s="122">
        <f t="shared" si="34"/>
        <v>16159000</v>
      </c>
      <c r="AA76" s="122">
        <f t="shared" si="35"/>
        <v>0</v>
      </c>
      <c r="AB76" s="229"/>
    </row>
    <row r="77" spans="1:28" s="36" customFormat="1" x14ac:dyDescent="0.25">
      <c r="A77" s="66" t="s">
        <v>228</v>
      </c>
      <c r="B77" s="66" t="s">
        <v>229</v>
      </c>
      <c r="C77" s="66"/>
      <c r="D77" s="66"/>
      <c r="E77" s="66">
        <v>30</v>
      </c>
      <c r="F77" s="66">
        <v>50</v>
      </c>
      <c r="G77" s="171">
        <v>150</v>
      </c>
      <c r="H77" s="66">
        <v>200</v>
      </c>
      <c r="I77" s="66"/>
      <c r="J77" s="173" t="s">
        <v>122</v>
      </c>
      <c r="K77" s="121">
        <v>788000</v>
      </c>
      <c r="L77" s="66"/>
      <c r="M77" s="66" t="s">
        <v>1955</v>
      </c>
      <c r="N77" s="121" t="s">
        <v>1954</v>
      </c>
      <c r="O77" s="66">
        <v>5</v>
      </c>
      <c r="P77" s="713"/>
      <c r="Q77" s="66"/>
      <c r="R77" s="66">
        <v>300</v>
      </c>
      <c r="S77" s="18"/>
      <c r="T77" s="18"/>
      <c r="U77" s="18"/>
      <c r="V77" s="18"/>
      <c r="W77" s="66">
        <f t="shared" si="33"/>
        <v>0</v>
      </c>
      <c r="X77" s="144">
        <v>4175</v>
      </c>
      <c r="Y77" s="144">
        <v>4936</v>
      </c>
      <c r="Z77" s="8">
        <f t="shared" si="34"/>
        <v>1252500</v>
      </c>
      <c r="AA77" s="122">
        <f t="shared" si="35"/>
        <v>0</v>
      </c>
      <c r="AB77" s="18"/>
    </row>
    <row r="78" spans="1:28" s="73" customFormat="1" ht="18" customHeight="1" x14ac:dyDescent="0.25">
      <c r="A78" s="12" t="s">
        <v>230</v>
      </c>
      <c r="B78" s="12" t="s">
        <v>1950</v>
      </c>
      <c r="C78" s="647"/>
      <c r="D78" s="229"/>
      <c r="E78" s="229"/>
      <c r="F78" s="369">
        <v>1500</v>
      </c>
      <c r="G78" s="648"/>
      <c r="H78" s="650"/>
      <c r="I78" s="649"/>
      <c r="J78" s="649"/>
      <c r="K78" s="121">
        <v>788000</v>
      </c>
      <c r="L78" s="649"/>
      <c r="M78" s="66" t="s">
        <v>1955</v>
      </c>
      <c r="N78" s="121" t="s">
        <v>1954</v>
      </c>
      <c r="O78" s="121">
        <v>6</v>
      </c>
      <c r="P78" s="709"/>
      <c r="Q78" s="110"/>
      <c r="R78" s="184">
        <v>5000</v>
      </c>
      <c r="S78" s="184"/>
      <c r="T78" s="651"/>
      <c r="U78" s="184"/>
      <c r="V78" s="229"/>
      <c r="W78" s="66">
        <f t="shared" si="33"/>
        <v>0</v>
      </c>
      <c r="X78" s="144">
        <v>6345</v>
      </c>
      <c r="Y78" s="144">
        <v>6120</v>
      </c>
      <c r="Z78" s="122">
        <f t="shared" si="34"/>
        <v>31725000</v>
      </c>
      <c r="AA78" s="122">
        <f t="shared" si="35"/>
        <v>0</v>
      </c>
      <c r="AB78" s="229"/>
    </row>
    <row r="79" spans="1:28" s="73" customFormat="1" ht="18" customHeight="1" x14ac:dyDescent="0.25">
      <c r="A79" s="12" t="s">
        <v>231</v>
      </c>
      <c r="B79" s="12" t="s">
        <v>1951</v>
      </c>
      <c r="C79" s="647"/>
      <c r="D79" s="229"/>
      <c r="E79" s="229"/>
      <c r="F79" s="369">
        <v>600</v>
      </c>
      <c r="G79" s="648"/>
      <c r="H79" s="650"/>
      <c r="I79" s="649"/>
      <c r="J79" s="649"/>
      <c r="K79" s="121">
        <v>788000</v>
      </c>
      <c r="L79" s="649"/>
      <c r="M79" s="121" t="s">
        <v>283</v>
      </c>
      <c r="N79" s="121" t="s">
        <v>1954</v>
      </c>
      <c r="O79" s="121">
        <v>7</v>
      </c>
      <c r="P79" s="709"/>
      <c r="Q79" s="110"/>
      <c r="R79" s="184">
        <v>1200</v>
      </c>
      <c r="S79" s="184"/>
      <c r="T79" s="651"/>
      <c r="U79" s="184"/>
      <c r="V79" s="229"/>
      <c r="W79" s="66">
        <f t="shared" si="33"/>
        <v>0</v>
      </c>
      <c r="X79" s="144">
        <v>3123</v>
      </c>
      <c r="Y79" s="144">
        <v>4495</v>
      </c>
      <c r="Z79" s="122">
        <f t="shared" si="34"/>
        <v>3747600</v>
      </c>
      <c r="AA79" s="122">
        <f t="shared" si="35"/>
        <v>0</v>
      </c>
      <c r="AB79" s="229"/>
    </row>
    <row r="80" spans="1:28" s="73" customFormat="1" x14ac:dyDescent="0.25">
      <c r="A80" s="12" t="s">
        <v>232</v>
      </c>
      <c r="B80" s="12" t="s">
        <v>1952</v>
      </c>
      <c r="C80" s="647"/>
      <c r="D80" s="229"/>
      <c r="E80" s="229"/>
      <c r="F80" s="369">
        <v>500</v>
      </c>
      <c r="G80" s="648"/>
      <c r="H80" s="650"/>
      <c r="I80" s="649"/>
      <c r="J80" s="649"/>
      <c r="K80" s="121">
        <v>788000</v>
      </c>
      <c r="L80" s="649"/>
      <c r="M80" s="121" t="s">
        <v>1955</v>
      </c>
      <c r="N80" s="121" t="s">
        <v>1954</v>
      </c>
      <c r="O80" s="121">
        <v>8</v>
      </c>
      <c r="P80" s="709"/>
      <c r="Q80" s="110"/>
      <c r="R80" s="184">
        <v>500</v>
      </c>
      <c r="S80" s="184"/>
      <c r="T80" s="651"/>
      <c r="U80" s="184"/>
      <c r="V80" s="229"/>
      <c r="W80" s="66">
        <f t="shared" si="23"/>
        <v>0</v>
      </c>
      <c r="X80" s="144">
        <v>5936.8</v>
      </c>
      <c r="Y80" s="144">
        <v>4800</v>
      </c>
      <c r="Z80" s="122">
        <f t="shared" si="24"/>
        <v>2968400</v>
      </c>
      <c r="AA80" s="122">
        <f t="shared" si="25"/>
        <v>0</v>
      </c>
      <c r="AB80" s="229"/>
    </row>
    <row r="81" spans="1:29" s="73" customFormat="1" x14ac:dyDescent="0.25">
      <c r="A81" s="12" t="s">
        <v>233</v>
      </c>
      <c r="B81" s="12" t="s">
        <v>234</v>
      </c>
      <c r="C81" s="647"/>
      <c r="D81" s="229"/>
      <c r="E81" s="229"/>
      <c r="F81" s="369">
        <v>500</v>
      </c>
      <c r="G81" s="648"/>
      <c r="H81" s="650"/>
      <c r="I81" s="649"/>
      <c r="J81" s="649"/>
      <c r="K81" s="121">
        <v>788000</v>
      </c>
      <c r="L81" s="649"/>
      <c r="M81" s="121" t="s">
        <v>688</v>
      </c>
      <c r="N81" s="121" t="s">
        <v>1954</v>
      </c>
      <c r="O81" s="121">
        <v>9</v>
      </c>
      <c r="P81" s="709"/>
      <c r="Q81" s="110"/>
      <c r="R81" s="652">
        <v>500</v>
      </c>
      <c r="S81" s="652"/>
      <c r="T81" s="651"/>
      <c r="U81" s="184"/>
      <c r="V81" s="229"/>
      <c r="W81" s="66">
        <f>U81+V81</f>
        <v>0</v>
      </c>
      <c r="X81" s="144">
        <v>17800</v>
      </c>
      <c r="Y81" s="144">
        <v>25999</v>
      </c>
      <c r="Z81" s="122">
        <f t="shared" ref="Z81" si="36">R81*X81</f>
        <v>8900000</v>
      </c>
      <c r="AA81" s="122">
        <f t="shared" ref="AA81" si="37">W81*Y81</f>
        <v>0</v>
      </c>
      <c r="AB81" s="229"/>
    </row>
    <row r="82" spans="1:29" s="73" customFormat="1" x14ac:dyDescent="0.25">
      <c r="A82" s="12" t="s">
        <v>235</v>
      </c>
      <c r="B82" s="12" t="s">
        <v>1953</v>
      </c>
      <c r="C82" s="647"/>
      <c r="D82" s="229"/>
      <c r="E82" s="229"/>
      <c r="F82" s="369">
        <v>1500</v>
      </c>
      <c r="G82" s="648"/>
      <c r="H82" s="650"/>
      <c r="I82" s="649"/>
      <c r="J82" s="649"/>
      <c r="K82" s="121">
        <v>788000</v>
      </c>
      <c r="L82" s="649"/>
      <c r="M82" s="121" t="s">
        <v>1955</v>
      </c>
      <c r="N82" s="121" t="s">
        <v>1954</v>
      </c>
      <c r="O82" s="121">
        <v>10</v>
      </c>
      <c r="P82" s="709"/>
      <c r="Q82" s="110"/>
      <c r="R82" s="184">
        <v>1000</v>
      </c>
      <c r="S82" s="184"/>
      <c r="T82" s="651"/>
      <c r="U82" s="184"/>
      <c r="V82" s="229"/>
      <c r="W82" s="66">
        <f t="shared" si="23"/>
        <v>0</v>
      </c>
      <c r="X82" s="144">
        <v>3898</v>
      </c>
      <c r="Y82" s="144">
        <v>3278</v>
      </c>
      <c r="Z82" s="122">
        <f t="shared" si="24"/>
        <v>3898000</v>
      </c>
      <c r="AA82" s="122">
        <f t="shared" si="25"/>
        <v>0</v>
      </c>
      <c r="AB82" s="229"/>
    </row>
    <row r="83" spans="1:29" s="4" customFormat="1" x14ac:dyDescent="0.25">
      <c r="A83" s="92" t="s">
        <v>236</v>
      </c>
      <c r="B83" s="92" t="s">
        <v>237</v>
      </c>
      <c r="C83" s="92"/>
      <c r="D83" s="92"/>
      <c r="E83" s="92">
        <v>5</v>
      </c>
      <c r="F83" s="92">
        <v>3</v>
      </c>
      <c r="G83" s="92" t="e">
        <f>VLOOKUP(A83,'[1]yourspreadsheetname (1)'!$A$2:$C$968, 3, FALSE)</f>
        <v>#N/A</v>
      </c>
      <c r="H83" s="257">
        <v>46</v>
      </c>
      <c r="I83" s="92"/>
      <c r="J83" s="92"/>
      <c r="K83" s="245">
        <v>788000</v>
      </c>
      <c r="L83" s="92"/>
      <c r="M83" s="92" t="s">
        <v>285</v>
      </c>
      <c r="N83" s="121" t="s">
        <v>1954</v>
      </c>
      <c r="O83" s="66">
        <v>11</v>
      </c>
      <c r="P83" s="718"/>
      <c r="Q83" s="96"/>
      <c r="R83" s="66">
        <v>15</v>
      </c>
      <c r="S83" s="12"/>
      <c r="T83" s="12"/>
      <c r="U83" s="12"/>
      <c r="V83" s="29"/>
      <c r="W83" s="66">
        <f>U83+V83</f>
        <v>0</v>
      </c>
      <c r="X83" s="144">
        <v>43752</v>
      </c>
      <c r="Y83" s="144">
        <v>98096.88</v>
      </c>
      <c r="Z83" s="8">
        <f>R83*X83</f>
        <v>656280</v>
      </c>
      <c r="AA83" s="122">
        <f>W83*Y83</f>
        <v>0</v>
      </c>
      <c r="AB83" s="29"/>
    </row>
    <row r="84" spans="1:29" x14ac:dyDescent="0.25">
      <c r="A84" s="56" t="s">
        <v>238</v>
      </c>
      <c r="B84" s="56" t="s">
        <v>239</v>
      </c>
      <c r="C84" s="56">
        <v>56</v>
      </c>
      <c r="D84" s="441">
        <v>120</v>
      </c>
      <c r="E84" s="441">
        <v>100</v>
      </c>
      <c r="F84" s="441">
        <v>120</v>
      </c>
      <c r="G84" s="445">
        <v>492</v>
      </c>
      <c r="H84" s="55">
        <v>600</v>
      </c>
      <c r="I84" s="446">
        <v>0</v>
      </c>
      <c r="J84" s="250" t="s">
        <v>122</v>
      </c>
      <c r="K84" s="245">
        <v>788000</v>
      </c>
      <c r="L84" s="447"/>
      <c r="M84" s="450" t="s">
        <v>1955</v>
      </c>
      <c r="N84" s="245" t="s">
        <v>1954</v>
      </c>
      <c r="O84" s="66">
        <v>12</v>
      </c>
      <c r="P84" s="720"/>
      <c r="Q84" s="532"/>
      <c r="R84" s="66">
        <v>500</v>
      </c>
      <c r="S84" s="39"/>
      <c r="T84" s="39"/>
      <c r="U84" s="107"/>
      <c r="V84" s="673"/>
      <c r="W84" s="66">
        <f>U84+V84</f>
        <v>0</v>
      </c>
      <c r="X84" s="144">
        <v>592.6</v>
      </c>
      <c r="Y84" s="144">
        <v>818.42</v>
      </c>
      <c r="Z84" s="8">
        <f>R84*X84</f>
        <v>296300</v>
      </c>
      <c r="AA84" s="122">
        <f>W84*Y84</f>
        <v>0</v>
      </c>
      <c r="AB84" s="7"/>
    </row>
    <row r="85" spans="1:29" s="642" customFormat="1" ht="15" customHeight="1" x14ac:dyDescent="0.25">
      <c r="B85" s="654" t="s">
        <v>240</v>
      </c>
      <c r="P85" s="710"/>
      <c r="U85" s="654"/>
      <c r="W85" s="327">
        <f t="shared" si="23"/>
        <v>0</v>
      </c>
      <c r="Z85" s="331">
        <f t="shared" si="24"/>
        <v>0</v>
      </c>
      <c r="AA85" s="374">
        <f t="shared" si="25"/>
        <v>0</v>
      </c>
    </row>
    <row r="86" spans="1:29" s="73" customFormat="1" ht="26.65" customHeight="1" x14ac:dyDescent="0.25">
      <c r="A86" s="92" t="s">
        <v>241</v>
      </c>
      <c r="B86" s="92" t="s">
        <v>242</v>
      </c>
      <c r="C86" s="704"/>
      <c r="D86" s="585"/>
      <c r="E86" s="585"/>
      <c r="F86" s="705">
        <v>800</v>
      </c>
      <c r="G86" s="706"/>
      <c r="H86" s="707"/>
      <c r="I86" s="690"/>
      <c r="J86" s="690"/>
      <c r="K86" s="245">
        <v>787124</v>
      </c>
      <c r="L86" s="690"/>
      <c r="M86" s="245" t="s">
        <v>283</v>
      </c>
      <c r="N86" s="121" t="s">
        <v>1936</v>
      </c>
      <c r="O86" s="121">
        <v>1</v>
      </c>
      <c r="P86" s="709"/>
      <c r="Q86" s="110"/>
      <c r="R86" s="184">
        <v>2000</v>
      </c>
      <c r="S86" s="184">
        <v>1000</v>
      </c>
      <c r="T86" s="651"/>
      <c r="U86" s="184"/>
      <c r="V86" s="229"/>
      <c r="W86" s="66">
        <f>U86+V86</f>
        <v>0</v>
      </c>
      <c r="X86" s="648">
        <v>2233.1</v>
      </c>
      <c r="Y86" s="8">
        <v>3189</v>
      </c>
      <c r="Z86" s="122">
        <f>R86*X86</f>
        <v>4466200</v>
      </c>
      <c r="AA86" s="122">
        <f>W86*Y86</f>
        <v>0</v>
      </c>
      <c r="AB86" s="229"/>
    </row>
    <row r="87" spans="1:29" s="73" customFormat="1" ht="26.65" customHeight="1" x14ac:dyDescent="0.25">
      <c r="A87" s="12" t="s">
        <v>243</v>
      </c>
      <c r="B87" s="12" t="s">
        <v>244</v>
      </c>
      <c r="C87" s="647"/>
      <c r="D87" s="229"/>
      <c r="E87" s="229"/>
      <c r="F87" s="369">
        <v>18000</v>
      </c>
      <c r="G87" s="648"/>
      <c r="H87" s="650"/>
      <c r="I87" s="649"/>
      <c r="J87" s="649"/>
      <c r="K87" s="121">
        <v>787124</v>
      </c>
      <c r="L87" s="649"/>
      <c r="M87" s="121" t="s">
        <v>283</v>
      </c>
      <c r="N87" s="121" t="s">
        <v>1936</v>
      </c>
      <c r="O87" s="121">
        <v>2</v>
      </c>
      <c r="P87" s="709" t="s">
        <v>1960</v>
      </c>
      <c r="Q87" s="110"/>
      <c r="R87" s="184">
        <v>90000</v>
      </c>
      <c r="S87" s="184">
        <v>45000</v>
      </c>
      <c r="T87" s="651"/>
      <c r="U87" s="184">
        <v>45000</v>
      </c>
      <c r="V87" s="229"/>
      <c r="W87" s="66">
        <f t="shared" si="23"/>
        <v>45000</v>
      </c>
      <c r="X87" s="648">
        <v>2251</v>
      </c>
      <c r="Y87" s="8">
        <v>2689</v>
      </c>
      <c r="Z87" s="122">
        <f t="shared" si="24"/>
        <v>202590000</v>
      </c>
      <c r="AA87" s="122">
        <f t="shared" si="25"/>
        <v>121005000</v>
      </c>
      <c r="AB87" s="229"/>
    </row>
    <row r="88" spans="1:29" s="73" customFormat="1" ht="18" customHeight="1" x14ac:dyDescent="0.25">
      <c r="A88" s="12" t="s">
        <v>245</v>
      </c>
      <c r="B88" s="12" t="s">
        <v>246</v>
      </c>
      <c r="C88" s="647"/>
      <c r="D88" s="229"/>
      <c r="E88" s="229"/>
      <c r="F88" s="369">
        <v>2500</v>
      </c>
      <c r="G88" s="648"/>
      <c r="H88" s="650"/>
      <c r="I88" s="649"/>
      <c r="J88" s="649"/>
      <c r="K88" s="121">
        <v>787124</v>
      </c>
      <c r="L88" s="649"/>
      <c r="M88" s="121" t="s">
        <v>283</v>
      </c>
      <c r="N88" s="121" t="s">
        <v>1936</v>
      </c>
      <c r="O88" s="121">
        <v>3</v>
      </c>
      <c r="P88" s="709" t="s">
        <v>1960</v>
      </c>
      <c r="Q88" s="110"/>
      <c r="R88" s="184">
        <v>4000</v>
      </c>
      <c r="S88" s="184">
        <v>2000</v>
      </c>
      <c r="T88" s="651"/>
      <c r="U88" s="184">
        <v>2000</v>
      </c>
      <c r="V88" s="229"/>
      <c r="W88" s="66">
        <f t="shared" si="23"/>
        <v>2000</v>
      </c>
      <c r="X88" s="648">
        <v>2647</v>
      </c>
      <c r="Y88" s="8">
        <v>3245</v>
      </c>
      <c r="Z88" s="122">
        <f t="shared" si="24"/>
        <v>10588000</v>
      </c>
      <c r="AA88" s="122">
        <f t="shared" si="25"/>
        <v>6490000</v>
      </c>
      <c r="AB88" s="229"/>
    </row>
    <row r="89" spans="1:29" s="655" customFormat="1" x14ac:dyDescent="0.25">
      <c r="A89" s="55" t="s">
        <v>247</v>
      </c>
      <c r="B89" s="92" t="s">
        <v>248</v>
      </c>
      <c r="C89" s="55">
        <v>40</v>
      </c>
      <c r="D89" s="55"/>
      <c r="E89" s="55">
        <v>90</v>
      </c>
      <c r="F89" s="55">
        <v>150</v>
      </c>
      <c r="G89" s="92">
        <v>600</v>
      </c>
      <c r="H89" s="56">
        <v>900</v>
      </c>
      <c r="I89" s="55">
        <v>200</v>
      </c>
      <c r="J89" s="55" t="s">
        <v>122</v>
      </c>
      <c r="K89" s="245">
        <v>787124</v>
      </c>
      <c r="L89" s="690"/>
      <c r="M89" s="245" t="s">
        <v>285</v>
      </c>
      <c r="N89" s="121" t="s">
        <v>1936</v>
      </c>
      <c r="O89" s="66">
        <v>4</v>
      </c>
      <c r="P89" s="720"/>
      <c r="Q89" s="6"/>
      <c r="R89" s="18">
        <v>700</v>
      </c>
      <c r="S89" s="18"/>
      <c r="T89" s="18"/>
      <c r="U89" s="18"/>
      <c r="V89" s="6"/>
      <c r="W89" s="66">
        <f t="shared" si="23"/>
        <v>0</v>
      </c>
      <c r="X89" s="47">
        <v>5970</v>
      </c>
      <c r="Y89" s="8"/>
      <c r="Z89" s="8">
        <f t="shared" si="24"/>
        <v>4179000</v>
      </c>
      <c r="AA89" s="122">
        <f t="shared" si="25"/>
        <v>0</v>
      </c>
      <c r="AB89" s="31"/>
      <c r="AC89" s="680"/>
    </row>
    <row r="90" spans="1:29" s="655" customFormat="1" x14ac:dyDescent="0.25">
      <c r="A90" s="657" t="s">
        <v>249</v>
      </c>
      <c r="B90" s="657" t="s">
        <v>250</v>
      </c>
      <c r="C90" s="658"/>
      <c r="D90" s="657"/>
      <c r="E90" s="657">
        <v>10</v>
      </c>
      <c r="F90" s="657">
        <v>10</v>
      </c>
      <c r="G90" s="92">
        <v>60</v>
      </c>
      <c r="H90" s="56">
        <v>120</v>
      </c>
      <c r="I90" s="55"/>
      <c r="J90" s="55" t="s">
        <v>122</v>
      </c>
      <c r="K90" s="121">
        <v>787124</v>
      </c>
      <c r="L90" s="649"/>
      <c r="M90" s="121" t="s">
        <v>283</v>
      </c>
      <c r="N90" s="121" t="s">
        <v>1936</v>
      </c>
      <c r="O90" s="66">
        <v>5</v>
      </c>
      <c r="P90" s="713" t="s">
        <v>1960</v>
      </c>
      <c r="Q90" s="18"/>
      <c r="R90" s="18">
        <v>50</v>
      </c>
      <c r="S90" s="18">
        <v>25</v>
      </c>
      <c r="T90" s="18"/>
      <c r="U90" s="18">
        <v>25</v>
      </c>
      <c r="V90" s="6"/>
      <c r="W90" s="66">
        <f t="shared" si="23"/>
        <v>25</v>
      </c>
      <c r="X90" s="47">
        <v>3606.4</v>
      </c>
      <c r="Y90" s="8">
        <v>8965</v>
      </c>
      <c r="Z90" s="8">
        <f t="shared" si="24"/>
        <v>180320</v>
      </c>
      <c r="AA90" s="122">
        <f t="shared" si="25"/>
        <v>224125</v>
      </c>
      <c r="AB90" s="31"/>
      <c r="AC90" s="680"/>
    </row>
    <row r="91" spans="1:29" x14ac:dyDescent="0.25">
      <c r="A91" s="503" t="s">
        <v>251</v>
      </c>
      <c r="B91" s="92" t="s">
        <v>252</v>
      </c>
      <c r="C91" s="56">
        <v>150</v>
      </c>
      <c r="D91" s="429"/>
      <c r="E91" s="429">
        <v>100</v>
      </c>
      <c r="F91" s="429">
        <v>90</v>
      </c>
      <c r="G91" s="92">
        <v>560</v>
      </c>
      <c r="H91" s="56">
        <v>300</v>
      </c>
      <c r="I91" s="429">
        <v>0</v>
      </c>
      <c r="J91" s="55" t="s">
        <v>122</v>
      </c>
      <c r="K91" s="245">
        <v>787124</v>
      </c>
      <c r="L91" s="690"/>
      <c r="M91" s="245" t="s">
        <v>283</v>
      </c>
      <c r="N91" s="121" t="s">
        <v>1936</v>
      </c>
      <c r="O91" s="62">
        <v>6</v>
      </c>
      <c r="P91" s="720"/>
      <c r="Q91" s="18"/>
      <c r="R91" s="18">
        <v>400</v>
      </c>
      <c r="S91" s="18">
        <v>200</v>
      </c>
      <c r="T91" s="18"/>
      <c r="U91" s="18"/>
      <c r="V91" s="18"/>
      <c r="W91" s="66">
        <f t="shared" si="23"/>
        <v>0</v>
      </c>
      <c r="X91" s="47">
        <v>2999</v>
      </c>
      <c r="Y91" s="9">
        <v>11400</v>
      </c>
      <c r="Z91" s="8">
        <f t="shared" si="24"/>
        <v>1199600</v>
      </c>
      <c r="AA91" s="122">
        <f t="shared" si="25"/>
        <v>0</v>
      </c>
      <c r="AB91" s="31"/>
    </row>
    <row r="92" spans="1:29" s="642" customFormat="1" ht="15" customHeight="1" x14ac:dyDescent="0.25">
      <c r="B92" s="654" t="s">
        <v>253</v>
      </c>
      <c r="P92" s="710"/>
      <c r="U92" s="654"/>
      <c r="W92" s="66">
        <f t="shared" si="23"/>
        <v>0</v>
      </c>
      <c r="Z92" s="331">
        <f t="shared" ref="Z92" si="38">R92*X92</f>
        <v>0</v>
      </c>
      <c r="AA92" s="374">
        <f t="shared" ref="AA92" si="39">W92*Y92</f>
        <v>0</v>
      </c>
    </row>
    <row r="93" spans="1:29" s="1" customFormat="1" ht="89.25" customHeight="1" x14ac:dyDescent="0.25">
      <c r="A93" s="12" t="s">
        <v>254</v>
      </c>
      <c r="B93" s="12" t="s">
        <v>255</v>
      </c>
      <c r="P93" s="721"/>
      <c r="R93" s="1">
        <v>0</v>
      </c>
      <c r="W93" s="66">
        <f t="shared" si="23"/>
        <v>0</v>
      </c>
      <c r="X93" s="283">
        <v>394000</v>
      </c>
      <c r="Y93" s="283"/>
      <c r="Z93" s="122">
        <f t="shared" ref="Z93" si="40">R93*X93</f>
        <v>0</v>
      </c>
      <c r="AA93" s="122">
        <f>W93*Y93</f>
        <v>0</v>
      </c>
    </row>
    <row r="94" spans="1:29" s="73" customFormat="1" ht="15" customHeight="1" x14ac:dyDescent="0.25">
      <c r="B94" s="97"/>
      <c r="P94" s="722"/>
      <c r="U94" s="97"/>
      <c r="Z94" s="653">
        <f>SUM(Z3:Z93)</f>
        <v>503460345.40000004</v>
      </c>
    </row>
    <row r="95" spans="1:29" s="642" customFormat="1" ht="15" customHeight="1" x14ac:dyDescent="0.25">
      <c r="A95" s="332"/>
      <c r="B95" s="434" t="s">
        <v>256</v>
      </c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723"/>
      <c r="Q95" s="332"/>
      <c r="R95" s="332"/>
      <c r="S95" s="332"/>
      <c r="T95" s="332"/>
      <c r="U95" s="434"/>
      <c r="V95" s="332"/>
      <c r="W95" s="66">
        <f t="shared" ref="W95" si="41">U95+V95</f>
        <v>0</v>
      </c>
      <c r="X95" s="332"/>
      <c r="Y95" s="332"/>
      <c r="Z95" s="331">
        <f t="shared" ref="Z95" si="42">R95*X95</f>
        <v>0</v>
      </c>
      <c r="AA95" s="374">
        <f t="shared" ref="AA95" si="43">W95*Y95</f>
        <v>0</v>
      </c>
      <c r="AB95" s="332"/>
    </row>
    <row r="96" spans="1:29" s="132" customFormat="1" x14ac:dyDescent="0.25">
      <c r="A96" s="66" t="s">
        <v>273</v>
      </c>
      <c r="B96" s="54" t="s">
        <v>274</v>
      </c>
      <c r="C96" s="54">
        <v>20</v>
      </c>
      <c r="D96" s="66">
        <v>20</v>
      </c>
      <c r="E96" s="66">
        <v>40</v>
      </c>
      <c r="F96" s="66">
        <v>60</v>
      </c>
      <c r="G96" s="54">
        <f>VLOOKUP(A96,'[1]yourspreadsheetname (1)'!$A$2:$C$968, 3, FALSE)</f>
        <v>200</v>
      </c>
      <c r="H96" s="66">
        <v>490</v>
      </c>
      <c r="I96" s="66">
        <v>50</v>
      </c>
      <c r="J96" s="173" t="s">
        <v>122</v>
      </c>
      <c r="K96" s="121">
        <v>792458</v>
      </c>
      <c r="L96" s="66"/>
      <c r="M96" s="66" t="s">
        <v>1939</v>
      </c>
      <c r="N96" s="64" t="s">
        <v>1938</v>
      </c>
      <c r="O96" s="66">
        <v>1</v>
      </c>
      <c r="P96" s="715" t="s">
        <v>958</v>
      </c>
      <c r="Q96" s="18"/>
      <c r="R96" s="66">
        <v>300</v>
      </c>
      <c r="S96" s="18"/>
      <c r="T96" s="66"/>
      <c r="U96" s="66">
        <v>300</v>
      </c>
      <c r="V96" s="54"/>
      <c r="W96" s="66">
        <f>U96+V96</f>
        <v>300</v>
      </c>
      <c r="X96" s="153">
        <v>22260</v>
      </c>
      <c r="Y96" s="117">
        <v>35500</v>
      </c>
      <c r="Z96" s="8">
        <f>R96*X96</f>
        <v>6678000</v>
      </c>
      <c r="AA96" s="122">
        <f>W96*Y96</f>
        <v>10650000</v>
      </c>
      <c r="AB96" s="18"/>
    </row>
    <row r="98" spans="1:28" s="680" customFormat="1" ht="30.75" customHeight="1" x14ac:dyDescent="0.25">
      <c r="A98" s="731" t="s">
        <v>1803</v>
      </c>
      <c r="B98" s="731" t="s">
        <v>1804</v>
      </c>
      <c r="C98" s="658"/>
      <c r="D98" s="657">
        <v>400</v>
      </c>
      <c r="E98" s="657">
        <v>240</v>
      </c>
      <c r="F98" s="657">
        <v>240</v>
      </c>
      <c r="G98" s="658">
        <f>VLOOKUP(A98,'[1]yourspreadsheetname (1)'!$A$2:$C$968, 3, FALSE)</f>
        <v>1400</v>
      </c>
      <c r="H98" s="657">
        <v>1500</v>
      </c>
      <c r="I98" s="657"/>
      <c r="J98" s="660"/>
      <c r="K98" s="732">
        <v>801613</v>
      </c>
      <c r="L98" s="660"/>
      <c r="M98" s="660"/>
      <c r="N98" s="733"/>
      <c r="O98" s="66"/>
      <c r="P98" s="727"/>
      <c r="Q98" s="63"/>
      <c r="R98" s="237">
        <v>1000</v>
      </c>
      <c r="S98" s="66"/>
      <c r="T98" s="66"/>
      <c r="U98" s="18"/>
      <c r="V98" s="6"/>
      <c r="W98" s="18">
        <f t="shared" ref="W98" si="44">U98+V98</f>
        <v>0</v>
      </c>
      <c r="X98" s="47">
        <v>1700</v>
      </c>
      <c r="Y98" s="8">
        <v>1800</v>
      </c>
      <c r="Z98" s="9">
        <f t="shared" ref="Z98" si="45">R98*X98</f>
        <v>1700000</v>
      </c>
      <c r="AA98" s="9">
        <f t="shared" ref="AA98" si="46">W98*Y98</f>
        <v>0</v>
      </c>
      <c r="AB98" s="6"/>
    </row>
    <row r="99" spans="1:28" s="680" customFormat="1" ht="23.25" customHeight="1" x14ac:dyDescent="0.25">
      <c r="A99" s="657" t="s">
        <v>1961</v>
      </c>
      <c r="B99" s="658" t="s">
        <v>401</v>
      </c>
      <c r="C99" s="657">
        <v>450</v>
      </c>
      <c r="D99" s="657"/>
      <c r="E99" s="657">
        <v>600</v>
      </c>
      <c r="F99" s="657">
        <v>900</v>
      </c>
      <c r="G99" s="657">
        <v>500</v>
      </c>
      <c r="H99" s="657">
        <v>7200</v>
      </c>
      <c r="I99" s="657">
        <v>3600</v>
      </c>
      <c r="J99" s="657" t="s">
        <v>122</v>
      </c>
      <c r="K99" s="657">
        <v>801616</v>
      </c>
      <c r="L99" s="657"/>
      <c r="M99" s="657"/>
      <c r="N99" s="734"/>
      <c r="O99" s="7"/>
      <c r="P99" s="714"/>
      <c r="Q99" s="18"/>
      <c r="R99" s="18">
        <v>4000</v>
      </c>
      <c r="S99" s="12"/>
      <c r="T99" s="18"/>
      <c r="U99" s="18"/>
      <c r="V99" s="18"/>
      <c r="W99" s="66">
        <f t="shared" ref="W99" si="47">U99+V99</f>
        <v>0</v>
      </c>
      <c r="X99" s="8">
        <v>2136</v>
      </c>
      <c r="Y99" s="8">
        <v>2988</v>
      </c>
      <c r="Z99" s="8">
        <f>Y99*R99</f>
        <v>11952000</v>
      </c>
      <c r="AA99" s="122">
        <f t="shared" ref="AA99" si="48">W99*Y99</f>
        <v>0</v>
      </c>
      <c r="AB99" s="18"/>
    </row>
    <row r="100" spans="1:28" s="73" customFormat="1" ht="26.65" customHeight="1" x14ac:dyDescent="0.25">
      <c r="A100" s="658" t="s">
        <v>1962</v>
      </c>
      <c r="B100" s="658" t="s">
        <v>242</v>
      </c>
      <c r="C100" s="735"/>
      <c r="D100" s="736"/>
      <c r="E100" s="736"/>
      <c r="F100" s="737">
        <v>800</v>
      </c>
      <c r="G100" s="738"/>
      <c r="H100" s="739"/>
      <c r="I100" s="740"/>
      <c r="J100" s="740"/>
      <c r="K100" s="741">
        <v>801616</v>
      </c>
      <c r="L100" s="740"/>
      <c r="M100" s="741"/>
      <c r="N100" s="741"/>
      <c r="O100" s="121"/>
      <c r="P100" s="709"/>
      <c r="Q100" s="110"/>
      <c r="R100" s="184">
        <v>2000</v>
      </c>
      <c r="S100" s="184"/>
      <c r="T100" s="651"/>
      <c r="U100" s="184"/>
      <c r="V100" s="229"/>
      <c r="W100" s="66">
        <f>U100+V100</f>
        <v>0</v>
      </c>
      <c r="X100" s="648">
        <v>2233.1</v>
      </c>
      <c r="Y100" s="8">
        <v>3189</v>
      </c>
      <c r="Z100" s="8">
        <f t="shared" ref="Z100:Z106" si="49">Y100*R100</f>
        <v>6378000</v>
      </c>
      <c r="AA100" s="122">
        <f>W100*Y100</f>
        <v>0</v>
      </c>
      <c r="AB100" s="229"/>
    </row>
    <row r="101" spans="1:28" s="680" customFormat="1" x14ac:dyDescent="0.25">
      <c r="A101" s="657" t="s">
        <v>247</v>
      </c>
      <c r="B101" s="658" t="s">
        <v>248</v>
      </c>
      <c r="C101" s="657">
        <v>40</v>
      </c>
      <c r="D101" s="657"/>
      <c r="E101" s="657">
        <v>90</v>
      </c>
      <c r="F101" s="657">
        <v>150</v>
      </c>
      <c r="G101" s="658">
        <v>600</v>
      </c>
      <c r="H101" s="660">
        <v>900</v>
      </c>
      <c r="I101" s="657">
        <v>200</v>
      </c>
      <c r="J101" s="657" t="s">
        <v>122</v>
      </c>
      <c r="K101" s="741">
        <v>801616</v>
      </c>
      <c r="L101" s="740"/>
      <c r="M101" s="741"/>
      <c r="N101" s="741"/>
      <c r="O101" s="66"/>
      <c r="P101" s="720"/>
      <c r="Q101" s="6"/>
      <c r="R101" s="18">
        <v>400</v>
      </c>
      <c r="S101" s="18"/>
      <c r="T101" s="18"/>
      <c r="U101" s="18"/>
      <c r="V101" s="6"/>
      <c r="W101" s="66">
        <f t="shared" ref="W101:W102" si="50">U101+V101</f>
        <v>0</v>
      </c>
      <c r="X101" s="47">
        <v>5970</v>
      </c>
      <c r="Y101" s="8">
        <v>11000</v>
      </c>
      <c r="Z101" s="8">
        <f t="shared" si="49"/>
        <v>4400000</v>
      </c>
      <c r="AA101" s="122">
        <f t="shared" ref="AA101:AA102" si="51">W101*Y101</f>
        <v>0</v>
      </c>
      <c r="AB101" s="31"/>
    </row>
    <row r="102" spans="1:28" x14ac:dyDescent="0.25">
      <c r="A102" s="659" t="s">
        <v>251</v>
      </c>
      <c r="B102" s="658" t="s">
        <v>252</v>
      </c>
      <c r="C102" s="660">
        <v>150</v>
      </c>
      <c r="D102" s="661"/>
      <c r="E102" s="661">
        <v>100</v>
      </c>
      <c r="F102" s="661">
        <v>90</v>
      </c>
      <c r="G102" s="658">
        <v>560</v>
      </c>
      <c r="H102" s="660">
        <v>300</v>
      </c>
      <c r="I102" s="661">
        <v>0</v>
      </c>
      <c r="J102" s="657" t="s">
        <v>122</v>
      </c>
      <c r="K102" s="741">
        <v>801616</v>
      </c>
      <c r="L102" s="740"/>
      <c r="M102" s="741"/>
      <c r="N102" s="741"/>
      <c r="O102" s="62"/>
      <c r="P102" s="720"/>
      <c r="Q102" s="18"/>
      <c r="R102" s="18">
        <v>200</v>
      </c>
      <c r="S102" s="18"/>
      <c r="T102" s="18"/>
      <c r="U102" s="18"/>
      <c r="V102" s="18"/>
      <c r="W102" s="66">
        <f t="shared" si="50"/>
        <v>0</v>
      </c>
      <c r="X102" s="47">
        <v>2999</v>
      </c>
      <c r="Y102" s="9">
        <v>11400</v>
      </c>
      <c r="Z102" s="8">
        <f t="shared" si="49"/>
        <v>2280000</v>
      </c>
      <c r="AA102" s="122">
        <f t="shared" si="51"/>
        <v>0</v>
      </c>
      <c r="AB102" s="31"/>
    </row>
    <row r="103" spans="1:28" s="116" customFormat="1" x14ac:dyDescent="0.25">
      <c r="A103" s="657" t="s">
        <v>736</v>
      </c>
      <c r="B103" s="657" t="s">
        <v>737</v>
      </c>
      <c r="C103" s="657" t="s">
        <v>738</v>
      </c>
      <c r="D103" s="658">
        <v>400</v>
      </c>
      <c r="E103" s="658">
        <v>500</v>
      </c>
      <c r="F103" s="658">
        <v>350</v>
      </c>
      <c r="G103" s="742">
        <v>2010</v>
      </c>
      <c r="H103" s="743">
        <v>5050</v>
      </c>
      <c r="I103" s="657">
        <v>2000</v>
      </c>
      <c r="J103" s="744" t="s">
        <v>122</v>
      </c>
      <c r="K103" s="745">
        <v>801690</v>
      </c>
      <c r="L103" s="657"/>
      <c r="M103" s="657"/>
      <c r="N103" s="684"/>
      <c r="O103" s="66"/>
      <c r="P103" s="713"/>
      <c r="Q103" s="66"/>
      <c r="R103" s="19">
        <v>1400</v>
      </c>
      <c r="S103" s="66">
        <v>700</v>
      </c>
      <c r="T103" s="66"/>
      <c r="U103" s="68"/>
      <c r="V103" s="66"/>
      <c r="W103" s="66">
        <f>U103+V103</f>
        <v>0</v>
      </c>
      <c r="X103" s="67">
        <v>10512.82</v>
      </c>
      <c r="Y103" s="65">
        <v>10090</v>
      </c>
      <c r="Z103" s="8">
        <f t="shared" si="49"/>
        <v>14126000</v>
      </c>
      <c r="AA103" s="168">
        <f>W103*Y103</f>
        <v>0</v>
      </c>
      <c r="AB103" s="66"/>
    </row>
    <row r="104" spans="1:28" s="680" customFormat="1" x14ac:dyDescent="0.25">
      <c r="A104" s="657" t="s">
        <v>277</v>
      </c>
      <c r="B104" s="657" t="s">
        <v>278</v>
      </c>
      <c r="C104" s="657"/>
      <c r="D104" s="657"/>
      <c r="E104" s="657">
        <v>10</v>
      </c>
      <c r="F104" s="657">
        <v>10</v>
      </c>
      <c r="G104" s="742">
        <v>145</v>
      </c>
      <c r="H104" s="660">
        <v>100</v>
      </c>
      <c r="I104" s="657">
        <v>0</v>
      </c>
      <c r="J104" s="657"/>
      <c r="K104" s="745">
        <v>801690</v>
      </c>
      <c r="L104" s="657"/>
      <c r="M104" s="657"/>
      <c r="N104" s="684"/>
      <c r="O104" s="66"/>
      <c r="P104" s="715"/>
      <c r="Q104" s="18"/>
      <c r="R104" s="7">
        <v>100</v>
      </c>
      <c r="S104" s="102">
        <v>100</v>
      </c>
      <c r="T104" s="102"/>
      <c r="U104" s="7"/>
      <c r="V104" s="18"/>
      <c r="W104" s="66">
        <f>U104+V104</f>
        <v>0</v>
      </c>
      <c r="X104" s="118">
        <v>5999</v>
      </c>
      <c r="Y104" s="150">
        <v>10782.3</v>
      </c>
      <c r="Z104" s="8">
        <f t="shared" si="49"/>
        <v>1078230</v>
      </c>
      <c r="AA104" s="122">
        <f>W104*Y104</f>
        <v>0</v>
      </c>
      <c r="AB104" s="18"/>
    </row>
    <row r="105" spans="1:28" s="116" customFormat="1" x14ac:dyDescent="0.25">
      <c r="A105" s="657" t="s">
        <v>426</v>
      </c>
      <c r="B105" s="657" t="s">
        <v>427</v>
      </c>
      <c r="C105" s="658">
        <v>100</v>
      </c>
      <c r="D105" s="657">
        <v>100</v>
      </c>
      <c r="E105" s="657">
        <v>250</v>
      </c>
      <c r="F105" s="661">
        <v>150</v>
      </c>
      <c r="G105" s="658"/>
      <c r="H105" s="657">
        <v>2025</v>
      </c>
      <c r="I105" s="661"/>
      <c r="J105" s="746" t="s">
        <v>122</v>
      </c>
      <c r="K105" s="745">
        <v>801690</v>
      </c>
      <c r="L105" s="686"/>
      <c r="M105" s="657"/>
      <c r="N105" s="747"/>
      <c r="O105" s="66"/>
      <c r="P105" s="715"/>
      <c r="Q105" s="18"/>
      <c r="R105" s="66">
        <v>500</v>
      </c>
      <c r="S105" s="18">
        <v>500</v>
      </c>
      <c r="T105" s="66"/>
      <c r="U105" s="66"/>
      <c r="V105" s="63"/>
      <c r="W105" s="66">
        <f t="shared" ref="W105:W106" si="52">U105+V105</f>
        <v>0</v>
      </c>
      <c r="X105" s="118">
        <v>844</v>
      </c>
      <c r="Y105" s="117">
        <v>1445</v>
      </c>
      <c r="Z105" s="8">
        <f t="shared" si="49"/>
        <v>722500</v>
      </c>
      <c r="AA105" s="122">
        <f t="shared" ref="AA105:AA106" si="53">W105*Y105</f>
        <v>0</v>
      </c>
      <c r="AB105" s="37"/>
    </row>
    <row r="106" spans="1:28" s="116" customFormat="1" x14ac:dyDescent="0.25">
      <c r="A106" s="657" t="s">
        <v>429</v>
      </c>
      <c r="B106" s="657" t="s">
        <v>430</v>
      </c>
      <c r="C106" s="657">
        <v>50</v>
      </c>
      <c r="D106" s="657"/>
      <c r="E106" s="657">
        <v>40</v>
      </c>
      <c r="F106" s="661">
        <v>50</v>
      </c>
      <c r="G106" s="658">
        <f>VLOOKUP(A106,'[1]yourspreadsheetname (1)'!$A$2:$C$968, 3, FALSE)</f>
        <v>0</v>
      </c>
      <c r="H106" s="657">
        <v>425</v>
      </c>
      <c r="I106" s="661">
        <v>0</v>
      </c>
      <c r="J106" s="746" t="s">
        <v>122</v>
      </c>
      <c r="K106" s="745">
        <v>801690</v>
      </c>
      <c r="L106" s="686"/>
      <c r="M106" s="660"/>
      <c r="N106" s="747"/>
      <c r="O106" s="66"/>
      <c r="P106" s="728"/>
      <c r="Q106" s="18"/>
      <c r="R106" s="66">
        <v>300</v>
      </c>
      <c r="S106" s="18">
        <v>300</v>
      </c>
      <c r="T106" s="66"/>
      <c r="U106" s="66"/>
      <c r="V106" s="63"/>
      <c r="W106" s="66">
        <f t="shared" si="52"/>
        <v>0</v>
      </c>
      <c r="X106" s="118">
        <v>3209</v>
      </c>
      <c r="Y106" s="117">
        <v>13750</v>
      </c>
      <c r="Z106" s="8">
        <f t="shared" si="49"/>
        <v>4125000</v>
      </c>
      <c r="AA106" s="122">
        <f t="shared" si="53"/>
        <v>0</v>
      </c>
      <c r="AB106" s="18"/>
    </row>
    <row r="107" spans="1:28" s="116" customFormat="1" x14ac:dyDescent="0.25">
      <c r="A107" s="657"/>
      <c r="B107" s="657"/>
      <c r="C107" s="657"/>
      <c r="D107" s="657"/>
      <c r="E107" s="657"/>
      <c r="F107" s="661"/>
      <c r="G107" s="658"/>
      <c r="H107" s="657"/>
      <c r="I107" s="661"/>
      <c r="J107" s="746"/>
      <c r="K107" s="657"/>
      <c r="L107" s="686"/>
      <c r="M107" s="660"/>
      <c r="N107" s="747"/>
      <c r="O107" s="66"/>
      <c r="P107" s="728"/>
      <c r="Q107" s="18"/>
      <c r="R107" s="66"/>
      <c r="S107" s="18"/>
      <c r="T107" s="66"/>
      <c r="U107" s="66"/>
      <c r="V107" s="63"/>
      <c r="W107" s="66"/>
      <c r="X107" s="118"/>
      <c r="Y107" s="117"/>
      <c r="Z107" s="8"/>
      <c r="AA107" s="122"/>
      <c r="AB107" s="18"/>
    </row>
    <row r="108" spans="1:28" s="73" customFormat="1" x14ac:dyDescent="0.25">
      <c r="A108" s="658" t="s">
        <v>224</v>
      </c>
      <c r="B108" s="658" t="s">
        <v>1946</v>
      </c>
      <c r="C108" s="735"/>
      <c r="D108" s="736"/>
      <c r="E108" s="736"/>
      <c r="F108" s="737">
        <v>1600</v>
      </c>
      <c r="G108" s="738"/>
      <c r="H108" s="739"/>
      <c r="I108" s="740"/>
      <c r="J108" s="740"/>
      <c r="K108" s="741">
        <v>803492</v>
      </c>
      <c r="L108" s="740"/>
      <c r="M108" s="741"/>
      <c r="N108" s="741"/>
      <c r="O108" s="121"/>
      <c r="P108" s="709"/>
      <c r="Q108" s="110"/>
      <c r="R108" s="184">
        <v>3200</v>
      </c>
      <c r="S108" s="184"/>
      <c r="T108" s="651"/>
      <c r="U108" s="184"/>
      <c r="V108" s="229"/>
      <c r="W108" s="66">
        <f t="shared" ref="W108:W111" si="54">U108+V108</f>
        <v>0</v>
      </c>
      <c r="X108" s="144">
        <v>988</v>
      </c>
      <c r="Y108" s="144">
        <v>3230.14</v>
      </c>
      <c r="Z108" s="122">
        <f t="shared" ref="Z108:Z111" si="55">R108*X108</f>
        <v>3161600</v>
      </c>
      <c r="AA108" s="122">
        <f>W108*Y108</f>
        <v>0</v>
      </c>
      <c r="AB108" s="229"/>
    </row>
    <row r="109" spans="1:28" s="132" customFormat="1" ht="15" customHeight="1" x14ac:dyDescent="0.25">
      <c r="A109" s="657" t="s">
        <v>710</v>
      </c>
      <c r="B109" s="658" t="s">
        <v>711</v>
      </c>
      <c r="C109" s="657">
        <v>1262</v>
      </c>
      <c r="D109" s="658">
        <v>1500</v>
      </c>
      <c r="E109" s="658">
        <v>1500</v>
      </c>
      <c r="F109" s="658">
        <v>1500</v>
      </c>
      <c r="G109" s="742">
        <v>6640</v>
      </c>
      <c r="H109" s="743">
        <v>12000</v>
      </c>
      <c r="I109" s="657"/>
      <c r="J109" s="744" t="s">
        <v>122</v>
      </c>
      <c r="K109" s="741">
        <v>803492</v>
      </c>
      <c r="L109" s="657"/>
      <c r="M109" s="657"/>
      <c r="N109" s="684"/>
      <c r="O109" s="66"/>
      <c r="P109" s="66"/>
      <c r="Q109" s="66"/>
      <c r="R109" s="174">
        <v>8000</v>
      </c>
      <c r="S109" s="174"/>
      <c r="T109" s="174"/>
      <c r="U109" s="68">
        <v>10500</v>
      </c>
      <c r="V109" s="66"/>
      <c r="W109" s="18">
        <f t="shared" si="54"/>
        <v>10500</v>
      </c>
      <c r="X109" s="140">
        <v>2871</v>
      </c>
      <c r="Y109" s="141">
        <v>2890</v>
      </c>
      <c r="Z109" s="279">
        <f t="shared" si="55"/>
        <v>22968000</v>
      </c>
      <c r="AA109" s="65">
        <f t="shared" ref="AA109:AA111" si="56">W109*Y109</f>
        <v>30345000</v>
      </c>
      <c r="AB109" s="66"/>
    </row>
    <row r="110" spans="1:28" s="73" customFormat="1" x14ac:dyDescent="0.25">
      <c r="A110" s="658" t="s">
        <v>138</v>
      </c>
      <c r="B110" s="658" t="s">
        <v>139</v>
      </c>
      <c r="C110" s="735"/>
      <c r="D110" s="736"/>
      <c r="E110" s="736"/>
      <c r="F110" s="737">
        <v>220</v>
      </c>
      <c r="G110" s="738"/>
      <c r="H110" s="739"/>
      <c r="I110" s="740"/>
      <c r="J110" s="740"/>
      <c r="K110" s="741">
        <v>803492</v>
      </c>
      <c r="L110" s="740"/>
      <c r="M110" s="741"/>
      <c r="N110" s="741"/>
      <c r="O110" s="121"/>
      <c r="P110" s="709"/>
      <c r="Q110" s="110"/>
      <c r="R110" s="184">
        <v>300</v>
      </c>
      <c r="S110" s="184"/>
      <c r="T110" s="651"/>
      <c r="U110" s="184"/>
      <c r="V110" s="229"/>
      <c r="W110" s="66">
        <f t="shared" si="54"/>
        <v>0</v>
      </c>
      <c r="X110" s="67">
        <v>5000</v>
      </c>
      <c r="Y110" s="67">
        <v>5989.59</v>
      </c>
      <c r="Z110" s="122">
        <f t="shared" si="55"/>
        <v>1500000</v>
      </c>
      <c r="AA110" s="122">
        <f t="shared" si="56"/>
        <v>0</v>
      </c>
      <c r="AB110" s="229"/>
    </row>
    <row r="111" spans="1:28" s="680" customFormat="1" ht="17.25" customHeight="1" x14ac:dyDescent="0.25">
      <c r="A111" s="683" t="s">
        <v>266</v>
      </c>
      <c r="B111" s="683" t="s">
        <v>267</v>
      </c>
      <c r="C111" s="657">
        <v>60</v>
      </c>
      <c r="D111" s="657">
        <v>50</v>
      </c>
      <c r="E111" s="657">
        <v>60</v>
      </c>
      <c r="F111" s="657">
        <v>60</v>
      </c>
      <c r="G111" s="742">
        <v>200</v>
      </c>
      <c r="H111" s="660">
        <v>600</v>
      </c>
      <c r="I111" s="657">
        <v>480</v>
      </c>
      <c r="J111" s="750"/>
      <c r="K111" s="741">
        <v>803492</v>
      </c>
      <c r="L111" s="657"/>
      <c r="M111" s="657"/>
      <c r="N111" s="741"/>
      <c r="O111" s="121"/>
      <c r="P111" s="715"/>
      <c r="Q111" s="13"/>
      <c r="R111" s="7">
        <v>120</v>
      </c>
      <c r="S111" s="7"/>
      <c r="T111" s="7"/>
      <c r="U111" s="7"/>
      <c r="V111" s="18"/>
      <c r="W111" s="66">
        <f t="shared" si="54"/>
        <v>0</v>
      </c>
      <c r="X111" s="67">
        <v>80149.59</v>
      </c>
      <c r="Y111" s="67">
        <v>80961.63</v>
      </c>
      <c r="Z111" s="8">
        <f t="shared" si="55"/>
        <v>9617950.7999999989</v>
      </c>
      <c r="AA111" s="122">
        <f t="shared" si="56"/>
        <v>0</v>
      </c>
      <c r="AB111" s="18"/>
    </row>
    <row r="113" spans="1:29" ht="26.25" x14ac:dyDescent="0.25">
      <c r="A113" s="1" t="s">
        <v>1963</v>
      </c>
      <c r="B113" s="85" t="s">
        <v>1964</v>
      </c>
      <c r="C113" s="36"/>
      <c r="D113" s="36"/>
      <c r="E113" s="36"/>
      <c r="F113" s="36"/>
      <c r="G113" s="36"/>
      <c r="H113" s="36"/>
      <c r="I113" s="36"/>
      <c r="J113" s="36"/>
      <c r="K113" s="1">
        <v>794173</v>
      </c>
      <c r="L113" s="36"/>
      <c r="M113" s="36"/>
      <c r="N113" s="36"/>
      <c r="O113" s="36"/>
      <c r="P113" s="748"/>
      <c r="Q113" s="36"/>
      <c r="R113" s="1">
        <v>505100</v>
      </c>
      <c r="S113" s="36"/>
      <c r="T113" s="36"/>
      <c r="U113" s="77"/>
      <c r="V113" s="36"/>
      <c r="W113" s="36"/>
      <c r="X113" s="749">
        <v>52.5</v>
      </c>
      <c r="Y113" s="162"/>
      <c r="Z113" s="8">
        <f t="shared" ref="Z113" si="57">R113*X113</f>
        <v>26517750</v>
      </c>
      <c r="AA113" s="122">
        <f t="shared" ref="AA113" si="58">W113*Y113</f>
        <v>0</v>
      </c>
      <c r="AB113" s="36"/>
    </row>
    <row r="114" spans="1:29" x14ac:dyDescent="0.25">
      <c r="A114" s="288"/>
      <c r="B114" s="97"/>
      <c r="Z114" s="8"/>
      <c r="AA114" s="122"/>
    </row>
    <row r="115" spans="1:29" ht="15.75" customHeight="1" x14ac:dyDescent="0.25">
      <c r="A115" s="55" t="s">
        <v>261</v>
      </c>
      <c r="B115" s="92" t="s">
        <v>262</v>
      </c>
      <c r="C115" s="92">
        <v>1200</v>
      </c>
      <c r="D115" s="549">
        <v>1500</v>
      </c>
      <c r="E115" s="549">
        <v>1600</v>
      </c>
      <c r="F115" s="549">
        <v>1600</v>
      </c>
      <c r="G115" s="430">
        <v>8714</v>
      </c>
      <c r="H115" s="56">
        <v>9600</v>
      </c>
      <c r="I115" s="55">
        <v>0</v>
      </c>
      <c r="J115" s="527" t="s">
        <v>122</v>
      </c>
      <c r="K115" s="245">
        <v>773726</v>
      </c>
      <c r="L115" s="55"/>
      <c r="M115" s="55" t="s">
        <v>263</v>
      </c>
      <c r="N115" s="64" t="s">
        <v>260</v>
      </c>
      <c r="O115" s="66">
        <v>3</v>
      </c>
      <c r="P115" s="715"/>
      <c r="Q115" s="6"/>
      <c r="R115" s="7">
        <v>7700</v>
      </c>
      <c r="S115" s="7"/>
      <c r="T115" s="7"/>
      <c r="U115" s="7"/>
      <c r="V115" s="32"/>
      <c r="W115" s="66">
        <f t="shared" ref="W115:W132" si="59">U115+V115</f>
        <v>0</v>
      </c>
      <c r="X115" s="118">
        <v>725</v>
      </c>
      <c r="Y115" s="118">
        <v>1033.7</v>
      </c>
      <c r="Z115" s="8">
        <f t="shared" ref="Z115:Z132" si="60">R115*X115</f>
        <v>5582500</v>
      </c>
      <c r="AA115" s="122">
        <f t="shared" ref="AA115:AA132" si="61">W115*Y115</f>
        <v>0</v>
      </c>
      <c r="AB115" s="18"/>
      <c r="AC115" s="22"/>
    </row>
    <row r="116" spans="1:29" s="669" customFormat="1" ht="15.75" customHeight="1" x14ac:dyDescent="0.25">
      <c r="A116" s="55" t="s">
        <v>264</v>
      </c>
      <c r="B116" s="92" t="s">
        <v>265</v>
      </c>
      <c r="C116" s="92">
        <v>1000</v>
      </c>
      <c r="D116" s="549">
        <v>600</v>
      </c>
      <c r="E116" s="549">
        <v>800</v>
      </c>
      <c r="F116" s="549">
        <v>900</v>
      </c>
      <c r="G116" s="430">
        <v>2800</v>
      </c>
      <c r="H116" s="56">
        <v>4800</v>
      </c>
      <c r="I116" s="55">
        <v>0</v>
      </c>
      <c r="J116" s="527" t="s">
        <v>122</v>
      </c>
      <c r="K116" s="245">
        <v>773726</v>
      </c>
      <c r="L116" s="244"/>
      <c r="M116" s="55" t="s">
        <v>263</v>
      </c>
      <c r="N116" s="64" t="s">
        <v>260</v>
      </c>
      <c r="O116" s="66">
        <v>4</v>
      </c>
      <c r="P116" s="715"/>
      <c r="Q116" s="18"/>
      <c r="R116" s="7">
        <v>5500</v>
      </c>
      <c r="S116" s="7"/>
      <c r="T116" s="7"/>
      <c r="U116" s="7"/>
      <c r="V116" s="18"/>
      <c r="W116" s="66">
        <f t="shared" si="59"/>
        <v>0</v>
      </c>
      <c r="X116" s="118">
        <v>533.73</v>
      </c>
      <c r="Y116" s="149">
        <v>705.51</v>
      </c>
      <c r="Z116" s="8">
        <f t="shared" si="60"/>
        <v>2935515</v>
      </c>
      <c r="AA116" s="122">
        <f t="shared" si="61"/>
        <v>0</v>
      </c>
      <c r="AB116" s="31"/>
      <c r="AC116" s="680"/>
    </row>
    <row r="117" spans="1:29" s="132" customFormat="1" x14ac:dyDescent="0.25">
      <c r="A117" s="92" t="s">
        <v>507</v>
      </c>
      <c r="B117" s="92" t="s">
        <v>508</v>
      </c>
      <c r="C117" s="92"/>
      <c r="D117" s="92">
        <v>0</v>
      </c>
      <c r="E117" s="92">
        <v>30</v>
      </c>
      <c r="F117" s="92">
        <v>30</v>
      </c>
      <c r="G117" s="92" t="e">
        <f>VLOOKUP(A117,'[1]yourspreadsheetname (1)'!$A$2:$C$968, 3, FALSE)</f>
        <v>#N/A</v>
      </c>
      <c r="H117" s="92">
        <v>180</v>
      </c>
      <c r="I117" s="92"/>
      <c r="J117" s="92"/>
      <c r="K117" s="92">
        <v>775800</v>
      </c>
      <c r="L117" s="404"/>
      <c r="M117" s="586" t="s">
        <v>285</v>
      </c>
      <c r="N117" s="64"/>
      <c r="O117" s="66">
        <v>16</v>
      </c>
      <c r="P117" s="718"/>
      <c r="Q117" s="54"/>
      <c r="R117" s="18">
        <v>240</v>
      </c>
      <c r="S117" s="54"/>
      <c r="T117" s="12"/>
      <c r="U117" s="54"/>
      <c r="V117" s="54"/>
      <c r="W117" s="66">
        <f t="shared" si="59"/>
        <v>0</v>
      </c>
      <c r="X117" s="206">
        <v>340.8</v>
      </c>
      <c r="Y117" s="207">
        <v>969.73</v>
      </c>
      <c r="Z117" s="8">
        <f t="shared" si="60"/>
        <v>81792</v>
      </c>
      <c r="AA117" s="122">
        <f t="shared" si="61"/>
        <v>0</v>
      </c>
      <c r="AB117" s="54"/>
    </row>
    <row r="118" spans="1:29" s="116" customFormat="1" x14ac:dyDescent="0.25">
      <c r="A118" s="92" t="s">
        <v>513</v>
      </c>
      <c r="B118" s="92" t="s">
        <v>514</v>
      </c>
      <c r="C118" s="92">
        <v>200</v>
      </c>
      <c r="D118" s="92"/>
      <c r="E118" s="92">
        <v>100</v>
      </c>
      <c r="F118" s="92">
        <v>150</v>
      </c>
      <c r="G118" s="92">
        <f>VLOOKUP(A118,'[1]yourspreadsheetname (1)'!$A$2:$C$968, 3, FALSE)</f>
        <v>0</v>
      </c>
      <c r="H118" s="92">
        <v>0</v>
      </c>
      <c r="I118" s="92"/>
      <c r="J118" s="92"/>
      <c r="K118" s="92">
        <v>775800</v>
      </c>
      <c r="L118" s="404"/>
      <c r="M118" s="60" t="s">
        <v>285</v>
      </c>
      <c r="N118" s="64"/>
      <c r="O118" s="54">
        <v>19</v>
      </c>
      <c r="P118" s="719"/>
      <c r="Q118" s="96"/>
      <c r="R118" s="18">
        <v>1100</v>
      </c>
      <c r="S118" s="54"/>
      <c r="T118" s="12"/>
      <c r="U118" s="54"/>
      <c r="V118" s="54"/>
      <c r="W118" s="66">
        <f t="shared" si="59"/>
        <v>0</v>
      </c>
      <c r="X118" s="206">
        <v>263.5</v>
      </c>
      <c r="Y118" s="207">
        <v>398</v>
      </c>
      <c r="Z118" s="8">
        <f t="shared" si="60"/>
        <v>289850</v>
      </c>
      <c r="AA118" s="122">
        <f t="shared" si="61"/>
        <v>0</v>
      </c>
      <c r="AB118" s="54"/>
    </row>
    <row r="119" spans="1:29" x14ac:dyDescent="0.25">
      <c r="A119" s="55" t="s">
        <v>341</v>
      </c>
      <c r="B119" s="243" t="s">
        <v>342</v>
      </c>
      <c r="C119" s="243"/>
      <c r="D119" s="429"/>
      <c r="E119" s="429">
        <v>60</v>
      </c>
      <c r="F119" s="429">
        <v>90</v>
      </c>
      <c r="G119" s="430">
        <v>0</v>
      </c>
      <c r="H119" s="55">
        <v>300</v>
      </c>
      <c r="I119" s="429"/>
      <c r="J119" s="250" t="s">
        <v>122</v>
      </c>
      <c r="K119" s="428">
        <v>773723</v>
      </c>
      <c r="L119" s="293"/>
      <c r="M119" s="55" t="s">
        <v>285</v>
      </c>
      <c r="N119" s="336"/>
      <c r="O119" s="66">
        <v>1</v>
      </c>
      <c r="P119" s="715"/>
      <c r="Q119" s="6"/>
      <c r="R119" s="66">
        <v>600</v>
      </c>
      <c r="S119" s="18"/>
      <c r="T119" s="18"/>
      <c r="U119" s="18"/>
      <c r="V119" s="6"/>
      <c r="W119" s="66">
        <f t="shared" si="59"/>
        <v>0</v>
      </c>
      <c r="X119" s="118">
        <v>615.55999999999995</v>
      </c>
      <c r="Y119" s="117">
        <v>3503.91</v>
      </c>
      <c r="Z119" s="8">
        <f t="shared" si="60"/>
        <v>369335.99999999994</v>
      </c>
      <c r="AA119" s="122">
        <f t="shared" si="61"/>
        <v>0</v>
      </c>
      <c r="AB119" s="18"/>
      <c r="AC119" s="680"/>
    </row>
    <row r="120" spans="1:29" s="132" customFormat="1" x14ac:dyDescent="0.25">
      <c r="A120" s="55" t="s">
        <v>345</v>
      </c>
      <c r="B120" s="55" t="s">
        <v>346</v>
      </c>
      <c r="C120" s="55">
        <v>5</v>
      </c>
      <c r="D120" s="55">
        <v>0</v>
      </c>
      <c r="E120" s="55">
        <v>2</v>
      </c>
      <c r="F120" s="521">
        <v>1</v>
      </c>
      <c r="G120" s="92">
        <f>VLOOKUP(A120,'[1]yourspreadsheetname (1)'!$A$2:$C$968, 3, FALSE)</f>
        <v>0</v>
      </c>
      <c r="H120" s="55">
        <v>10</v>
      </c>
      <c r="I120" s="429"/>
      <c r="J120" s="250" t="s">
        <v>122</v>
      </c>
      <c r="K120" s="428">
        <v>773723</v>
      </c>
      <c r="L120" s="293"/>
      <c r="M120" s="55" t="s">
        <v>285</v>
      </c>
      <c r="N120" s="336"/>
      <c r="O120" s="66">
        <v>3</v>
      </c>
      <c r="P120" s="715"/>
      <c r="Q120" s="18"/>
      <c r="R120" s="66">
        <v>10</v>
      </c>
      <c r="S120" s="18"/>
      <c r="T120" s="66"/>
      <c r="U120" s="66"/>
      <c r="V120" s="66"/>
      <c r="W120" s="66">
        <f t="shared" si="59"/>
        <v>0</v>
      </c>
      <c r="X120" s="118"/>
      <c r="Y120" s="117"/>
      <c r="Z120" s="8">
        <f t="shared" si="60"/>
        <v>0</v>
      </c>
      <c r="AA120" s="122">
        <f t="shared" si="61"/>
        <v>0</v>
      </c>
      <c r="AB120" s="37"/>
    </row>
    <row r="121" spans="1:29" s="116" customFormat="1" ht="24.75" customHeight="1" x14ac:dyDescent="0.25">
      <c r="A121" s="55" t="s">
        <v>347</v>
      </c>
      <c r="B121" s="92" t="s">
        <v>348</v>
      </c>
      <c r="C121" s="55"/>
      <c r="D121" s="55"/>
      <c r="E121" s="55">
        <v>50</v>
      </c>
      <c r="F121" s="521">
        <v>50</v>
      </c>
      <c r="G121" s="92">
        <v>0</v>
      </c>
      <c r="H121" s="55">
        <v>300</v>
      </c>
      <c r="I121" s="429"/>
      <c r="J121" s="250" t="s">
        <v>122</v>
      </c>
      <c r="K121" s="428">
        <v>773723</v>
      </c>
      <c r="L121" s="293"/>
      <c r="M121" s="55" t="s">
        <v>285</v>
      </c>
      <c r="N121" s="336"/>
      <c r="O121" s="66">
        <v>4</v>
      </c>
      <c r="P121" s="714"/>
      <c r="Q121" s="18"/>
      <c r="R121" s="66">
        <v>300</v>
      </c>
      <c r="S121" s="18"/>
      <c r="T121" s="186"/>
      <c r="U121" s="66"/>
      <c r="V121" s="66"/>
      <c r="W121" s="66">
        <f t="shared" si="59"/>
        <v>0</v>
      </c>
      <c r="X121" s="118">
        <v>405</v>
      </c>
      <c r="Y121" s="117">
        <v>455</v>
      </c>
      <c r="Z121" s="8">
        <f t="shared" si="60"/>
        <v>121500</v>
      </c>
      <c r="AA121" s="122">
        <f t="shared" si="61"/>
        <v>0</v>
      </c>
      <c r="AB121" s="37"/>
    </row>
    <row r="122" spans="1:29" s="116" customFormat="1" x14ac:dyDescent="0.25">
      <c r="A122" s="55" t="s">
        <v>349</v>
      </c>
      <c r="B122" s="55" t="s">
        <v>350</v>
      </c>
      <c r="C122" s="55"/>
      <c r="D122" s="55"/>
      <c r="E122" s="55">
        <v>2</v>
      </c>
      <c r="F122" s="92">
        <v>1</v>
      </c>
      <c r="G122" s="92">
        <f>VLOOKUP(A122,'[1]yourspreadsheetname (1)'!$A$2:$C$968, 3, FALSE)</f>
        <v>5</v>
      </c>
      <c r="H122" s="55">
        <v>10</v>
      </c>
      <c r="I122" s="55"/>
      <c r="J122" s="250" t="s">
        <v>122</v>
      </c>
      <c r="K122" s="428">
        <v>773723</v>
      </c>
      <c r="L122" s="293"/>
      <c r="M122" s="55" t="s">
        <v>285</v>
      </c>
      <c r="N122" s="336"/>
      <c r="O122" s="66">
        <v>5</v>
      </c>
      <c r="P122" s="714"/>
      <c r="Q122" s="18"/>
      <c r="R122" s="66">
        <v>2</v>
      </c>
      <c r="S122" s="19"/>
      <c r="T122" s="66"/>
      <c r="U122" s="66"/>
      <c r="V122" s="66"/>
      <c r="W122" s="66">
        <f t="shared" si="59"/>
        <v>0</v>
      </c>
      <c r="X122" s="118">
        <v>144924</v>
      </c>
      <c r="Y122" s="117">
        <v>212900</v>
      </c>
      <c r="Z122" s="8">
        <f t="shared" si="60"/>
        <v>289848</v>
      </c>
      <c r="AA122" s="122">
        <f t="shared" si="61"/>
        <v>0</v>
      </c>
      <c r="AB122" s="18"/>
    </row>
    <row r="123" spans="1:29" s="132" customFormat="1" x14ac:dyDescent="0.25">
      <c r="A123" s="55" t="s">
        <v>351</v>
      </c>
      <c r="B123" s="92" t="s">
        <v>352</v>
      </c>
      <c r="C123" s="92">
        <v>50</v>
      </c>
      <c r="D123" s="55">
        <v>50</v>
      </c>
      <c r="E123" s="55">
        <v>25</v>
      </c>
      <c r="F123" s="521">
        <v>50</v>
      </c>
      <c r="G123" s="92">
        <f>VLOOKUP(A123,'[1]yourspreadsheetname (1)'!$A$2:$C$968, 3, FALSE)</f>
        <v>0</v>
      </c>
      <c r="H123" s="55">
        <v>150</v>
      </c>
      <c r="I123" s="429"/>
      <c r="J123" s="250" t="s">
        <v>122</v>
      </c>
      <c r="K123" s="428">
        <v>773723</v>
      </c>
      <c r="L123" s="293"/>
      <c r="M123" s="55" t="s">
        <v>285</v>
      </c>
      <c r="N123" s="336"/>
      <c r="O123" s="66">
        <v>6</v>
      </c>
      <c r="P123" s="715"/>
      <c r="Q123" s="18"/>
      <c r="R123" s="66">
        <v>400</v>
      </c>
      <c r="S123" s="18"/>
      <c r="T123" s="63"/>
      <c r="U123" s="63"/>
      <c r="V123" s="63"/>
      <c r="W123" s="66">
        <f t="shared" si="59"/>
        <v>0</v>
      </c>
      <c r="X123" s="118">
        <v>20000</v>
      </c>
      <c r="Y123" s="117">
        <v>23998</v>
      </c>
      <c r="Z123" s="8">
        <f t="shared" si="60"/>
        <v>8000000</v>
      </c>
      <c r="AA123" s="122">
        <f t="shared" si="61"/>
        <v>0</v>
      </c>
      <c r="AB123" s="37"/>
    </row>
    <row r="124" spans="1:29" s="116" customFormat="1" x14ac:dyDescent="0.25">
      <c r="A124" s="92" t="s">
        <v>353</v>
      </c>
      <c r="B124" s="92" t="s">
        <v>354</v>
      </c>
      <c r="C124" s="92"/>
      <c r="D124" s="92"/>
      <c r="E124" s="92">
        <v>60</v>
      </c>
      <c r="F124" s="92">
        <v>60</v>
      </c>
      <c r="G124" s="92">
        <f>VLOOKUP(A124,'[1]yourspreadsheetname (1)'!$A$2:$C$968, 3, FALSE)</f>
        <v>0</v>
      </c>
      <c r="H124" s="92">
        <v>540</v>
      </c>
      <c r="I124" s="92"/>
      <c r="J124" s="92"/>
      <c r="K124" s="428">
        <v>773723</v>
      </c>
      <c r="L124" s="687"/>
      <c r="M124" s="92" t="s">
        <v>285</v>
      </c>
      <c r="N124" s="64"/>
      <c r="O124" s="54">
        <v>7</v>
      </c>
      <c r="P124" s="718"/>
      <c r="Q124" s="96"/>
      <c r="R124" s="18">
        <f>((F124*15)-G124-I124)/2</f>
        <v>450</v>
      </c>
      <c r="S124" s="54"/>
      <c r="T124" s="12"/>
      <c r="U124" s="54"/>
      <c r="V124" s="54"/>
      <c r="W124" s="66">
        <f t="shared" si="59"/>
        <v>0</v>
      </c>
      <c r="X124" s="206">
        <v>790</v>
      </c>
      <c r="Y124" s="207"/>
      <c r="Z124" s="8">
        <f t="shared" si="60"/>
        <v>355500</v>
      </c>
      <c r="AA124" s="122">
        <f t="shared" si="61"/>
        <v>0</v>
      </c>
      <c r="AB124" s="54"/>
    </row>
    <row r="125" spans="1:29" s="116" customFormat="1" x14ac:dyDescent="0.25">
      <c r="A125" s="92" t="s">
        <v>355</v>
      </c>
      <c r="B125" s="92" t="s">
        <v>356</v>
      </c>
      <c r="C125" s="92">
        <v>0</v>
      </c>
      <c r="D125" s="92">
        <v>30</v>
      </c>
      <c r="E125" s="92">
        <v>10</v>
      </c>
      <c r="F125" s="92">
        <v>60</v>
      </c>
      <c r="G125" s="92">
        <f>VLOOKUP(A125,'[1]yourspreadsheetname (1)'!$A$2:$C$968, 3, FALSE)</f>
        <v>0</v>
      </c>
      <c r="H125" s="92">
        <v>80</v>
      </c>
      <c r="I125" s="92"/>
      <c r="J125" s="92"/>
      <c r="K125" s="428">
        <v>773723</v>
      </c>
      <c r="L125" s="687"/>
      <c r="M125" s="92" t="s">
        <v>285</v>
      </c>
      <c r="N125" s="64"/>
      <c r="O125" s="54">
        <v>8</v>
      </c>
      <c r="P125" s="718"/>
      <c r="Q125" s="54"/>
      <c r="R125" s="18">
        <v>300</v>
      </c>
      <c r="S125" s="54"/>
      <c r="T125" s="12"/>
      <c r="U125" s="54"/>
      <c r="V125" s="54"/>
      <c r="W125" s="66">
        <f t="shared" si="59"/>
        <v>0</v>
      </c>
      <c r="X125" s="206">
        <v>189</v>
      </c>
      <c r="Y125" s="207"/>
      <c r="Z125" s="8">
        <f t="shared" si="60"/>
        <v>56700</v>
      </c>
      <c r="AA125" s="122">
        <f t="shared" si="61"/>
        <v>0</v>
      </c>
      <c r="AB125" s="54"/>
    </row>
    <row r="126" spans="1:29" s="116" customFormat="1" x14ac:dyDescent="0.25">
      <c r="A126" s="92" t="s">
        <v>357</v>
      </c>
      <c r="B126" s="92" t="s">
        <v>358</v>
      </c>
      <c r="C126" s="92">
        <v>0</v>
      </c>
      <c r="D126" s="92">
        <v>0</v>
      </c>
      <c r="E126" s="92">
        <v>60</v>
      </c>
      <c r="F126" s="92">
        <v>60</v>
      </c>
      <c r="G126" s="92">
        <f>VLOOKUP(A126,'[1]yourspreadsheetname (1)'!$A$2:$C$968, 3, FALSE)</f>
        <v>0</v>
      </c>
      <c r="H126" s="92">
        <v>360</v>
      </c>
      <c r="I126" s="92"/>
      <c r="J126" s="92"/>
      <c r="K126" s="428">
        <v>773723</v>
      </c>
      <c r="L126" s="687"/>
      <c r="M126" s="92" t="s">
        <v>285</v>
      </c>
      <c r="N126" s="64"/>
      <c r="O126" s="54">
        <v>9</v>
      </c>
      <c r="P126" s="718"/>
      <c r="Q126" s="54"/>
      <c r="R126" s="18">
        <v>300</v>
      </c>
      <c r="S126" s="54"/>
      <c r="T126" s="12"/>
      <c r="U126" s="54"/>
      <c r="V126" s="54"/>
      <c r="W126" s="66">
        <f t="shared" si="59"/>
        <v>0</v>
      </c>
      <c r="X126" s="206">
        <v>139</v>
      </c>
      <c r="Y126" s="207"/>
      <c r="Z126" s="8">
        <f t="shared" si="60"/>
        <v>41700</v>
      </c>
      <c r="AA126" s="122">
        <f t="shared" si="61"/>
        <v>0</v>
      </c>
      <c r="AB126" s="54"/>
    </row>
    <row r="127" spans="1:29" s="116" customFormat="1" x14ac:dyDescent="0.25">
      <c r="A127" s="55" t="s">
        <v>359</v>
      </c>
      <c r="B127" s="55" t="s">
        <v>360</v>
      </c>
      <c r="C127" s="244"/>
      <c r="D127" s="244"/>
      <c r="E127" s="250">
        <v>60</v>
      </c>
      <c r="F127" s="250">
        <v>60</v>
      </c>
      <c r="G127" s="92">
        <v>0</v>
      </c>
      <c r="H127" s="92">
        <v>360</v>
      </c>
      <c r="I127" s="244"/>
      <c r="J127" s="244"/>
      <c r="K127" s="428">
        <v>773723</v>
      </c>
      <c r="L127" s="525"/>
      <c r="M127" s="250" t="s">
        <v>285</v>
      </c>
      <c r="N127" s="64"/>
      <c r="O127" s="66">
        <v>10</v>
      </c>
      <c r="P127" s="724"/>
      <c r="Q127" s="170"/>
      <c r="R127" s="18">
        <f>((F127*15)-G127-I127)/2</f>
        <v>450</v>
      </c>
      <c r="S127" s="54"/>
      <c r="T127" s="12"/>
      <c r="U127" s="54"/>
      <c r="V127" s="54"/>
      <c r="W127" s="66">
        <f t="shared" si="59"/>
        <v>0</v>
      </c>
      <c r="X127" s="206">
        <v>2310.61</v>
      </c>
      <c r="Y127" s="207"/>
      <c r="Z127" s="8">
        <f t="shared" si="60"/>
        <v>1039774.5</v>
      </c>
      <c r="AA127" s="122">
        <f t="shared" si="61"/>
        <v>0</v>
      </c>
      <c r="AB127" s="31"/>
    </row>
    <row r="128" spans="1:29" s="132" customFormat="1" x14ac:dyDescent="0.25">
      <c r="A128" s="92" t="s">
        <v>361</v>
      </c>
      <c r="B128" s="60" t="s">
        <v>362</v>
      </c>
      <c r="C128" s="544"/>
      <c r="D128" s="92">
        <v>60</v>
      </c>
      <c r="E128" s="92">
        <v>120</v>
      </c>
      <c r="F128" s="92">
        <v>150</v>
      </c>
      <c r="G128" s="92">
        <f>VLOOKUP(A128,'[1]yourspreadsheetname (1)'!$A$2:$C$968, 3, FALSE)</f>
        <v>0</v>
      </c>
      <c r="H128" s="92">
        <v>720</v>
      </c>
      <c r="I128" s="92"/>
      <c r="J128" s="92"/>
      <c r="K128" s="428">
        <v>773723</v>
      </c>
      <c r="L128" s="687"/>
      <c r="M128" s="92" t="s">
        <v>285</v>
      </c>
      <c r="N128" s="64"/>
      <c r="O128" s="54">
        <v>11</v>
      </c>
      <c r="P128" s="718"/>
      <c r="Q128" s="54"/>
      <c r="R128" s="18">
        <v>1200</v>
      </c>
      <c r="S128" s="54"/>
      <c r="T128" s="12"/>
      <c r="U128" s="54"/>
      <c r="V128" s="54"/>
      <c r="W128" s="66">
        <f t="shared" si="59"/>
        <v>0</v>
      </c>
      <c r="X128" s="206">
        <v>515.79999999999995</v>
      </c>
      <c r="Y128" s="207"/>
      <c r="Z128" s="8">
        <f t="shared" si="60"/>
        <v>618960</v>
      </c>
      <c r="AA128" s="122">
        <f t="shared" si="61"/>
        <v>0</v>
      </c>
      <c r="AB128" s="54"/>
    </row>
    <row r="129" spans="1:28" s="132" customFormat="1" x14ac:dyDescent="0.25">
      <c r="A129" s="92" t="s">
        <v>363</v>
      </c>
      <c r="B129" s="92" t="s">
        <v>364</v>
      </c>
      <c r="C129" s="92"/>
      <c r="D129" s="92"/>
      <c r="E129" s="92">
        <v>200</v>
      </c>
      <c r="F129" s="92">
        <v>180</v>
      </c>
      <c r="G129" s="92">
        <f>VLOOKUP(A129,'[1]yourspreadsheetname (1)'!$A$2:$C$968, 3, FALSE)</f>
        <v>450</v>
      </c>
      <c r="H129" s="92">
        <v>1800</v>
      </c>
      <c r="I129" s="92"/>
      <c r="J129" s="92"/>
      <c r="K129" s="428">
        <v>773723</v>
      </c>
      <c r="L129" s="687"/>
      <c r="M129" s="93" t="s">
        <v>285</v>
      </c>
      <c r="N129" s="64"/>
      <c r="O129" s="54">
        <v>12</v>
      </c>
      <c r="P129" s="718"/>
      <c r="Q129" s="54"/>
      <c r="R129" s="18">
        <v>1000</v>
      </c>
      <c r="S129" s="54"/>
      <c r="T129" s="12"/>
      <c r="U129" s="54"/>
      <c r="V129" s="54"/>
      <c r="W129" s="66">
        <f t="shared" si="59"/>
        <v>0</v>
      </c>
      <c r="X129" s="206">
        <v>488.5</v>
      </c>
      <c r="Y129" s="207"/>
      <c r="Z129" s="8">
        <f t="shared" si="60"/>
        <v>488500</v>
      </c>
      <c r="AA129" s="122">
        <f t="shared" si="61"/>
        <v>0</v>
      </c>
      <c r="AB129" s="54"/>
    </row>
    <row r="130" spans="1:28" s="90" customFormat="1" x14ac:dyDescent="0.25">
      <c r="A130" s="93" t="s">
        <v>372</v>
      </c>
      <c r="B130" s="93" t="s">
        <v>373</v>
      </c>
      <c r="C130" s="92">
        <v>0</v>
      </c>
      <c r="D130" s="92"/>
      <c r="E130" s="92">
        <v>0.2</v>
      </c>
      <c r="F130" s="92"/>
      <c r="G130" s="92">
        <f>VLOOKUP(A130,'[1]yourspreadsheetname (1)'!$A$2:$C$968, 3, FALSE)</f>
        <v>0</v>
      </c>
      <c r="H130" s="247">
        <v>2</v>
      </c>
      <c r="I130" s="92"/>
      <c r="J130" s="92"/>
      <c r="K130" s="428">
        <v>773723</v>
      </c>
      <c r="L130" s="688"/>
      <c r="M130" s="243" t="s">
        <v>285</v>
      </c>
      <c r="N130" s="64"/>
      <c r="O130" s="66">
        <v>14</v>
      </c>
      <c r="P130" s="725"/>
      <c r="Q130" s="13"/>
      <c r="R130" s="18">
        <v>2</v>
      </c>
      <c r="S130" s="12"/>
      <c r="T130" s="12"/>
      <c r="U130" s="12"/>
      <c r="V130" s="12"/>
      <c r="W130" s="66">
        <f t="shared" si="59"/>
        <v>0</v>
      </c>
      <c r="X130" s="216">
        <v>41000</v>
      </c>
      <c r="Y130" s="122"/>
      <c r="Z130" s="8">
        <f t="shared" si="60"/>
        <v>82000</v>
      </c>
      <c r="AA130" s="122">
        <f t="shared" si="61"/>
        <v>0</v>
      </c>
      <c r="AB130" s="122"/>
    </row>
    <row r="131" spans="1:28" s="90" customFormat="1" x14ac:dyDescent="0.25">
      <c r="A131" s="92" t="s">
        <v>374</v>
      </c>
      <c r="B131" s="92" t="s">
        <v>375</v>
      </c>
      <c r="C131" s="92"/>
      <c r="D131" s="92"/>
      <c r="E131" s="92">
        <v>5</v>
      </c>
      <c r="F131" s="92">
        <v>5</v>
      </c>
      <c r="G131" s="92">
        <v>0</v>
      </c>
      <c r="H131" s="247">
        <v>30</v>
      </c>
      <c r="I131" s="92"/>
      <c r="J131" s="92"/>
      <c r="K131" s="428">
        <v>773723</v>
      </c>
      <c r="L131" s="687"/>
      <c r="M131" s="55" t="s">
        <v>285</v>
      </c>
      <c r="N131" s="64"/>
      <c r="O131" s="66">
        <v>15</v>
      </c>
      <c r="P131" s="726"/>
      <c r="Q131" s="13"/>
      <c r="R131" s="18">
        <v>50</v>
      </c>
      <c r="S131" s="12"/>
      <c r="T131" s="12"/>
      <c r="U131" s="12"/>
      <c r="V131" s="12"/>
      <c r="W131" s="66">
        <f t="shared" si="59"/>
        <v>0</v>
      </c>
      <c r="X131" s="280">
        <v>19260</v>
      </c>
      <c r="Y131" s="281"/>
      <c r="Z131" s="8">
        <f t="shared" si="60"/>
        <v>963000</v>
      </c>
      <c r="AA131" s="122">
        <f t="shared" si="61"/>
        <v>0</v>
      </c>
      <c r="AB131" s="122"/>
    </row>
    <row r="132" spans="1:28" s="680" customFormat="1" x14ac:dyDescent="0.25">
      <c r="A132" s="55" t="s">
        <v>376</v>
      </c>
      <c r="B132" s="55" t="s">
        <v>377</v>
      </c>
      <c r="C132" s="55"/>
      <c r="D132" s="429"/>
      <c r="E132" s="429"/>
      <c r="F132" s="429"/>
      <c r="G132" s="92" t="e">
        <f>VLOOKUP(A132,'[1]yourspreadsheetname (1)'!$A$2:$C$968, 3, FALSE)</f>
        <v>#N/A</v>
      </c>
      <c r="H132" s="526">
        <v>1</v>
      </c>
      <c r="I132" s="55"/>
      <c r="J132" s="55"/>
      <c r="K132" s="428">
        <v>773723</v>
      </c>
      <c r="L132" s="689"/>
      <c r="M132" s="93" t="s">
        <v>285</v>
      </c>
      <c r="N132" s="64"/>
      <c r="O132" s="66">
        <v>16</v>
      </c>
      <c r="P132" s="713"/>
      <c r="Q132" s="66"/>
      <c r="R132" s="66">
        <v>1</v>
      </c>
      <c r="S132" s="68"/>
      <c r="T132" s="68"/>
      <c r="U132" s="68"/>
      <c r="V132" s="84"/>
      <c r="W132" s="66">
        <f t="shared" si="59"/>
        <v>0</v>
      </c>
      <c r="X132" s="67">
        <v>4995</v>
      </c>
      <c r="Y132" s="65">
        <v>11400</v>
      </c>
      <c r="Z132" s="8">
        <f t="shared" si="60"/>
        <v>4995</v>
      </c>
      <c r="AA132" s="122">
        <f t="shared" si="61"/>
        <v>0</v>
      </c>
    </row>
    <row r="133" spans="1:28" s="132" customFormat="1" x14ac:dyDescent="0.25">
      <c r="A133" s="92" t="s">
        <v>368</v>
      </c>
      <c r="B133" s="60" t="s">
        <v>369</v>
      </c>
      <c r="C133" s="60"/>
      <c r="D133" s="92"/>
      <c r="E133" s="92">
        <v>100</v>
      </c>
      <c r="F133" s="92">
        <v>100</v>
      </c>
      <c r="G133" s="92">
        <f>VLOOKUP(A133,'[1]yourspreadsheetname (1)'!$A$2:$C$968, 3, FALSE)</f>
        <v>0</v>
      </c>
      <c r="H133" s="92">
        <v>600</v>
      </c>
      <c r="I133" s="92"/>
      <c r="J133" s="92"/>
      <c r="K133" s="428">
        <v>773723</v>
      </c>
      <c r="L133" s="687"/>
      <c r="M133" s="92" t="s">
        <v>285</v>
      </c>
      <c r="N133" s="64"/>
      <c r="O133" s="54">
        <v>17</v>
      </c>
      <c r="P133" s="719"/>
      <c r="Q133" s="96"/>
      <c r="R133" s="18">
        <v>600</v>
      </c>
      <c r="S133" s="54"/>
      <c r="T133" s="12"/>
      <c r="U133" s="54"/>
      <c r="V133" s="96"/>
      <c r="W133" s="66">
        <f>U133+V133</f>
        <v>0</v>
      </c>
      <c r="X133" s="206">
        <v>68</v>
      </c>
      <c r="Y133" s="207"/>
      <c r="Z133" s="8">
        <f>R133*X133</f>
        <v>40800</v>
      </c>
      <c r="AA133" s="122">
        <f>W133*Y133</f>
        <v>0</v>
      </c>
      <c r="AB133" s="96"/>
    </row>
    <row r="134" spans="1:28" s="132" customFormat="1" x14ac:dyDescent="0.25">
      <c r="A134" s="18" t="s">
        <v>1234</v>
      </c>
      <c r="B134" s="18" t="s">
        <v>1235</v>
      </c>
      <c r="C134" s="18">
        <v>400</v>
      </c>
      <c r="D134" s="18">
        <v>450</v>
      </c>
      <c r="E134" s="18">
        <v>500</v>
      </c>
      <c r="F134" s="106">
        <v>500</v>
      </c>
      <c r="G134" s="54"/>
      <c r="H134" s="66">
        <v>4000</v>
      </c>
      <c r="I134" s="169">
        <v>0</v>
      </c>
      <c r="J134" s="173" t="s">
        <v>122</v>
      </c>
      <c r="K134" s="96">
        <v>756678</v>
      </c>
      <c r="L134" s="274"/>
      <c r="M134" s="336"/>
      <c r="N134" s="135"/>
      <c r="O134" s="18"/>
      <c r="P134" s="18"/>
      <c r="Q134" s="18"/>
      <c r="R134" s="66">
        <v>1000</v>
      </c>
      <c r="S134" s="18"/>
      <c r="T134" s="66"/>
      <c r="U134" s="66"/>
      <c r="V134" s="66"/>
      <c r="W134" s="18">
        <f>U134+V134</f>
        <v>0</v>
      </c>
      <c r="X134" s="118">
        <v>439</v>
      </c>
      <c r="Y134" s="117">
        <v>544.12</v>
      </c>
      <c r="Z134" s="8">
        <f>R134*X134</f>
        <v>439000</v>
      </c>
      <c r="AA134" s="8">
        <f>W134*Y134</f>
        <v>0</v>
      </c>
      <c r="AB134" s="18"/>
    </row>
    <row r="137" spans="1:28" x14ac:dyDescent="0.25">
      <c r="Z137" s="598">
        <f>SUM(Z99:Z106)</f>
        <v>45061730</v>
      </c>
    </row>
    <row r="138" spans="1:28" ht="15" customHeight="1" x14ac:dyDescent="0.25"/>
    <row r="140" spans="1:28" ht="15" customHeight="1" x14ac:dyDescent="0.25"/>
    <row r="142" spans="1:28" ht="15" customHeight="1" x14ac:dyDescent="0.25"/>
    <row r="144" spans="1:28" ht="15" customHeight="1" x14ac:dyDescent="0.25"/>
    <row r="146" ht="15" customHeight="1" x14ac:dyDescent="0.25"/>
    <row r="148" ht="15" customHeight="1" x14ac:dyDescent="0.25"/>
    <row r="150" ht="15" customHeight="1" x14ac:dyDescent="0.25"/>
    <row r="152" ht="15" customHeight="1" x14ac:dyDescent="0.25"/>
    <row r="154" ht="15" customHeight="1" x14ac:dyDescent="0.25"/>
    <row r="156" ht="15" customHeight="1" x14ac:dyDescent="0.25"/>
    <row r="158" ht="15" customHeight="1" x14ac:dyDescent="0.25"/>
    <row r="160" ht="15" customHeight="1" x14ac:dyDescent="0.25"/>
    <row r="162" ht="15" customHeight="1" x14ac:dyDescent="0.25"/>
    <row r="164" ht="15" customHeight="1" x14ac:dyDescent="0.25"/>
    <row r="166" ht="15" customHeight="1" x14ac:dyDescent="0.25"/>
    <row r="168" ht="15" customHeight="1" x14ac:dyDescent="0.25"/>
    <row r="170" ht="15" customHeight="1" x14ac:dyDescent="0.25"/>
    <row r="172" ht="15" customHeight="1" x14ac:dyDescent="0.25"/>
    <row r="174" ht="15" customHeight="1" x14ac:dyDescent="0.25"/>
    <row r="176" ht="15" customHeight="1" x14ac:dyDescent="0.25"/>
    <row r="178" ht="15" customHeight="1" x14ac:dyDescent="0.25"/>
    <row r="180" ht="15" customHeight="1" x14ac:dyDescent="0.25"/>
    <row r="182" ht="15" customHeight="1" x14ac:dyDescent="0.25"/>
    <row r="184" ht="15" customHeight="1" x14ac:dyDescent="0.25"/>
    <row r="186" ht="15" customHeight="1" x14ac:dyDescent="0.25"/>
    <row r="188" ht="15" customHeight="1" x14ac:dyDescent="0.25"/>
    <row r="190" ht="15" customHeight="1" x14ac:dyDescent="0.25"/>
    <row r="192" ht="15" customHeight="1" x14ac:dyDescent="0.25"/>
    <row r="194" ht="15" customHeight="1" x14ac:dyDescent="0.25"/>
    <row r="196" ht="15" customHeight="1" x14ac:dyDescent="0.25"/>
    <row r="198" ht="15" customHeight="1" x14ac:dyDescent="0.25"/>
    <row r="200" ht="15" customHeight="1" x14ac:dyDescent="0.25"/>
    <row r="202" ht="15" customHeight="1" x14ac:dyDescent="0.25"/>
    <row r="204" ht="15" customHeight="1" x14ac:dyDescent="0.25"/>
    <row r="206" ht="15" customHeight="1" x14ac:dyDescent="0.25"/>
    <row r="208" ht="15" customHeight="1" x14ac:dyDescent="0.25"/>
    <row r="210" ht="15" customHeight="1" x14ac:dyDescent="0.25"/>
    <row r="212" ht="15" customHeight="1" x14ac:dyDescent="0.25"/>
    <row r="214" ht="15" customHeight="1" x14ac:dyDescent="0.25"/>
    <row r="216" ht="15" customHeight="1" x14ac:dyDescent="0.25"/>
    <row r="218" ht="15" customHeight="1" x14ac:dyDescent="0.25"/>
    <row r="220" ht="15" customHeight="1" x14ac:dyDescent="0.25"/>
    <row r="222" ht="15" customHeight="1" x14ac:dyDescent="0.25"/>
    <row r="224" ht="15" customHeight="1" x14ac:dyDescent="0.25"/>
    <row r="226" ht="15" customHeight="1" x14ac:dyDescent="0.25"/>
    <row r="228" ht="15" customHeight="1" x14ac:dyDescent="0.25"/>
    <row r="230" ht="15" customHeight="1" x14ac:dyDescent="0.25"/>
    <row r="232" ht="15" customHeight="1" x14ac:dyDescent="0.25"/>
    <row r="234" ht="15" customHeight="1" x14ac:dyDescent="0.25"/>
    <row r="236" ht="15" customHeight="1" x14ac:dyDescent="0.25"/>
    <row r="238" ht="15" customHeight="1" x14ac:dyDescent="0.25"/>
    <row r="240" ht="15" customHeight="1" x14ac:dyDescent="0.25"/>
    <row r="242" ht="15" customHeight="1" x14ac:dyDescent="0.25"/>
    <row r="244" ht="15" customHeight="1" x14ac:dyDescent="0.25"/>
    <row r="246" ht="15" customHeight="1" x14ac:dyDescent="0.25"/>
    <row r="248" ht="15" customHeight="1" x14ac:dyDescent="0.25"/>
    <row r="250" ht="15" customHeight="1" x14ac:dyDescent="0.25"/>
    <row r="252" ht="15" customHeight="1" x14ac:dyDescent="0.25"/>
    <row r="254" ht="15" customHeight="1" x14ac:dyDescent="0.25"/>
    <row r="256" ht="15" customHeight="1" x14ac:dyDescent="0.25"/>
    <row r="258" ht="15" customHeight="1" x14ac:dyDescent="0.25"/>
    <row r="260" ht="15" customHeight="1" x14ac:dyDescent="0.25"/>
    <row r="262" ht="15" customHeight="1" x14ac:dyDescent="0.25"/>
    <row r="264" ht="15" customHeight="1" x14ac:dyDescent="0.25"/>
    <row r="266" ht="15" customHeight="1" x14ac:dyDescent="0.25"/>
    <row r="268" ht="15" customHeight="1" x14ac:dyDescent="0.25"/>
    <row r="270" ht="15" customHeight="1" x14ac:dyDescent="0.25"/>
    <row r="272" ht="15" customHeight="1" x14ac:dyDescent="0.25"/>
    <row r="274" ht="15" customHeight="1" x14ac:dyDescent="0.25"/>
    <row r="276" ht="15" customHeight="1" x14ac:dyDescent="0.25"/>
    <row r="278" ht="15" customHeight="1" x14ac:dyDescent="0.25"/>
    <row r="280" ht="15" customHeight="1" x14ac:dyDescent="0.25"/>
    <row r="282" ht="15" customHeight="1" x14ac:dyDescent="0.25"/>
    <row r="284" ht="15" customHeight="1" x14ac:dyDescent="0.25"/>
    <row r="286" ht="15" customHeight="1" x14ac:dyDescent="0.25"/>
    <row r="288" ht="15" customHeight="1" x14ac:dyDescent="0.25"/>
    <row r="290" ht="15" customHeight="1" x14ac:dyDescent="0.25"/>
    <row r="292" ht="15" customHeight="1" x14ac:dyDescent="0.25"/>
    <row r="294" ht="15" customHeight="1" x14ac:dyDescent="0.25"/>
    <row r="296" ht="15" customHeight="1" x14ac:dyDescent="0.25"/>
    <row r="298" ht="15" customHeight="1" x14ac:dyDescent="0.25"/>
    <row r="300" ht="15" customHeight="1" x14ac:dyDescent="0.25"/>
    <row r="302" ht="15" customHeight="1" x14ac:dyDescent="0.25"/>
    <row r="304" ht="15" customHeight="1" x14ac:dyDescent="0.25"/>
    <row r="306" ht="15" customHeight="1" x14ac:dyDescent="0.25"/>
    <row r="308" ht="15" customHeight="1" x14ac:dyDescent="0.25"/>
    <row r="310" ht="15" customHeight="1" x14ac:dyDescent="0.25"/>
    <row r="312" ht="15" customHeight="1" x14ac:dyDescent="0.25"/>
    <row r="314" ht="15" customHeight="1" x14ac:dyDescent="0.25"/>
    <row r="316" ht="15" customHeight="1" x14ac:dyDescent="0.25"/>
    <row r="318" ht="15" customHeight="1" x14ac:dyDescent="0.25"/>
    <row r="320" ht="15" customHeight="1" x14ac:dyDescent="0.25"/>
    <row r="322" ht="15" customHeight="1" x14ac:dyDescent="0.25"/>
    <row r="324" ht="15" customHeight="1" x14ac:dyDescent="0.25"/>
    <row r="326" ht="15" customHeight="1" x14ac:dyDescent="0.25"/>
    <row r="328" ht="15" customHeight="1" x14ac:dyDescent="0.25"/>
    <row r="330" ht="15" customHeight="1" x14ac:dyDescent="0.25"/>
    <row r="332" ht="15" customHeight="1" x14ac:dyDescent="0.25"/>
    <row r="334" ht="15" customHeight="1" x14ac:dyDescent="0.25"/>
    <row r="336" ht="15" customHeight="1" x14ac:dyDescent="0.25"/>
    <row r="338" ht="15" customHeight="1" x14ac:dyDescent="0.25"/>
    <row r="340" ht="15" customHeight="1" x14ac:dyDescent="0.25"/>
    <row r="342" ht="15" customHeight="1" x14ac:dyDescent="0.25"/>
    <row r="344" ht="15" customHeight="1" x14ac:dyDescent="0.25"/>
    <row r="346" ht="15" customHeight="1" x14ac:dyDescent="0.25"/>
    <row r="348" ht="15" customHeight="1" x14ac:dyDescent="0.25"/>
    <row r="350" ht="15" customHeight="1" x14ac:dyDescent="0.25"/>
    <row r="352" ht="15" customHeight="1" x14ac:dyDescent="0.25"/>
    <row r="354" ht="15" customHeight="1" x14ac:dyDescent="0.25"/>
    <row r="356" ht="15" customHeight="1" x14ac:dyDescent="0.25"/>
    <row r="358" ht="15" customHeight="1" x14ac:dyDescent="0.25"/>
    <row r="360" ht="15" customHeight="1" x14ac:dyDescent="0.25"/>
    <row r="362" ht="15" customHeight="1" x14ac:dyDescent="0.25"/>
    <row r="364" ht="15" customHeight="1" x14ac:dyDescent="0.25"/>
    <row r="366" ht="15" customHeight="1" x14ac:dyDescent="0.25"/>
    <row r="368" ht="15" customHeight="1" x14ac:dyDescent="0.25"/>
    <row r="370" ht="15" customHeight="1" x14ac:dyDescent="0.25"/>
    <row r="372" ht="15" customHeight="1" x14ac:dyDescent="0.25"/>
    <row r="374" ht="15" customHeight="1" x14ac:dyDescent="0.25"/>
    <row r="376" ht="15" customHeight="1" x14ac:dyDescent="0.25"/>
    <row r="378" ht="15" customHeight="1" x14ac:dyDescent="0.25"/>
    <row r="380" ht="15" customHeight="1" x14ac:dyDescent="0.25"/>
    <row r="382" ht="15" customHeight="1" x14ac:dyDescent="0.25"/>
    <row r="384" ht="15" customHeight="1" x14ac:dyDescent="0.25"/>
    <row r="386" ht="15" customHeight="1" x14ac:dyDescent="0.25"/>
    <row r="388" ht="15" customHeight="1" x14ac:dyDescent="0.25"/>
    <row r="390" ht="15" customHeight="1" x14ac:dyDescent="0.25"/>
    <row r="392" ht="15" customHeight="1" x14ac:dyDescent="0.25"/>
    <row r="394" ht="15" customHeight="1" x14ac:dyDescent="0.25"/>
    <row r="396" ht="15" customHeight="1" x14ac:dyDescent="0.25"/>
    <row r="398" ht="15" customHeight="1" x14ac:dyDescent="0.25"/>
    <row r="400" ht="15" customHeight="1" x14ac:dyDescent="0.25"/>
    <row r="402" ht="15" customHeight="1" x14ac:dyDescent="0.25"/>
    <row r="404" ht="15" customHeight="1" x14ac:dyDescent="0.25"/>
    <row r="406" ht="15" customHeight="1" x14ac:dyDescent="0.25"/>
    <row r="408" ht="15" customHeight="1" x14ac:dyDescent="0.25"/>
    <row r="410" ht="15" customHeight="1" x14ac:dyDescent="0.25"/>
    <row r="412" ht="15" customHeight="1" x14ac:dyDescent="0.25"/>
    <row r="414" ht="15" customHeight="1" x14ac:dyDescent="0.25"/>
    <row r="416" ht="15" customHeight="1" x14ac:dyDescent="0.25"/>
    <row r="418" ht="15" customHeight="1" x14ac:dyDescent="0.25"/>
    <row r="420" ht="15" customHeight="1" x14ac:dyDescent="0.25"/>
    <row r="422" ht="15" customHeight="1" x14ac:dyDescent="0.25"/>
    <row r="424" ht="15" customHeight="1" x14ac:dyDescent="0.25"/>
    <row r="426" ht="15" customHeight="1" x14ac:dyDescent="0.25"/>
    <row r="428" ht="15" customHeight="1" x14ac:dyDescent="0.25"/>
    <row r="430" ht="15" customHeight="1" x14ac:dyDescent="0.25"/>
    <row r="432" ht="15" customHeight="1" x14ac:dyDescent="0.25"/>
    <row r="434" ht="15" customHeight="1" x14ac:dyDescent="0.25"/>
    <row r="436" ht="15" customHeight="1" x14ac:dyDescent="0.25"/>
    <row r="438" ht="15" customHeight="1" x14ac:dyDescent="0.25"/>
    <row r="440" ht="15" customHeight="1" x14ac:dyDescent="0.25"/>
    <row r="442" ht="15" customHeight="1" x14ac:dyDescent="0.25"/>
    <row r="444" ht="15" customHeight="1" x14ac:dyDescent="0.25"/>
    <row r="446" ht="15" customHeight="1" x14ac:dyDescent="0.25"/>
    <row r="448" ht="15" customHeight="1" x14ac:dyDescent="0.25"/>
    <row r="450" ht="15" customHeight="1" x14ac:dyDescent="0.25"/>
    <row r="452" ht="15" customHeight="1" x14ac:dyDescent="0.25"/>
    <row r="454" ht="15" customHeight="1" x14ac:dyDescent="0.25"/>
    <row r="456" ht="15" customHeight="1" x14ac:dyDescent="0.25"/>
    <row r="458" ht="15" customHeight="1" x14ac:dyDescent="0.25"/>
    <row r="460" ht="15" customHeight="1" x14ac:dyDescent="0.25"/>
    <row r="462" ht="15" customHeight="1" x14ac:dyDescent="0.25"/>
    <row r="464" ht="15" customHeight="1" x14ac:dyDescent="0.25"/>
    <row r="466" ht="15" customHeight="1" x14ac:dyDescent="0.25"/>
    <row r="468" ht="15" customHeight="1" x14ac:dyDescent="0.25"/>
    <row r="470" ht="15" customHeight="1" x14ac:dyDescent="0.25"/>
    <row r="472" ht="15" customHeight="1" x14ac:dyDescent="0.25"/>
    <row r="474" ht="15" customHeight="1" x14ac:dyDescent="0.25"/>
    <row r="476" ht="15" customHeight="1" x14ac:dyDescent="0.25"/>
    <row r="478" ht="15" customHeight="1" x14ac:dyDescent="0.25"/>
    <row r="480" ht="15" customHeight="1" x14ac:dyDescent="0.25"/>
    <row r="482" ht="15" customHeight="1" x14ac:dyDescent="0.25"/>
    <row r="484" ht="15" customHeight="1" x14ac:dyDescent="0.25"/>
    <row r="486" ht="15" customHeight="1" x14ac:dyDescent="0.25"/>
    <row r="488" ht="15" customHeight="1" x14ac:dyDescent="0.25"/>
    <row r="490" ht="15" customHeight="1" x14ac:dyDescent="0.25"/>
    <row r="492" ht="15" customHeight="1" x14ac:dyDescent="0.25"/>
    <row r="494" ht="15" customHeight="1" x14ac:dyDescent="0.25"/>
    <row r="496" ht="15" customHeight="1" x14ac:dyDescent="0.25"/>
    <row r="498" ht="15" customHeight="1" x14ac:dyDescent="0.25"/>
    <row r="500" ht="15" customHeight="1" x14ac:dyDescent="0.25"/>
    <row r="502" ht="15" customHeight="1" x14ac:dyDescent="0.25"/>
    <row r="504" ht="15" customHeight="1" x14ac:dyDescent="0.25"/>
    <row r="506" ht="15" customHeight="1" x14ac:dyDescent="0.25"/>
    <row r="508" ht="15" customHeight="1" x14ac:dyDescent="0.25"/>
    <row r="510" ht="15" customHeight="1" x14ac:dyDescent="0.25"/>
    <row r="512" ht="15" customHeight="1" x14ac:dyDescent="0.25"/>
    <row r="514" ht="15" customHeight="1" x14ac:dyDescent="0.25"/>
    <row r="516" ht="15" customHeight="1" x14ac:dyDescent="0.25"/>
    <row r="518" ht="15" customHeight="1" x14ac:dyDescent="0.25"/>
    <row r="520" ht="15" customHeight="1" x14ac:dyDescent="0.25"/>
    <row r="522" ht="15" customHeight="1" x14ac:dyDescent="0.25"/>
    <row r="524" ht="15" customHeight="1" x14ac:dyDescent="0.25"/>
    <row r="526" ht="15" customHeight="1" x14ac:dyDescent="0.25"/>
    <row r="528" ht="15" customHeight="1" x14ac:dyDescent="0.25"/>
    <row r="530" ht="15" customHeight="1" x14ac:dyDescent="0.25"/>
    <row r="532" ht="15" customHeight="1" x14ac:dyDescent="0.25"/>
    <row r="534" ht="15" customHeight="1" x14ac:dyDescent="0.25"/>
    <row r="536" ht="15" customHeight="1" x14ac:dyDescent="0.25"/>
    <row r="538" ht="15" customHeight="1" x14ac:dyDescent="0.25"/>
    <row r="540" ht="15" customHeight="1" x14ac:dyDescent="0.25"/>
    <row r="542" ht="15" customHeight="1" x14ac:dyDescent="0.25"/>
    <row r="544" ht="15" customHeight="1" x14ac:dyDescent="0.25"/>
    <row r="546" ht="15" customHeight="1" x14ac:dyDescent="0.25"/>
    <row r="548" ht="15" customHeight="1" x14ac:dyDescent="0.25"/>
    <row r="550" ht="15" customHeight="1" x14ac:dyDescent="0.25"/>
    <row r="552" ht="15" customHeight="1" x14ac:dyDescent="0.25"/>
    <row r="554" ht="15" customHeight="1" x14ac:dyDescent="0.25"/>
    <row r="556" ht="15" customHeight="1" x14ac:dyDescent="0.25"/>
    <row r="558" ht="15" customHeight="1" x14ac:dyDescent="0.25"/>
    <row r="560" ht="15" customHeight="1" x14ac:dyDescent="0.25"/>
    <row r="562" ht="15" customHeight="1" x14ac:dyDescent="0.25"/>
    <row r="564" ht="15" customHeight="1" x14ac:dyDescent="0.25"/>
    <row r="566" ht="15" customHeight="1" x14ac:dyDescent="0.25"/>
    <row r="568" ht="15" customHeight="1" x14ac:dyDescent="0.25"/>
    <row r="570" ht="15" customHeight="1" x14ac:dyDescent="0.25"/>
    <row r="572" ht="15" customHeight="1" x14ac:dyDescent="0.25"/>
    <row r="574" ht="15" customHeight="1" x14ac:dyDescent="0.25"/>
    <row r="576" ht="15" customHeight="1" x14ac:dyDescent="0.25"/>
    <row r="578" ht="15" customHeight="1" x14ac:dyDescent="0.25"/>
    <row r="580" ht="15" customHeight="1" x14ac:dyDescent="0.25"/>
    <row r="582" ht="15" customHeight="1" x14ac:dyDescent="0.25"/>
    <row r="584" ht="15" customHeight="1" x14ac:dyDescent="0.25"/>
    <row r="586" ht="15" customHeight="1" x14ac:dyDescent="0.25"/>
    <row r="588" ht="15" customHeight="1" x14ac:dyDescent="0.25"/>
    <row r="590" ht="15" customHeight="1" x14ac:dyDescent="0.25"/>
    <row r="592" ht="15" customHeight="1" x14ac:dyDescent="0.25"/>
    <row r="594" ht="15" customHeight="1" x14ac:dyDescent="0.25"/>
    <row r="596" ht="15" customHeight="1" x14ac:dyDescent="0.25"/>
    <row r="598" ht="15" customHeight="1" x14ac:dyDescent="0.25"/>
    <row r="600" ht="15" customHeight="1" x14ac:dyDescent="0.25"/>
    <row r="602" ht="15" customHeight="1" x14ac:dyDescent="0.25"/>
    <row r="604" ht="15" customHeight="1" x14ac:dyDescent="0.25"/>
    <row r="606" ht="15" customHeight="1" x14ac:dyDescent="0.25"/>
    <row r="608" ht="15" customHeight="1" x14ac:dyDescent="0.25"/>
    <row r="610" ht="15" customHeight="1" x14ac:dyDescent="0.25"/>
    <row r="612" ht="15" customHeight="1" x14ac:dyDescent="0.25"/>
    <row r="614" ht="15" customHeight="1" x14ac:dyDescent="0.25"/>
    <row r="616" ht="15" customHeight="1" x14ac:dyDescent="0.25"/>
    <row r="618" ht="15" customHeight="1" x14ac:dyDescent="0.25"/>
    <row r="620" ht="15" customHeight="1" x14ac:dyDescent="0.25"/>
    <row r="622" ht="15" customHeight="1" x14ac:dyDescent="0.25"/>
    <row r="624" ht="15" customHeight="1" x14ac:dyDescent="0.25"/>
    <row r="626" ht="15" customHeight="1" x14ac:dyDescent="0.25"/>
    <row r="628" ht="15" customHeight="1" x14ac:dyDescent="0.25"/>
    <row r="630" ht="15" customHeight="1" x14ac:dyDescent="0.25"/>
    <row r="632" ht="15" customHeight="1" x14ac:dyDescent="0.25"/>
    <row r="634" ht="15" customHeight="1" x14ac:dyDescent="0.25"/>
    <row r="636" ht="15" customHeight="1" x14ac:dyDescent="0.25"/>
    <row r="638" ht="15" customHeight="1" x14ac:dyDescent="0.25"/>
    <row r="640" ht="15" customHeight="1" x14ac:dyDescent="0.25"/>
    <row r="642" ht="15" customHeight="1" x14ac:dyDescent="0.25"/>
    <row r="644" ht="15" customHeight="1" x14ac:dyDescent="0.25"/>
    <row r="646" ht="15" customHeight="1" x14ac:dyDescent="0.25"/>
    <row r="648" ht="15" customHeight="1" x14ac:dyDescent="0.25"/>
    <row r="650" ht="15" customHeight="1" x14ac:dyDescent="0.25"/>
    <row r="652" ht="15" customHeight="1" x14ac:dyDescent="0.25"/>
    <row r="654" ht="15" customHeight="1" x14ac:dyDescent="0.25"/>
    <row r="656" ht="15" customHeight="1" x14ac:dyDescent="0.25"/>
    <row r="658" ht="15" customHeight="1" x14ac:dyDescent="0.25"/>
    <row r="660" ht="15" customHeight="1" x14ac:dyDescent="0.25"/>
    <row r="662" ht="15" customHeight="1" x14ac:dyDescent="0.25"/>
    <row r="664" ht="15" customHeight="1" x14ac:dyDescent="0.25"/>
    <row r="666" ht="15" customHeight="1" x14ac:dyDescent="0.25"/>
    <row r="668" ht="15" customHeight="1" x14ac:dyDescent="0.25"/>
    <row r="670" ht="15" customHeight="1" x14ac:dyDescent="0.25"/>
    <row r="672" ht="15" customHeight="1" x14ac:dyDescent="0.25"/>
    <row r="674" ht="15" customHeight="1" x14ac:dyDescent="0.25"/>
    <row r="676" ht="15" customHeight="1" x14ac:dyDescent="0.25"/>
    <row r="678" ht="15" customHeight="1" x14ac:dyDescent="0.25"/>
    <row r="680" ht="15" customHeight="1" x14ac:dyDescent="0.25"/>
    <row r="682" ht="15" customHeight="1" x14ac:dyDescent="0.25"/>
    <row r="684" ht="15" customHeight="1" x14ac:dyDescent="0.25"/>
    <row r="686" ht="15" customHeight="1" x14ac:dyDescent="0.25"/>
    <row r="688" ht="15" customHeight="1" x14ac:dyDescent="0.25"/>
    <row r="690" ht="15" customHeight="1" x14ac:dyDescent="0.25"/>
    <row r="692" ht="15" customHeight="1" x14ac:dyDescent="0.25"/>
    <row r="694" ht="15" customHeight="1" x14ac:dyDescent="0.25"/>
    <row r="696" ht="15" customHeight="1" x14ac:dyDescent="0.25"/>
    <row r="698" ht="15" customHeight="1" x14ac:dyDescent="0.25"/>
    <row r="700" ht="15" customHeight="1" x14ac:dyDescent="0.25"/>
    <row r="702" ht="15" customHeight="1" x14ac:dyDescent="0.25"/>
    <row r="704" ht="15" customHeight="1" x14ac:dyDescent="0.25"/>
    <row r="706" ht="15" customHeight="1" x14ac:dyDescent="0.25"/>
    <row r="708" ht="15" customHeight="1" x14ac:dyDescent="0.25"/>
    <row r="710" ht="15" customHeight="1" x14ac:dyDescent="0.25"/>
    <row r="712" ht="15" customHeight="1" x14ac:dyDescent="0.25"/>
    <row r="714" ht="15" customHeight="1" x14ac:dyDescent="0.25"/>
    <row r="716" ht="15" customHeight="1" x14ac:dyDescent="0.25"/>
    <row r="718" ht="15" customHeight="1" x14ac:dyDescent="0.25"/>
    <row r="720" ht="15" customHeight="1" x14ac:dyDescent="0.25"/>
    <row r="722" ht="15" customHeight="1" x14ac:dyDescent="0.25"/>
    <row r="724" ht="15" customHeight="1" x14ac:dyDescent="0.25"/>
    <row r="726" ht="15" customHeight="1" x14ac:dyDescent="0.25"/>
    <row r="728" ht="15" customHeight="1" x14ac:dyDescent="0.25"/>
    <row r="730" ht="15" customHeight="1" x14ac:dyDescent="0.25"/>
    <row r="732" ht="15" customHeight="1" x14ac:dyDescent="0.25"/>
    <row r="734" ht="15" customHeight="1" x14ac:dyDescent="0.25"/>
    <row r="736" ht="15" customHeight="1" x14ac:dyDescent="0.25"/>
    <row r="738" ht="15" customHeight="1" x14ac:dyDescent="0.25"/>
    <row r="740" ht="15" customHeight="1" x14ac:dyDescent="0.25"/>
    <row r="742" ht="15" customHeight="1" x14ac:dyDescent="0.25"/>
    <row r="744" ht="15" customHeight="1" x14ac:dyDescent="0.25"/>
    <row r="746" ht="15" customHeight="1" x14ac:dyDescent="0.25"/>
    <row r="748" ht="15" customHeight="1" x14ac:dyDescent="0.25"/>
    <row r="750" ht="15" customHeight="1" x14ac:dyDescent="0.25"/>
    <row r="752" ht="15" customHeight="1" x14ac:dyDescent="0.25"/>
    <row r="754" ht="15" customHeight="1" x14ac:dyDescent="0.25"/>
    <row r="756" ht="15" customHeight="1" x14ac:dyDescent="0.25"/>
    <row r="758" ht="15" customHeight="1" x14ac:dyDescent="0.25"/>
    <row r="760" ht="15" customHeight="1" x14ac:dyDescent="0.25"/>
    <row r="762" ht="15" customHeight="1" x14ac:dyDescent="0.25"/>
    <row r="764" ht="15" customHeight="1" x14ac:dyDescent="0.25"/>
    <row r="766" ht="15" customHeight="1" x14ac:dyDescent="0.25"/>
    <row r="768" ht="15" customHeight="1" x14ac:dyDescent="0.25"/>
    <row r="770" ht="15" customHeight="1" x14ac:dyDescent="0.25"/>
    <row r="772" ht="15" customHeight="1" x14ac:dyDescent="0.25"/>
    <row r="774" ht="15" customHeight="1" x14ac:dyDescent="0.25"/>
    <row r="776" ht="15" customHeight="1" x14ac:dyDescent="0.25"/>
    <row r="778" ht="15" customHeight="1" x14ac:dyDescent="0.25"/>
    <row r="780" ht="15" customHeight="1" x14ac:dyDescent="0.25"/>
    <row r="782" ht="15" customHeight="1" x14ac:dyDescent="0.25"/>
    <row r="784" ht="15" customHeight="1" x14ac:dyDescent="0.25"/>
    <row r="786" ht="15" customHeight="1" x14ac:dyDescent="0.25"/>
    <row r="788" ht="15" customHeight="1" x14ac:dyDescent="0.25"/>
    <row r="790" ht="15" customHeight="1" x14ac:dyDescent="0.25"/>
    <row r="792" ht="15" customHeight="1" x14ac:dyDescent="0.25"/>
    <row r="794" ht="15" customHeight="1" x14ac:dyDescent="0.25"/>
    <row r="796" ht="15" customHeight="1" x14ac:dyDescent="0.25"/>
    <row r="798" ht="15" customHeight="1" x14ac:dyDescent="0.25"/>
    <row r="800" ht="15" customHeight="1" x14ac:dyDescent="0.25"/>
    <row r="802" ht="15" customHeight="1" x14ac:dyDescent="0.25"/>
    <row r="804" ht="15" customHeight="1" x14ac:dyDescent="0.25"/>
    <row r="806" ht="15" customHeight="1" x14ac:dyDescent="0.25"/>
    <row r="808" ht="15" customHeight="1" x14ac:dyDescent="0.25"/>
    <row r="810" ht="15" customHeight="1" x14ac:dyDescent="0.25"/>
    <row r="812" ht="15" customHeight="1" x14ac:dyDescent="0.25"/>
    <row r="814" ht="15" customHeight="1" x14ac:dyDescent="0.25"/>
    <row r="816" ht="15" customHeight="1" x14ac:dyDescent="0.25"/>
    <row r="818" ht="15" customHeight="1" x14ac:dyDescent="0.25"/>
    <row r="820" ht="15" customHeight="1" x14ac:dyDescent="0.25"/>
    <row r="822" ht="15" customHeight="1" x14ac:dyDescent="0.25"/>
    <row r="824" ht="15" customHeight="1" x14ac:dyDescent="0.25"/>
    <row r="826" ht="15" customHeight="1" x14ac:dyDescent="0.25"/>
    <row r="828" ht="15" customHeight="1" x14ac:dyDescent="0.25"/>
    <row r="830" ht="15" customHeight="1" x14ac:dyDescent="0.25"/>
    <row r="832" ht="15" customHeight="1" x14ac:dyDescent="0.25"/>
    <row r="834" ht="15" customHeight="1" x14ac:dyDescent="0.25"/>
    <row r="836" ht="15" customHeight="1" x14ac:dyDescent="0.25"/>
    <row r="838" ht="15" customHeight="1" x14ac:dyDescent="0.25"/>
    <row r="840" ht="15" customHeight="1" x14ac:dyDescent="0.25"/>
    <row r="842" ht="15" customHeight="1" x14ac:dyDescent="0.25"/>
    <row r="844" ht="15" customHeight="1" x14ac:dyDescent="0.25"/>
    <row r="846" ht="15" customHeight="1" x14ac:dyDescent="0.25"/>
    <row r="848" ht="15" customHeight="1" x14ac:dyDescent="0.25"/>
    <row r="850" ht="15" customHeight="1" x14ac:dyDescent="0.25"/>
    <row r="852" ht="15" customHeight="1" x14ac:dyDescent="0.25"/>
    <row r="854" ht="15" customHeight="1" x14ac:dyDescent="0.25"/>
    <row r="856" ht="15" customHeight="1" x14ac:dyDescent="0.25"/>
    <row r="858" ht="15" customHeight="1" x14ac:dyDescent="0.25"/>
    <row r="860" ht="15" customHeight="1" x14ac:dyDescent="0.25"/>
    <row r="862" ht="15" customHeight="1" x14ac:dyDescent="0.25"/>
    <row r="864" ht="15" customHeight="1" x14ac:dyDescent="0.25"/>
    <row r="866" ht="15" customHeight="1" x14ac:dyDescent="0.25"/>
    <row r="868" ht="15" customHeight="1" x14ac:dyDescent="0.25"/>
    <row r="870" ht="15" customHeight="1" x14ac:dyDescent="0.25"/>
    <row r="872" ht="15" customHeight="1" x14ac:dyDescent="0.25"/>
    <row r="874" ht="15" customHeight="1" x14ac:dyDescent="0.25"/>
    <row r="876" ht="15" customHeight="1" x14ac:dyDescent="0.25"/>
    <row r="878" ht="15" customHeight="1" x14ac:dyDescent="0.25"/>
    <row r="880" ht="15" customHeight="1" x14ac:dyDescent="0.25"/>
    <row r="882" ht="15" customHeight="1" x14ac:dyDescent="0.25"/>
    <row r="884" ht="15" customHeight="1" x14ac:dyDescent="0.25"/>
    <row r="886" ht="15" customHeight="1" x14ac:dyDescent="0.25"/>
    <row r="888" ht="15" customHeight="1" x14ac:dyDescent="0.25"/>
    <row r="890" ht="15" customHeight="1" x14ac:dyDescent="0.25"/>
    <row r="892" ht="15" customHeight="1" x14ac:dyDescent="0.25"/>
    <row r="894" ht="15" customHeight="1" x14ac:dyDescent="0.25"/>
    <row r="896" ht="15" customHeight="1" x14ac:dyDescent="0.25"/>
    <row r="898" ht="15" customHeight="1" x14ac:dyDescent="0.25"/>
    <row r="900" ht="15" customHeight="1" x14ac:dyDescent="0.25"/>
    <row r="902" ht="15" customHeight="1" x14ac:dyDescent="0.25"/>
    <row r="904" ht="15" customHeight="1" x14ac:dyDescent="0.25"/>
    <row r="906" ht="15" customHeight="1" x14ac:dyDescent="0.25"/>
    <row r="908" ht="15" customHeight="1" x14ac:dyDescent="0.25"/>
    <row r="910" ht="15" customHeight="1" x14ac:dyDescent="0.25"/>
    <row r="912" ht="15" customHeight="1" x14ac:dyDescent="0.25"/>
    <row r="914" ht="15" customHeight="1" x14ac:dyDescent="0.25"/>
    <row r="916" ht="15" customHeight="1" x14ac:dyDescent="0.25"/>
    <row r="918" ht="15" customHeight="1" x14ac:dyDescent="0.25"/>
    <row r="920" ht="15" customHeight="1" x14ac:dyDescent="0.25"/>
    <row r="922" ht="15" customHeight="1" x14ac:dyDescent="0.25"/>
    <row r="924" ht="15" customHeight="1" x14ac:dyDescent="0.25"/>
    <row r="926" ht="15" customHeight="1" x14ac:dyDescent="0.25"/>
    <row r="928" ht="15" customHeight="1" x14ac:dyDescent="0.25"/>
    <row r="930" ht="15" customHeight="1" x14ac:dyDescent="0.25"/>
    <row r="932" ht="15" customHeight="1" x14ac:dyDescent="0.25"/>
    <row r="934" ht="15" customHeight="1" x14ac:dyDescent="0.25"/>
    <row r="936" ht="15" customHeight="1" x14ac:dyDescent="0.25"/>
    <row r="938" ht="15" customHeight="1" x14ac:dyDescent="0.25"/>
    <row r="940" ht="15" customHeight="1" x14ac:dyDescent="0.25"/>
    <row r="942" ht="15" customHeight="1" x14ac:dyDescent="0.25"/>
    <row r="944" ht="15" customHeight="1" x14ac:dyDescent="0.25"/>
    <row r="946" ht="15" customHeight="1" x14ac:dyDescent="0.25"/>
    <row r="948" ht="15" customHeight="1" x14ac:dyDescent="0.25"/>
    <row r="950" ht="15" customHeight="1" x14ac:dyDescent="0.25"/>
    <row r="952" ht="15" customHeight="1" x14ac:dyDescent="0.25"/>
    <row r="954" ht="15" customHeight="1" x14ac:dyDescent="0.25"/>
    <row r="956" ht="15" customHeight="1" x14ac:dyDescent="0.25"/>
    <row r="958" ht="15" customHeight="1" x14ac:dyDescent="0.25"/>
    <row r="960" ht="15" customHeight="1" x14ac:dyDescent="0.25"/>
    <row r="962" ht="15" customHeight="1" x14ac:dyDescent="0.25"/>
    <row r="964" ht="15" customHeight="1" x14ac:dyDescent="0.25"/>
    <row r="966" ht="15" customHeight="1" x14ac:dyDescent="0.25"/>
    <row r="968" ht="15" customHeight="1" x14ac:dyDescent="0.25"/>
    <row r="970" ht="15" customHeight="1" x14ac:dyDescent="0.25"/>
    <row r="972" ht="15" customHeight="1" x14ac:dyDescent="0.25"/>
    <row r="974" ht="15" customHeight="1" x14ac:dyDescent="0.25"/>
    <row r="976" ht="15" customHeight="1" x14ac:dyDescent="0.25"/>
    <row r="978" ht="15" customHeight="1" x14ac:dyDescent="0.25"/>
    <row r="980" ht="15" customHeight="1" x14ac:dyDescent="0.25"/>
    <row r="982" ht="15" customHeight="1" x14ac:dyDescent="0.25"/>
    <row r="984" ht="15" customHeight="1" x14ac:dyDescent="0.25"/>
    <row r="986" ht="15" customHeight="1" x14ac:dyDescent="0.25"/>
    <row r="988" ht="15" customHeight="1" x14ac:dyDescent="0.25"/>
    <row r="990" ht="15" customHeight="1" x14ac:dyDescent="0.25"/>
    <row r="992" ht="15" customHeight="1" x14ac:dyDescent="0.25"/>
    <row r="994" ht="15" customHeight="1" x14ac:dyDescent="0.25"/>
    <row r="996" ht="15" customHeight="1" x14ac:dyDescent="0.25"/>
    <row r="998" ht="15" customHeight="1" x14ac:dyDescent="0.25"/>
    <row r="1000" ht="15" customHeight="1" x14ac:dyDescent="0.25"/>
    <row r="1002" ht="15" customHeight="1" x14ac:dyDescent="0.25"/>
    <row r="1004" ht="15" customHeight="1" x14ac:dyDescent="0.25"/>
    <row r="1006" ht="15" customHeight="1" x14ac:dyDescent="0.25"/>
    <row r="1008" ht="15" customHeight="1" x14ac:dyDescent="0.25"/>
    <row r="1010" ht="15" customHeight="1" x14ac:dyDescent="0.25"/>
    <row r="1012" ht="15" customHeight="1" x14ac:dyDescent="0.25"/>
    <row r="1014" ht="15" customHeight="1" x14ac:dyDescent="0.25"/>
    <row r="1016" ht="15" customHeight="1" x14ac:dyDescent="0.25"/>
    <row r="1018" ht="15" customHeight="1" x14ac:dyDescent="0.25"/>
    <row r="1020" ht="15" customHeight="1" x14ac:dyDescent="0.25"/>
    <row r="1022" ht="15" customHeight="1" x14ac:dyDescent="0.25"/>
    <row r="1024" ht="15" customHeight="1" x14ac:dyDescent="0.25"/>
    <row r="1026" ht="15" customHeight="1" x14ac:dyDescent="0.25"/>
    <row r="1028" ht="15" customHeight="1" x14ac:dyDescent="0.25"/>
    <row r="1030" ht="15" customHeight="1" x14ac:dyDescent="0.25"/>
    <row r="1032" ht="15" customHeight="1" x14ac:dyDescent="0.25"/>
    <row r="1034" ht="15" customHeight="1" x14ac:dyDescent="0.25"/>
    <row r="1036" ht="15" customHeight="1" x14ac:dyDescent="0.25"/>
    <row r="1038" ht="15" customHeight="1" x14ac:dyDescent="0.25"/>
    <row r="1040" ht="15" customHeight="1" x14ac:dyDescent="0.25"/>
    <row r="1042" ht="15" customHeight="1" x14ac:dyDescent="0.25"/>
    <row r="1044" ht="15" customHeight="1" x14ac:dyDescent="0.25"/>
    <row r="1046" ht="15" customHeight="1" x14ac:dyDescent="0.25"/>
    <row r="1048" ht="15" customHeight="1" x14ac:dyDescent="0.25"/>
    <row r="1050" ht="15" customHeight="1" x14ac:dyDescent="0.25"/>
    <row r="1052" ht="15" customHeight="1" x14ac:dyDescent="0.25"/>
    <row r="1054" ht="15" customHeight="1" x14ac:dyDescent="0.25"/>
    <row r="1056" ht="15" customHeight="1" x14ac:dyDescent="0.25"/>
    <row r="1058" ht="15" customHeight="1" x14ac:dyDescent="0.25"/>
    <row r="1060" ht="15" customHeight="1" x14ac:dyDescent="0.25"/>
    <row r="1062" ht="15" customHeight="1" x14ac:dyDescent="0.25"/>
    <row r="1064" ht="15" customHeight="1" x14ac:dyDescent="0.25"/>
    <row r="1066" ht="15" customHeight="1" x14ac:dyDescent="0.25"/>
    <row r="1068" ht="15" customHeight="1" x14ac:dyDescent="0.25"/>
    <row r="1070" ht="15" customHeight="1" x14ac:dyDescent="0.25"/>
    <row r="1072" ht="15" customHeight="1" x14ac:dyDescent="0.25"/>
    <row r="1074" ht="15" customHeight="1" x14ac:dyDescent="0.25"/>
    <row r="1076" ht="15" customHeight="1" x14ac:dyDescent="0.25"/>
    <row r="1078" ht="15" customHeight="1" x14ac:dyDescent="0.25"/>
    <row r="1080" ht="15" customHeight="1" x14ac:dyDescent="0.25"/>
    <row r="1082" ht="15" customHeight="1" x14ac:dyDescent="0.25"/>
    <row r="1084" ht="15" customHeight="1" x14ac:dyDescent="0.25"/>
    <row r="1086" ht="15" customHeight="1" x14ac:dyDescent="0.25"/>
    <row r="1088" ht="15" customHeight="1" x14ac:dyDescent="0.25"/>
    <row r="1090" ht="15" customHeight="1" x14ac:dyDescent="0.25"/>
    <row r="1092" ht="15" customHeight="1" x14ac:dyDescent="0.25"/>
    <row r="1094" ht="15" customHeight="1" x14ac:dyDescent="0.25"/>
    <row r="1096" ht="15" customHeight="1" x14ac:dyDescent="0.25"/>
    <row r="1098" ht="15" customHeight="1" x14ac:dyDescent="0.25"/>
    <row r="1100" ht="15" customHeight="1" x14ac:dyDescent="0.25"/>
    <row r="1102" ht="15" customHeight="1" x14ac:dyDescent="0.25"/>
    <row r="1104" ht="15" customHeight="1" x14ac:dyDescent="0.25"/>
    <row r="1106" ht="15" customHeight="1" x14ac:dyDescent="0.25"/>
    <row r="1108" ht="15" customHeight="1" x14ac:dyDescent="0.25"/>
    <row r="1110" ht="15" customHeight="1" x14ac:dyDescent="0.25"/>
    <row r="1112" ht="15" customHeight="1" x14ac:dyDescent="0.25"/>
    <row r="1114" ht="15" customHeight="1" x14ac:dyDescent="0.25"/>
    <row r="1116" ht="15" customHeight="1" x14ac:dyDescent="0.25"/>
    <row r="1118" ht="15" customHeight="1" x14ac:dyDescent="0.25"/>
    <row r="1120" ht="15" customHeight="1" x14ac:dyDescent="0.25"/>
    <row r="1122" ht="15" customHeight="1" x14ac:dyDescent="0.25"/>
    <row r="1124" ht="15" customHeight="1" x14ac:dyDescent="0.25"/>
    <row r="1126" ht="15" customHeight="1" x14ac:dyDescent="0.25"/>
    <row r="1128" ht="15" customHeight="1" x14ac:dyDescent="0.25"/>
    <row r="1130" ht="15" customHeight="1" x14ac:dyDescent="0.25"/>
    <row r="1132" ht="15" customHeight="1" x14ac:dyDescent="0.25"/>
    <row r="1134" ht="15" customHeight="1" x14ac:dyDescent="0.25"/>
    <row r="1136" ht="15" customHeight="1" x14ac:dyDescent="0.25"/>
    <row r="1138" ht="15" customHeight="1" x14ac:dyDescent="0.25"/>
    <row r="1140" ht="15" customHeight="1" x14ac:dyDescent="0.25"/>
    <row r="1142" ht="15" customHeight="1" x14ac:dyDescent="0.25"/>
    <row r="1144" ht="15" customHeight="1" x14ac:dyDescent="0.25"/>
    <row r="1146" ht="15" customHeight="1" x14ac:dyDescent="0.25"/>
    <row r="1148" ht="15" customHeight="1" x14ac:dyDescent="0.25"/>
    <row r="1150" ht="15" customHeight="1" x14ac:dyDescent="0.25"/>
    <row r="1152" ht="15" customHeight="1" x14ac:dyDescent="0.25"/>
    <row r="1154" ht="15" customHeight="1" x14ac:dyDescent="0.25"/>
    <row r="1156" ht="15" customHeight="1" x14ac:dyDescent="0.25"/>
    <row r="1158" ht="15" customHeight="1" x14ac:dyDescent="0.25"/>
    <row r="1160" ht="15" customHeight="1" x14ac:dyDescent="0.25"/>
    <row r="1162" ht="15" customHeight="1" x14ac:dyDescent="0.25"/>
    <row r="1164" ht="15" customHeight="1" x14ac:dyDescent="0.25"/>
    <row r="1166" ht="15" customHeight="1" x14ac:dyDescent="0.25"/>
    <row r="1168" ht="15" customHeight="1" x14ac:dyDescent="0.25"/>
    <row r="1170" ht="15" customHeight="1" x14ac:dyDescent="0.25"/>
    <row r="1172" ht="15" customHeight="1" x14ac:dyDescent="0.25"/>
    <row r="1174" ht="15" customHeight="1" x14ac:dyDescent="0.25"/>
    <row r="1176" ht="15" customHeight="1" x14ac:dyDescent="0.25"/>
    <row r="1178" ht="15" customHeight="1" x14ac:dyDescent="0.25"/>
    <row r="1180" ht="15" customHeight="1" x14ac:dyDescent="0.25"/>
    <row r="1182" ht="15" customHeight="1" x14ac:dyDescent="0.25"/>
    <row r="1184" ht="15" customHeight="1" x14ac:dyDescent="0.25"/>
    <row r="1186" ht="15" customHeight="1" x14ac:dyDescent="0.25"/>
    <row r="1188" ht="15" customHeight="1" x14ac:dyDescent="0.25"/>
    <row r="1190" ht="15" customHeight="1" x14ac:dyDescent="0.25"/>
    <row r="1192" ht="15" customHeight="1" x14ac:dyDescent="0.25"/>
    <row r="1194" ht="15" customHeight="1" x14ac:dyDescent="0.25"/>
    <row r="1196" ht="15" customHeight="1" x14ac:dyDescent="0.25"/>
    <row r="1198" ht="15" customHeight="1" x14ac:dyDescent="0.25"/>
    <row r="1200" ht="15" customHeight="1" x14ac:dyDescent="0.25"/>
    <row r="1202" ht="15" customHeight="1" x14ac:dyDescent="0.25"/>
    <row r="1204" ht="15" customHeight="1" x14ac:dyDescent="0.25"/>
    <row r="1206" ht="15" customHeight="1" x14ac:dyDescent="0.25"/>
    <row r="1208" ht="15" customHeight="1" x14ac:dyDescent="0.25"/>
    <row r="1210" ht="15" customHeight="1" x14ac:dyDescent="0.25"/>
    <row r="1212" ht="15" customHeight="1" x14ac:dyDescent="0.25"/>
    <row r="1214" ht="15" customHeight="1" x14ac:dyDescent="0.25"/>
    <row r="1216" ht="15" customHeight="1" x14ac:dyDescent="0.25"/>
    <row r="1218" ht="15" customHeight="1" x14ac:dyDescent="0.25"/>
    <row r="1220" ht="15" customHeight="1" x14ac:dyDescent="0.25"/>
    <row r="1222" ht="15" customHeight="1" x14ac:dyDescent="0.25"/>
    <row r="1224" ht="15" customHeight="1" x14ac:dyDescent="0.25"/>
    <row r="1226" ht="15" customHeight="1" x14ac:dyDescent="0.25"/>
    <row r="1228" ht="15" customHeight="1" x14ac:dyDescent="0.25"/>
    <row r="1230" ht="15" customHeight="1" x14ac:dyDescent="0.25"/>
    <row r="1232" ht="15" customHeight="1" x14ac:dyDescent="0.25"/>
    <row r="1234" ht="15" customHeight="1" x14ac:dyDescent="0.25"/>
    <row r="1236" ht="15" customHeight="1" x14ac:dyDescent="0.25"/>
    <row r="1238" ht="15" customHeight="1" x14ac:dyDescent="0.25"/>
    <row r="1240" ht="15" customHeight="1" x14ac:dyDescent="0.25"/>
    <row r="1242" ht="15" customHeight="1" x14ac:dyDescent="0.25"/>
    <row r="1244" ht="15" customHeight="1" x14ac:dyDescent="0.25"/>
    <row r="1246" ht="15" customHeight="1" x14ac:dyDescent="0.25"/>
    <row r="1248" ht="15" customHeight="1" x14ac:dyDescent="0.25"/>
    <row r="1250" ht="15" customHeight="1" x14ac:dyDescent="0.25"/>
    <row r="1252" ht="15" customHeight="1" x14ac:dyDescent="0.25"/>
    <row r="1254" ht="15" customHeight="1" x14ac:dyDescent="0.25"/>
    <row r="1256" ht="15" customHeight="1" x14ac:dyDescent="0.25"/>
    <row r="1258" ht="15" customHeight="1" x14ac:dyDescent="0.25"/>
    <row r="1260" ht="15" customHeight="1" x14ac:dyDescent="0.25"/>
    <row r="1262" ht="15" customHeight="1" x14ac:dyDescent="0.25"/>
    <row r="1264" ht="15" customHeight="1" x14ac:dyDescent="0.25"/>
    <row r="1266" ht="15" customHeight="1" x14ac:dyDescent="0.25"/>
    <row r="1268" ht="15" customHeight="1" x14ac:dyDescent="0.25"/>
    <row r="1270" ht="15" customHeight="1" x14ac:dyDescent="0.25"/>
    <row r="1272" ht="15" customHeight="1" x14ac:dyDescent="0.25"/>
    <row r="1274" ht="15" customHeight="1" x14ac:dyDescent="0.25"/>
    <row r="1276" ht="15" customHeight="1" x14ac:dyDescent="0.25"/>
    <row r="1278" ht="15" customHeight="1" x14ac:dyDescent="0.25"/>
    <row r="1280" ht="15" customHeight="1" x14ac:dyDescent="0.25"/>
    <row r="1282" ht="15" customHeight="1" x14ac:dyDescent="0.25"/>
    <row r="1284" ht="15" customHeight="1" x14ac:dyDescent="0.25"/>
    <row r="1286" ht="15" customHeight="1" x14ac:dyDescent="0.25"/>
    <row r="1288" ht="15" customHeight="1" x14ac:dyDescent="0.25"/>
    <row r="1290" ht="15" customHeight="1" x14ac:dyDescent="0.25"/>
    <row r="1292" ht="15" customHeight="1" x14ac:dyDescent="0.25"/>
    <row r="1294" ht="15" customHeight="1" x14ac:dyDescent="0.25"/>
    <row r="1296" ht="15" customHeight="1" x14ac:dyDescent="0.25"/>
    <row r="1298" ht="15" customHeight="1" x14ac:dyDescent="0.25"/>
    <row r="1300" ht="15" customHeight="1" x14ac:dyDescent="0.25"/>
    <row r="1302" ht="15" customHeight="1" x14ac:dyDescent="0.25"/>
    <row r="1304" ht="15" customHeight="1" x14ac:dyDescent="0.25"/>
    <row r="1306" ht="15" customHeight="1" x14ac:dyDescent="0.25"/>
    <row r="1308" ht="15" customHeight="1" x14ac:dyDescent="0.25"/>
    <row r="1310" ht="15" customHeight="1" x14ac:dyDescent="0.25"/>
    <row r="1312" ht="15" customHeight="1" x14ac:dyDescent="0.25"/>
    <row r="1314" ht="15" customHeight="1" x14ac:dyDescent="0.25"/>
    <row r="1316" ht="15" customHeight="1" x14ac:dyDescent="0.25"/>
    <row r="1318" ht="15" customHeight="1" x14ac:dyDescent="0.25"/>
    <row r="1320" ht="15" customHeight="1" x14ac:dyDescent="0.25"/>
    <row r="1322" ht="15" customHeight="1" x14ac:dyDescent="0.25"/>
    <row r="1324" ht="15" customHeight="1" x14ac:dyDescent="0.25"/>
    <row r="1326" ht="15" customHeight="1" x14ac:dyDescent="0.25"/>
    <row r="1328" ht="15" customHeight="1" x14ac:dyDescent="0.25"/>
    <row r="1330" ht="15" customHeight="1" x14ac:dyDescent="0.25"/>
    <row r="1332" ht="15" customHeight="1" x14ac:dyDescent="0.25"/>
    <row r="1334" ht="15" customHeight="1" x14ac:dyDescent="0.25"/>
    <row r="1336" ht="15" customHeight="1" x14ac:dyDescent="0.25"/>
    <row r="1338" ht="15" customHeight="1" x14ac:dyDescent="0.25"/>
    <row r="1340" ht="15" customHeight="1" x14ac:dyDescent="0.25"/>
    <row r="1342" ht="15" customHeight="1" x14ac:dyDescent="0.25"/>
    <row r="1344" ht="15" customHeight="1" x14ac:dyDescent="0.25"/>
    <row r="1346" ht="15" customHeight="1" x14ac:dyDescent="0.25"/>
    <row r="1348" ht="15" customHeight="1" x14ac:dyDescent="0.25"/>
    <row r="1350" ht="15" customHeight="1" x14ac:dyDescent="0.25"/>
    <row r="1352" ht="15" customHeight="1" x14ac:dyDescent="0.25"/>
    <row r="1354" ht="15" customHeight="1" x14ac:dyDescent="0.25"/>
    <row r="1356" ht="15" customHeight="1" x14ac:dyDescent="0.25"/>
    <row r="1358" ht="15" customHeight="1" x14ac:dyDescent="0.25"/>
    <row r="1360" ht="15" customHeight="1" x14ac:dyDescent="0.25"/>
    <row r="1362" ht="15" customHeight="1" x14ac:dyDescent="0.25"/>
    <row r="1364" ht="15" customHeight="1" x14ac:dyDescent="0.25"/>
    <row r="1366" ht="15" customHeight="1" x14ac:dyDescent="0.25"/>
    <row r="1368" ht="15" customHeight="1" x14ac:dyDescent="0.25"/>
    <row r="1370" ht="15" customHeight="1" x14ac:dyDescent="0.25"/>
    <row r="1372" ht="15" customHeight="1" x14ac:dyDescent="0.25"/>
    <row r="1374" ht="15" customHeight="1" x14ac:dyDescent="0.25"/>
    <row r="1376" ht="15" customHeight="1" x14ac:dyDescent="0.25"/>
    <row r="1378" ht="15" customHeight="1" x14ac:dyDescent="0.25"/>
    <row r="1380" ht="15" customHeight="1" x14ac:dyDescent="0.25"/>
    <row r="1382" ht="15" customHeight="1" x14ac:dyDescent="0.25"/>
    <row r="1384" ht="15" customHeight="1" x14ac:dyDescent="0.25"/>
    <row r="1386" ht="15" customHeight="1" x14ac:dyDescent="0.25"/>
    <row r="1388" ht="15" customHeight="1" x14ac:dyDescent="0.25"/>
    <row r="1390" ht="15" customHeight="1" x14ac:dyDescent="0.25"/>
    <row r="1392" ht="15" customHeight="1" x14ac:dyDescent="0.25"/>
    <row r="1394" ht="15" customHeight="1" x14ac:dyDescent="0.25"/>
    <row r="1396" ht="15" customHeight="1" x14ac:dyDescent="0.25"/>
    <row r="1398" ht="15" customHeight="1" x14ac:dyDescent="0.25"/>
    <row r="1400" ht="15" customHeight="1" x14ac:dyDescent="0.25"/>
    <row r="1402" ht="15" customHeight="1" x14ac:dyDescent="0.25"/>
    <row r="1404" ht="15" customHeight="1" x14ac:dyDescent="0.25"/>
    <row r="1406" ht="15" customHeight="1" x14ac:dyDescent="0.25"/>
    <row r="1408" ht="15" customHeight="1" x14ac:dyDescent="0.25"/>
    <row r="1410" ht="15" customHeight="1" x14ac:dyDescent="0.25"/>
    <row r="1412" ht="15" customHeight="1" x14ac:dyDescent="0.25"/>
    <row r="1414" ht="15" customHeight="1" x14ac:dyDescent="0.25"/>
    <row r="1416" ht="15" customHeight="1" x14ac:dyDescent="0.25"/>
    <row r="1418" ht="15" customHeight="1" x14ac:dyDescent="0.25"/>
    <row r="1420" ht="15" customHeight="1" x14ac:dyDescent="0.25"/>
    <row r="1422" ht="15" customHeight="1" x14ac:dyDescent="0.25"/>
    <row r="1424" ht="15" customHeight="1" x14ac:dyDescent="0.25"/>
    <row r="1426" ht="15" customHeight="1" x14ac:dyDescent="0.25"/>
    <row r="1428" ht="15" customHeight="1" x14ac:dyDescent="0.25"/>
    <row r="1430" ht="15" customHeight="1" x14ac:dyDescent="0.25"/>
    <row r="1432" ht="15" customHeight="1" x14ac:dyDescent="0.25"/>
    <row r="1434" ht="15" customHeight="1" x14ac:dyDescent="0.25"/>
    <row r="1436" ht="15" customHeight="1" x14ac:dyDescent="0.25"/>
    <row r="1438" ht="15" customHeight="1" x14ac:dyDescent="0.25"/>
    <row r="1440" ht="15" customHeight="1" x14ac:dyDescent="0.25"/>
    <row r="1442" ht="15" customHeight="1" x14ac:dyDescent="0.25"/>
    <row r="1444" ht="15" customHeight="1" x14ac:dyDescent="0.25"/>
    <row r="1446" ht="15" customHeight="1" x14ac:dyDescent="0.25"/>
    <row r="1448" ht="15" customHeight="1" x14ac:dyDescent="0.25"/>
    <row r="1450" ht="15" customHeight="1" x14ac:dyDescent="0.25"/>
    <row r="1452" ht="15" customHeight="1" x14ac:dyDescent="0.25"/>
    <row r="1454" ht="15" customHeight="1" x14ac:dyDescent="0.25"/>
    <row r="1456" ht="15" customHeight="1" x14ac:dyDescent="0.25"/>
    <row r="1458" ht="15" customHeight="1" x14ac:dyDescent="0.25"/>
    <row r="1460" ht="15" customHeight="1" x14ac:dyDescent="0.25"/>
    <row r="1462" ht="15" customHeight="1" x14ac:dyDescent="0.25"/>
    <row r="1464" ht="15" customHeight="1" x14ac:dyDescent="0.25"/>
    <row r="1466" ht="15" customHeight="1" x14ac:dyDescent="0.25"/>
    <row r="1468" ht="15" customHeight="1" x14ac:dyDescent="0.25"/>
    <row r="1470" ht="15" customHeight="1" x14ac:dyDescent="0.25"/>
    <row r="1472" ht="15" customHeight="1" x14ac:dyDescent="0.25"/>
    <row r="1474" ht="15" customHeight="1" x14ac:dyDescent="0.25"/>
    <row r="1476" ht="15" customHeight="1" x14ac:dyDescent="0.25"/>
    <row r="1478" ht="15" customHeight="1" x14ac:dyDescent="0.25"/>
    <row r="1480" ht="15" customHeight="1" x14ac:dyDescent="0.25"/>
    <row r="1482" ht="15" customHeight="1" x14ac:dyDescent="0.25"/>
    <row r="1484" ht="15" customHeight="1" x14ac:dyDescent="0.25"/>
    <row r="1486" ht="15" customHeight="1" x14ac:dyDescent="0.25"/>
    <row r="1488" ht="15" customHeight="1" x14ac:dyDescent="0.25"/>
    <row r="1490" ht="15" customHeight="1" x14ac:dyDescent="0.25"/>
    <row r="1492" ht="15" customHeight="1" x14ac:dyDescent="0.25"/>
    <row r="1494" ht="15" customHeight="1" x14ac:dyDescent="0.25"/>
    <row r="1496" ht="15" customHeight="1" x14ac:dyDescent="0.25"/>
    <row r="1498" ht="15" customHeight="1" x14ac:dyDescent="0.25"/>
    <row r="1500" ht="15" customHeight="1" x14ac:dyDescent="0.25"/>
    <row r="1502" ht="15" customHeight="1" x14ac:dyDescent="0.25"/>
    <row r="1504" ht="15" customHeight="1" x14ac:dyDescent="0.25"/>
    <row r="1506" ht="15" customHeight="1" x14ac:dyDescent="0.25"/>
    <row r="1508" ht="15" customHeight="1" x14ac:dyDescent="0.25"/>
    <row r="1510" ht="15" customHeight="1" x14ac:dyDescent="0.25"/>
    <row r="1512" ht="15" customHeight="1" x14ac:dyDescent="0.25"/>
    <row r="1514" ht="15" customHeight="1" x14ac:dyDescent="0.25"/>
    <row r="1516" ht="15" customHeight="1" x14ac:dyDescent="0.25"/>
    <row r="1518" ht="15" customHeight="1" x14ac:dyDescent="0.25"/>
    <row r="1520" ht="15" customHeight="1" x14ac:dyDescent="0.25"/>
    <row r="1522" ht="15" customHeight="1" x14ac:dyDescent="0.25"/>
    <row r="1524" ht="15" customHeight="1" x14ac:dyDescent="0.25"/>
    <row r="1526" ht="15" customHeight="1" x14ac:dyDescent="0.25"/>
    <row r="1528" ht="15" customHeight="1" x14ac:dyDescent="0.25"/>
    <row r="1530" ht="15" customHeight="1" x14ac:dyDescent="0.25"/>
    <row r="1532" ht="15" customHeight="1" x14ac:dyDescent="0.25"/>
    <row r="1534" ht="15" customHeight="1" x14ac:dyDescent="0.25"/>
    <row r="1536" ht="15" customHeight="1" x14ac:dyDescent="0.25"/>
    <row r="1538" ht="15" customHeight="1" x14ac:dyDescent="0.25"/>
    <row r="1540" ht="15" customHeight="1" x14ac:dyDescent="0.25"/>
    <row r="1542" ht="15" customHeight="1" x14ac:dyDescent="0.25"/>
    <row r="1544" ht="15" customHeight="1" x14ac:dyDescent="0.25"/>
    <row r="1546" ht="15" customHeight="1" x14ac:dyDescent="0.25"/>
    <row r="1548" ht="15" customHeight="1" x14ac:dyDescent="0.25"/>
    <row r="1550" ht="15" customHeight="1" x14ac:dyDescent="0.25"/>
    <row r="1552" ht="15" customHeight="1" x14ac:dyDescent="0.25"/>
    <row r="1554" ht="15" customHeight="1" x14ac:dyDescent="0.25"/>
    <row r="1556" ht="15" customHeight="1" x14ac:dyDescent="0.25"/>
    <row r="1558" ht="15" customHeight="1" x14ac:dyDescent="0.25"/>
    <row r="1560" ht="15" customHeight="1" x14ac:dyDescent="0.25"/>
    <row r="1562" ht="15" customHeight="1" x14ac:dyDescent="0.25"/>
    <row r="1564" ht="15" customHeight="1" x14ac:dyDescent="0.25"/>
    <row r="1566" ht="15" customHeight="1" x14ac:dyDescent="0.25"/>
    <row r="1568" ht="15" customHeight="1" x14ac:dyDescent="0.25"/>
    <row r="1570" ht="15" customHeight="1" x14ac:dyDescent="0.25"/>
    <row r="1572" ht="15" customHeight="1" x14ac:dyDescent="0.25"/>
    <row r="1574" ht="15" customHeight="1" x14ac:dyDescent="0.25"/>
    <row r="1576" ht="15" customHeight="1" x14ac:dyDescent="0.25"/>
    <row r="1578" ht="15" customHeight="1" x14ac:dyDescent="0.25"/>
    <row r="1580" ht="15" customHeight="1" x14ac:dyDescent="0.25"/>
    <row r="1582" ht="15" customHeight="1" x14ac:dyDescent="0.25"/>
    <row r="1584" ht="15" customHeight="1" x14ac:dyDescent="0.25"/>
    <row r="1586" ht="15" customHeight="1" x14ac:dyDescent="0.25"/>
    <row r="1588" ht="15" customHeight="1" x14ac:dyDescent="0.25"/>
    <row r="1590" ht="15" customHeight="1" x14ac:dyDescent="0.25"/>
    <row r="1592" ht="15" customHeight="1" x14ac:dyDescent="0.25"/>
    <row r="1594" ht="15" customHeight="1" x14ac:dyDescent="0.25"/>
    <row r="1596" ht="15" customHeight="1" x14ac:dyDescent="0.25"/>
    <row r="1598" ht="15" customHeight="1" x14ac:dyDescent="0.25"/>
    <row r="1600" ht="15" customHeight="1" x14ac:dyDescent="0.25"/>
    <row r="1602" ht="15" customHeight="1" x14ac:dyDescent="0.25"/>
    <row r="1604" ht="15" customHeight="1" x14ac:dyDescent="0.25"/>
    <row r="1606" ht="15" customHeight="1" x14ac:dyDescent="0.25"/>
    <row r="1608" ht="15" customHeight="1" x14ac:dyDescent="0.25"/>
    <row r="1610" ht="15" customHeight="1" x14ac:dyDescent="0.25"/>
    <row r="1612" ht="15" customHeight="1" x14ac:dyDescent="0.25"/>
    <row r="1614" ht="15" customHeight="1" x14ac:dyDescent="0.25"/>
    <row r="1616" ht="15" customHeight="1" x14ac:dyDescent="0.25"/>
    <row r="1618" ht="15" customHeight="1" x14ac:dyDescent="0.25"/>
    <row r="1620" ht="15" customHeight="1" x14ac:dyDescent="0.25"/>
    <row r="1622" ht="15" customHeight="1" x14ac:dyDescent="0.25"/>
    <row r="1624" ht="15" customHeight="1" x14ac:dyDescent="0.25"/>
    <row r="1626" ht="15" customHeight="1" x14ac:dyDescent="0.25"/>
    <row r="1628" ht="15" customHeight="1" x14ac:dyDescent="0.25"/>
    <row r="1630" ht="15" customHeight="1" x14ac:dyDescent="0.25"/>
    <row r="1632" ht="15" customHeight="1" x14ac:dyDescent="0.25"/>
    <row r="1634" ht="15" customHeight="1" x14ac:dyDescent="0.25"/>
    <row r="1636" ht="15" customHeight="1" x14ac:dyDescent="0.25"/>
    <row r="1638" ht="15" customHeight="1" x14ac:dyDescent="0.25"/>
    <row r="1640" ht="15" customHeight="1" x14ac:dyDescent="0.25"/>
    <row r="1642" ht="15" customHeight="1" x14ac:dyDescent="0.25"/>
    <row r="1644" ht="15" customHeight="1" x14ac:dyDescent="0.25"/>
    <row r="1646" ht="15" customHeight="1" x14ac:dyDescent="0.25"/>
    <row r="1648" ht="15" customHeight="1" x14ac:dyDescent="0.25"/>
    <row r="1650" ht="15" customHeight="1" x14ac:dyDescent="0.25"/>
    <row r="1652" ht="15" customHeight="1" x14ac:dyDescent="0.25"/>
    <row r="1654" ht="15" customHeight="1" x14ac:dyDescent="0.25"/>
    <row r="1656" ht="15" customHeight="1" x14ac:dyDescent="0.25"/>
    <row r="1658" ht="15" customHeight="1" x14ac:dyDescent="0.25"/>
    <row r="1660" ht="15" customHeight="1" x14ac:dyDescent="0.25"/>
    <row r="1662" ht="15" customHeight="1" x14ac:dyDescent="0.25"/>
    <row r="1664" ht="15" customHeight="1" x14ac:dyDescent="0.25"/>
    <row r="1666" ht="15" customHeight="1" x14ac:dyDescent="0.25"/>
    <row r="1668" ht="15" customHeight="1" x14ac:dyDescent="0.25"/>
    <row r="1670" ht="15" customHeight="1" x14ac:dyDescent="0.25"/>
    <row r="1672" ht="15" customHeight="1" x14ac:dyDescent="0.25"/>
    <row r="1674" ht="15" customHeight="1" x14ac:dyDescent="0.25"/>
    <row r="1676" ht="15" customHeight="1" x14ac:dyDescent="0.25"/>
    <row r="1678" ht="15" customHeight="1" x14ac:dyDescent="0.25"/>
    <row r="1680" ht="15" customHeight="1" x14ac:dyDescent="0.25"/>
    <row r="1682" ht="15" customHeight="1" x14ac:dyDescent="0.25"/>
    <row r="1684" ht="15" customHeight="1" x14ac:dyDescent="0.25"/>
    <row r="1686" ht="15" customHeight="1" x14ac:dyDescent="0.25"/>
    <row r="1688" ht="15" customHeight="1" x14ac:dyDescent="0.25"/>
    <row r="1690" ht="15" customHeight="1" x14ac:dyDescent="0.25"/>
    <row r="1692" ht="15" customHeight="1" x14ac:dyDescent="0.25"/>
    <row r="1694" ht="15" customHeight="1" x14ac:dyDescent="0.25"/>
    <row r="1696" ht="15" customHeight="1" x14ac:dyDescent="0.25"/>
    <row r="1698" ht="15" customHeight="1" x14ac:dyDescent="0.25"/>
    <row r="1700" ht="15" customHeight="1" x14ac:dyDescent="0.25"/>
    <row r="1702" ht="15" customHeight="1" x14ac:dyDescent="0.25"/>
    <row r="1704" ht="15" customHeight="1" x14ac:dyDescent="0.25"/>
    <row r="1706" ht="15" customHeight="1" x14ac:dyDescent="0.25"/>
    <row r="1708" ht="15" customHeight="1" x14ac:dyDescent="0.25"/>
    <row r="1710" ht="15" customHeight="1" x14ac:dyDescent="0.25"/>
    <row r="1712" ht="15" customHeight="1" x14ac:dyDescent="0.25"/>
    <row r="1714" ht="15" customHeight="1" x14ac:dyDescent="0.25"/>
    <row r="1716" ht="15" customHeight="1" x14ac:dyDescent="0.25"/>
    <row r="1718" ht="15" customHeight="1" x14ac:dyDescent="0.25"/>
    <row r="1720" ht="15" customHeight="1" x14ac:dyDescent="0.25"/>
    <row r="1722" ht="15" customHeight="1" x14ac:dyDescent="0.25"/>
    <row r="1724" ht="15" customHeight="1" x14ac:dyDescent="0.25"/>
    <row r="1726" ht="15" customHeight="1" x14ac:dyDescent="0.25"/>
    <row r="1728" ht="15" customHeight="1" x14ac:dyDescent="0.25"/>
    <row r="1730" ht="15" customHeight="1" x14ac:dyDescent="0.25"/>
    <row r="1732" ht="15" customHeight="1" x14ac:dyDescent="0.25"/>
    <row r="1734" ht="15" customHeight="1" x14ac:dyDescent="0.25"/>
    <row r="1736" ht="15" customHeight="1" x14ac:dyDescent="0.25"/>
    <row r="1738" ht="15" customHeight="1" x14ac:dyDescent="0.25"/>
    <row r="1740" ht="15" customHeight="1" x14ac:dyDescent="0.25"/>
    <row r="1742" ht="15" customHeight="1" x14ac:dyDescent="0.25"/>
    <row r="1744" ht="15" customHeight="1" x14ac:dyDescent="0.25"/>
    <row r="1746" ht="15" customHeight="1" x14ac:dyDescent="0.25"/>
    <row r="1748" ht="15" customHeight="1" x14ac:dyDescent="0.25"/>
    <row r="1750" ht="15" customHeight="1" x14ac:dyDescent="0.25"/>
    <row r="1752" ht="15" customHeight="1" x14ac:dyDescent="0.25"/>
    <row r="1754" ht="15" customHeight="1" x14ac:dyDescent="0.25"/>
    <row r="1756" ht="15" customHeight="1" x14ac:dyDescent="0.25"/>
    <row r="1758" ht="15" customHeight="1" x14ac:dyDescent="0.25"/>
    <row r="1760" ht="15" customHeight="1" x14ac:dyDescent="0.25"/>
    <row r="1762" ht="15" customHeight="1" x14ac:dyDescent="0.25"/>
    <row r="1764" ht="15" customHeight="1" x14ac:dyDescent="0.25"/>
    <row r="1766" ht="15" customHeight="1" x14ac:dyDescent="0.25"/>
    <row r="1768" ht="15" customHeight="1" x14ac:dyDescent="0.25"/>
    <row r="1770" ht="15" customHeight="1" x14ac:dyDescent="0.25"/>
    <row r="1772" ht="15" customHeight="1" x14ac:dyDescent="0.25"/>
    <row r="1774" ht="15" customHeight="1" x14ac:dyDescent="0.25"/>
    <row r="1776" ht="15" customHeight="1" x14ac:dyDescent="0.25"/>
    <row r="1778" ht="15" customHeight="1" x14ac:dyDescent="0.25"/>
    <row r="1780" ht="15" customHeight="1" x14ac:dyDescent="0.25"/>
    <row r="1782" ht="15" customHeight="1" x14ac:dyDescent="0.25"/>
    <row r="1784" ht="15" customHeight="1" x14ac:dyDescent="0.25"/>
    <row r="1786" ht="15" customHeight="1" x14ac:dyDescent="0.25"/>
    <row r="1788" ht="15" customHeight="1" x14ac:dyDescent="0.25"/>
    <row r="1790" ht="15" customHeight="1" x14ac:dyDescent="0.25"/>
    <row r="1792" ht="15" customHeight="1" x14ac:dyDescent="0.25"/>
    <row r="1794" ht="15" customHeight="1" x14ac:dyDescent="0.25"/>
    <row r="1796" ht="15" customHeight="1" x14ac:dyDescent="0.25"/>
    <row r="1798" ht="15" customHeight="1" x14ac:dyDescent="0.25"/>
    <row r="1800" ht="15" customHeight="1" x14ac:dyDescent="0.25"/>
    <row r="1802" ht="15" customHeight="1" x14ac:dyDescent="0.25"/>
    <row r="1804" ht="15" customHeight="1" x14ac:dyDescent="0.25"/>
    <row r="1806" ht="15" customHeight="1" x14ac:dyDescent="0.25"/>
    <row r="1808" ht="15" customHeight="1" x14ac:dyDescent="0.25"/>
    <row r="1810" ht="15" customHeight="1" x14ac:dyDescent="0.25"/>
    <row r="1812" ht="15" customHeight="1" x14ac:dyDescent="0.25"/>
    <row r="1814" ht="15" customHeight="1" x14ac:dyDescent="0.25"/>
    <row r="1816" ht="15" customHeight="1" x14ac:dyDescent="0.25"/>
    <row r="1818" ht="15" customHeight="1" x14ac:dyDescent="0.25"/>
    <row r="1820" ht="15" customHeight="1" x14ac:dyDescent="0.25"/>
    <row r="1822" ht="15" customHeight="1" x14ac:dyDescent="0.25"/>
    <row r="1824" ht="15" customHeight="1" x14ac:dyDescent="0.25"/>
    <row r="1826" ht="15" customHeight="1" x14ac:dyDescent="0.25"/>
    <row r="1828" ht="15" customHeight="1" x14ac:dyDescent="0.25"/>
    <row r="1830" ht="15" customHeight="1" x14ac:dyDescent="0.25"/>
    <row r="1832" ht="15" customHeight="1" x14ac:dyDescent="0.25"/>
    <row r="1834" ht="15" customHeight="1" x14ac:dyDescent="0.25"/>
    <row r="1836" ht="15" customHeight="1" x14ac:dyDescent="0.25"/>
    <row r="1838" ht="15" customHeight="1" x14ac:dyDescent="0.25"/>
    <row r="1840" ht="15" customHeight="1" x14ac:dyDescent="0.25"/>
    <row r="1842" ht="15" customHeight="1" x14ac:dyDescent="0.25"/>
    <row r="1844" ht="15" customHeight="1" x14ac:dyDescent="0.25"/>
    <row r="1846" ht="15" customHeight="1" x14ac:dyDescent="0.25"/>
    <row r="1848" ht="15" customHeight="1" x14ac:dyDescent="0.25"/>
    <row r="1850" ht="15" customHeight="1" x14ac:dyDescent="0.25"/>
    <row r="1852" ht="15" customHeight="1" x14ac:dyDescent="0.25"/>
    <row r="1854" ht="15" customHeight="1" x14ac:dyDescent="0.25"/>
    <row r="1856" ht="15" customHeight="1" x14ac:dyDescent="0.25"/>
    <row r="1858" ht="15" customHeight="1" x14ac:dyDescent="0.25"/>
    <row r="1860" ht="15" customHeight="1" x14ac:dyDescent="0.25"/>
    <row r="1862" ht="15" customHeight="1" x14ac:dyDescent="0.25"/>
    <row r="1864" ht="15" customHeight="1" x14ac:dyDescent="0.25"/>
    <row r="1866" ht="15" customHeight="1" x14ac:dyDescent="0.25"/>
    <row r="1868" ht="15" customHeight="1" x14ac:dyDescent="0.25"/>
    <row r="1870" ht="15" customHeight="1" x14ac:dyDescent="0.25"/>
    <row r="1872" ht="15" customHeight="1" x14ac:dyDescent="0.25"/>
    <row r="1874" ht="15" customHeight="1" x14ac:dyDescent="0.25"/>
    <row r="1876" ht="15" customHeight="1" x14ac:dyDescent="0.25"/>
    <row r="1878" ht="15" customHeight="1" x14ac:dyDescent="0.25"/>
    <row r="1880" ht="15" customHeight="1" x14ac:dyDescent="0.25"/>
    <row r="1882" ht="15" customHeight="1" x14ac:dyDescent="0.25"/>
    <row r="1884" ht="15" customHeight="1" x14ac:dyDescent="0.25"/>
    <row r="1886" ht="15" customHeight="1" x14ac:dyDescent="0.25"/>
    <row r="1888" ht="15" customHeight="1" x14ac:dyDescent="0.25"/>
    <row r="1890" ht="15" customHeight="1" x14ac:dyDescent="0.25"/>
    <row r="1892" ht="15" customHeight="1" x14ac:dyDescent="0.25"/>
    <row r="1894" ht="15" customHeight="1" x14ac:dyDescent="0.25"/>
    <row r="1896" ht="15" customHeight="1" x14ac:dyDescent="0.25"/>
    <row r="1898" ht="15" customHeight="1" x14ac:dyDescent="0.25"/>
    <row r="1900" ht="15" customHeight="1" x14ac:dyDescent="0.25"/>
    <row r="1902" ht="15" customHeight="1" x14ac:dyDescent="0.25"/>
    <row r="1904" ht="15" customHeight="1" x14ac:dyDescent="0.25"/>
    <row r="1906" ht="15" customHeight="1" x14ac:dyDescent="0.25"/>
    <row r="1908" ht="15" customHeight="1" x14ac:dyDescent="0.25"/>
    <row r="1910" ht="15" customHeight="1" x14ac:dyDescent="0.25"/>
    <row r="1912" ht="15" customHeight="1" x14ac:dyDescent="0.25"/>
    <row r="1914" ht="15" customHeight="1" x14ac:dyDescent="0.25"/>
    <row r="1916" ht="15" customHeight="1" x14ac:dyDescent="0.25"/>
    <row r="1918" ht="15" customHeight="1" x14ac:dyDescent="0.25"/>
    <row r="1920" ht="15" customHeight="1" x14ac:dyDescent="0.25"/>
    <row r="1922" ht="15" customHeight="1" x14ac:dyDescent="0.25"/>
    <row r="1924" ht="15" customHeight="1" x14ac:dyDescent="0.25"/>
    <row r="1926" ht="15" customHeight="1" x14ac:dyDescent="0.25"/>
    <row r="1928" ht="15" customHeight="1" x14ac:dyDescent="0.25"/>
    <row r="1930" ht="15" customHeight="1" x14ac:dyDescent="0.25"/>
    <row r="1932" ht="15" customHeight="1" x14ac:dyDescent="0.25"/>
    <row r="1934" ht="15" customHeight="1" x14ac:dyDescent="0.25"/>
    <row r="1936" ht="15" customHeight="1" x14ac:dyDescent="0.25"/>
    <row r="1938" ht="15" customHeight="1" x14ac:dyDescent="0.25"/>
    <row r="1940" ht="15" customHeight="1" x14ac:dyDescent="0.25"/>
    <row r="1942" ht="15" customHeight="1" x14ac:dyDescent="0.25"/>
    <row r="1944" ht="15" customHeight="1" x14ac:dyDescent="0.25"/>
    <row r="1946" ht="15" customHeight="1" x14ac:dyDescent="0.25"/>
    <row r="1948" ht="15" customHeight="1" x14ac:dyDescent="0.25"/>
    <row r="1950" ht="15" customHeight="1" x14ac:dyDescent="0.25"/>
    <row r="1952" ht="15" customHeight="1" x14ac:dyDescent="0.25"/>
    <row r="1954" ht="15" customHeight="1" x14ac:dyDescent="0.25"/>
    <row r="1956" ht="15" customHeight="1" x14ac:dyDescent="0.25"/>
    <row r="1958" ht="15" customHeight="1" x14ac:dyDescent="0.25"/>
    <row r="1960" ht="15" customHeight="1" x14ac:dyDescent="0.25"/>
    <row r="1962" ht="15" customHeight="1" x14ac:dyDescent="0.25"/>
    <row r="1964" ht="15" customHeight="1" x14ac:dyDescent="0.25"/>
    <row r="1966" ht="15" customHeight="1" x14ac:dyDescent="0.25"/>
    <row r="1968" ht="15" customHeight="1" x14ac:dyDescent="0.25"/>
    <row r="1970" ht="15" customHeight="1" x14ac:dyDescent="0.25"/>
    <row r="1972" ht="15" customHeight="1" x14ac:dyDescent="0.25"/>
    <row r="1974" ht="15" customHeight="1" x14ac:dyDescent="0.25"/>
    <row r="1976" ht="15" customHeight="1" x14ac:dyDescent="0.25"/>
    <row r="1978" ht="15" customHeight="1" x14ac:dyDescent="0.25"/>
    <row r="1980" ht="15" customHeight="1" x14ac:dyDescent="0.25"/>
    <row r="1982" ht="15" customHeight="1" x14ac:dyDescent="0.25"/>
    <row r="1984" ht="15" customHeight="1" x14ac:dyDescent="0.25"/>
    <row r="1986" ht="15" customHeight="1" x14ac:dyDescent="0.25"/>
    <row r="1988" ht="15" customHeight="1" x14ac:dyDescent="0.25"/>
    <row r="1990" ht="15" customHeight="1" x14ac:dyDescent="0.25"/>
    <row r="1992" ht="15" customHeight="1" x14ac:dyDescent="0.25"/>
    <row r="1994" ht="15" customHeight="1" x14ac:dyDescent="0.25"/>
    <row r="1996" ht="15" customHeight="1" x14ac:dyDescent="0.25"/>
    <row r="1998" ht="15" customHeight="1" x14ac:dyDescent="0.25"/>
    <row r="2000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10" ht="15" customHeight="1" x14ac:dyDescent="0.25"/>
    <row r="2012" ht="15" customHeight="1" x14ac:dyDescent="0.25"/>
    <row r="2014" ht="15" customHeight="1" x14ac:dyDescent="0.25"/>
    <row r="2016" ht="15" customHeight="1" x14ac:dyDescent="0.25"/>
    <row r="2018" ht="15" customHeight="1" x14ac:dyDescent="0.25"/>
    <row r="2020" ht="15" customHeight="1" x14ac:dyDescent="0.25"/>
    <row r="2022" ht="15" customHeight="1" x14ac:dyDescent="0.25"/>
    <row r="2024" ht="15" customHeight="1" x14ac:dyDescent="0.25"/>
    <row r="2026" ht="15" customHeight="1" x14ac:dyDescent="0.25"/>
    <row r="2028" ht="15" customHeight="1" x14ac:dyDescent="0.25"/>
    <row r="2030" ht="15" customHeight="1" x14ac:dyDescent="0.25"/>
    <row r="2032" ht="15" customHeight="1" x14ac:dyDescent="0.25"/>
    <row r="2034" ht="15" customHeight="1" x14ac:dyDescent="0.25"/>
    <row r="2036" ht="15" customHeight="1" x14ac:dyDescent="0.25"/>
    <row r="2038" ht="15" customHeight="1" x14ac:dyDescent="0.25"/>
    <row r="2040" ht="15" customHeight="1" x14ac:dyDescent="0.25"/>
    <row r="2042" ht="15" customHeight="1" x14ac:dyDescent="0.25"/>
    <row r="2044" ht="15" customHeight="1" x14ac:dyDescent="0.25"/>
    <row r="2046" ht="15" customHeight="1" x14ac:dyDescent="0.25"/>
    <row r="2048" ht="15" customHeight="1" x14ac:dyDescent="0.25"/>
    <row r="2050" ht="15" customHeight="1" x14ac:dyDescent="0.25"/>
    <row r="2052" ht="15" customHeight="1" x14ac:dyDescent="0.25"/>
    <row r="2054" ht="15" customHeight="1" x14ac:dyDescent="0.25"/>
    <row r="2056" ht="15" customHeight="1" x14ac:dyDescent="0.25"/>
    <row r="2058" ht="15" customHeight="1" x14ac:dyDescent="0.25"/>
    <row r="2060" ht="15" customHeight="1" x14ac:dyDescent="0.25"/>
    <row r="2062" ht="15" customHeight="1" x14ac:dyDescent="0.25"/>
    <row r="2064" ht="15" customHeight="1" x14ac:dyDescent="0.25"/>
    <row r="2066" ht="15" customHeight="1" x14ac:dyDescent="0.25"/>
    <row r="2068" ht="15" customHeight="1" x14ac:dyDescent="0.25"/>
    <row r="2070" ht="15" customHeight="1" x14ac:dyDescent="0.25"/>
    <row r="2072" ht="15" customHeight="1" x14ac:dyDescent="0.25"/>
    <row r="2074" ht="15" customHeight="1" x14ac:dyDescent="0.25"/>
    <row r="2076" ht="15" customHeight="1" x14ac:dyDescent="0.25"/>
    <row r="2078" ht="15" customHeight="1" x14ac:dyDescent="0.25"/>
    <row r="2080" ht="15" customHeight="1" x14ac:dyDescent="0.25"/>
    <row r="2082" ht="15" customHeight="1" x14ac:dyDescent="0.25"/>
    <row r="2084" ht="15" customHeight="1" x14ac:dyDescent="0.25"/>
    <row r="2086" ht="15" customHeight="1" x14ac:dyDescent="0.25"/>
    <row r="2088" ht="15" customHeight="1" x14ac:dyDescent="0.25"/>
    <row r="2090" ht="15" customHeight="1" x14ac:dyDescent="0.25"/>
    <row r="2092" ht="15" customHeight="1" x14ac:dyDescent="0.25"/>
    <row r="2094" ht="15" customHeight="1" x14ac:dyDescent="0.25"/>
    <row r="2096" ht="15" customHeight="1" x14ac:dyDescent="0.25"/>
    <row r="2098" ht="15" customHeight="1" x14ac:dyDescent="0.25"/>
    <row r="2100" ht="15" customHeight="1" x14ac:dyDescent="0.25"/>
    <row r="2102" ht="15" customHeight="1" x14ac:dyDescent="0.25"/>
    <row r="2104" ht="15" customHeight="1" x14ac:dyDescent="0.25"/>
    <row r="2106" ht="15" customHeight="1" x14ac:dyDescent="0.25"/>
    <row r="2108" ht="15" customHeight="1" x14ac:dyDescent="0.25"/>
    <row r="2110" ht="15" customHeight="1" x14ac:dyDescent="0.25"/>
    <row r="2112" ht="15" customHeight="1" x14ac:dyDescent="0.25"/>
    <row r="2114" ht="15" customHeight="1" x14ac:dyDescent="0.25"/>
    <row r="2116" ht="15" customHeight="1" x14ac:dyDescent="0.25"/>
    <row r="2118" ht="15" customHeight="1" x14ac:dyDescent="0.25"/>
    <row r="2120" ht="15" customHeight="1" x14ac:dyDescent="0.25"/>
    <row r="2122" ht="15" customHeight="1" x14ac:dyDescent="0.25"/>
    <row r="2124" ht="15" customHeight="1" x14ac:dyDescent="0.25"/>
    <row r="2126" ht="15" customHeight="1" x14ac:dyDescent="0.25"/>
    <row r="2128" ht="15" customHeight="1" x14ac:dyDescent="0.25"/>
    <row r="2130" ht="15" customHeight="1" x14ac:dyDescent="0.25"/>
    <row r="2132" ht="15" customHeight="1" x14ac:dyDescent="0.25"/>
    <row r="2134" ht="15" customHeight="1" x14ac:dyDescent="0.25"/>
    <row r="2136" ht="15" customHeight="1" x14ac:dyDescent="0.25"/>
    <row r="2138" ht="15" customHeight="1" x14ac:dyDescent="0.25"/>
    <row r="2140" ht="15" customHeight="1" x14ac:dyDescent="0.25"/>
    <row r="2142" ht="15" customHeight="1" x14ac:dyDescent="0.25"/>
    <row r="2144" ht="15" customHeight="1" x14ac:dyDescent="0.25"/>
    <row r="2146" ht="15" customHeight="1" x14ac:dyDescent="0.25"/>
    <row r="2148" ht="15" customHeight="1" x14ac:dyDescent="0.25"/>
    <row r="2150" ht="15" customHeight="1" x14ac:dyDescent="0.25"/>
    <row r="2152" ht="15" customHeight="1" x14ac:dyDescent="0.25"/>
    <row r="2154" ht="15" customHeight="1" x14ac:dyDescent="0.25"/>
    <row r="2156" ht="15" customHeight="1" x14ac:dyDescent="0.25"/>
    <row r="2158" ht="15" customHeight="1" x14ac:dyDescent="0.25"/>
    <row r="2160" ht="15" customHeight="1" x14ac:dyDescent="0.25"/>
    <row r="2162" ht="15" customHeight="1" x14ac:dyDescent="0.25"/>
    <row r="2164" ht="15" customHeight="1" x14ac:dyDescent="0.25"/>
    <row r="2166" ht="15" customHeight="1" x14ac:dyDescent="0.25"/>
    <row r="2168" ht="15" customHeight="1" x14ac:dyDescent="0.25"/>
    <row r="2170" ht="15" customHeight="1" x14ac:dyDescent="0.25"/>
    <row r="2172" ht="15" customHeight="1" x14ac:dyDescent="0.25"/>
    <row r="2174" ht="15" customHeight="1" x14ac:dyDescent="0.25"/>
    <row r="2176" ht="15" customHeight="1" x14ac:dyDescent="0.25"/>
    <row r="2178" ht="15" customHeight="1" x14ac:dyDescent="0.25"/>
    <row r="2180" ht="15" customHeight="1" x14ac:dyDescent="0.25"/>
    <row r="2182" ht="15" customHeight="1" x14ac:dyDescent="0.25"/>
    <row r="2184" ht="15" customHeight="1" x14ac:dyDescent="0.25"/>
    <row r="2186" ht="15" customHeight="1" x14ac:dyDescent="0.25"/>
    <row r="2188" ht="15" customHeight="1" x14ac:dyDescent="0.25"/>
    <row r="2190" ht="15" customHeight="1" x14ac:dyDescent="0.25"/>
    <row r="2192" ht="15" customHeight="1" x14ac:dyDescent="0.25"/>
    <row r="2194" ht="15" customHeight="1" x14ac:dyDescent="0.25"/>
    <row r="2196" ht="15" customHeight="1" x14ac:dyDescent="0.25"/>
    <row r="2198" ht="15" customHeight="1" x14ac:dyDescent="0.25"/>
    <row r="2200" ht="15" customHeight="1" x14ac:dyDescent="0.25"/>
    <row r="2202" ht="15" customHeight="1" x14ac:dyDescent="0.25"/>
    <row r="2204" ht="15" customHeight="1" x14ac:dyDescent="0.25"/>
    <row r="2206" ht="15" customHeight="1" x14ac:dyDescent="0.25"/>
    <row r="2208" ht="15" customHeight="1" x14ac:dyDescent="0.25"/>
    <row r="2210" ht="15" customHeight="1" x14ac:dyDescent="0.25"/>
    <row r="2212" ht="15" customHeight="1" x14ac:dyDescent="0.25"/>
    <row r="2214" ht="15" customHeight="1" x14ac:dyDescent="0.25"/>
    <row r="2216" ht="15" customHeight="1" x14ac:dyDescent="0.25"/>
    <row r="2218" ht="15" customHeight="1" x14ac:dyDescent="0.25"/>
    <row r="2220" ht="15" customHeight="1" x14ac:dyDescent="0.25"/>
    <row r="2222" ht="15" customHeight="1" x14ac:dyDescent="0.25"/>
    <row r="2224" ht="15" customHeight="1" x14ac:dyDescent="0.25"/>
    <row r="2226" ht="15" customHeight="1" x14ac:dyDescent="0.25"/>
    <row r="2228" ht="15" customHeight="1" x14ac:dyDescent="0.25"/>
    <row r="2230" ht="15" customHeight="1" x14ac:dyDescent="0.25"/>
    <row r="2232" ht="15" customHeight="1" x14ac:dyDescent="0.25"/>
    <row r="2234" ht="15" customHeight="1" x14ac:dyDescent="0.25"/>
    <row r="2236" ht="15" customHeight="1" x14ac:dyDescent="0.25"/>
    <row r="2238" ht="15" customHeight="1" x14ac:dyDescent="0.25"/>
    <row r="2240" ht="15" customHeight="1" x14ac:dyDescent="0.25"/>
    <row r="2242" ht="15" customHeight="1" x14ac:dyDescent="0.25"/>
    <row r="2244" ht="15" customHeight="1" x14ac:dyDescent="0.25"/>
    <row r="2246" ht="15" customHeight="1" x14ac:dyDescent="0.25"/>
    <row r="2248" ht="15" customHeight="1" x14ac:dyDescent="0.25"/>
    <row r="2250" ht="15" customHeight="1" x14ac:dyDescent="0.25"/>
    <row r="2252" ht="15" customHeight="1" x14ac:dyDescent="0.25"/>
    <row r="2254" ht="15" customHeight="1" x14ac:dyDescent="0.25"/>
    <row r="2256" ht="15" customHeight="1" x14ac:dyDescent="0.25"/>
    <row r="2258" ht="15" customHeight="1" x14ac:dyDescent="0.25"/>
    <row r="2260" ht="15" customHeight="1" x14ac:dyDescent="0.25"/>
    <row r="2262" ht="15" customHeight="1" x14ac:dyDescent="0.25"/>
    <row r="2264" ht="15" customHeight="1" x14ac:dyDescent="0.25"/>
    <row r="2266" ht="15" customHeight="1" x14ac:dyDescent="0.25"/>
    <row r="2268" ht="15" customHeight="1" x14ac:dyDescent="0.25"/>
    <row r="2270" ht="15" customHeight="1" x14ac:dyDescent="0.25"/>
    <row r="2272" ht="15" customHeight="1" x14ac:dyDescent="0.25"/>
    <row r="2274" ht="15" customHeight="1" x14ac:dyDescent="0.25"/>
    <row r="2276" ht="15" customHeight="1" x14ac:dyDescent="0.25"/>
    <row r="2278" ht="15" customHeight="1" x14ac:dyDescent="0.25"/>
    <row r="2280" ht="15" customHeight="1" x14ac:dyDescent="0.25"/>
    <row r="2282" ht="15" customHeight="1" x14ac:dyDescent="0.25"/>
    <row r="2284" ht="15" customHeight="1" x14ac:dyDescent="0.25"/>
    <row r="2286" ht="15" customHeight="1" x14ac:dyDescent="0.25"/>
    <row r="2288" ht="15" customHeight="1" x14ac:dyDescent="0.25"/>
    <row r="2290" ht="15" customHeight="1" x14ac:dyDescent="0.25"/>
    <row r="2292" ht="15" customHeight="1" x14ac:dyDescent="0.25"/>
    <row r="2294" ht="15" customHeight="1" x14ac:dyDescent="0.25"/>
    <row r="2296" ht="15" customHeight="1" x14ac:dyDescent="0.25"/>
    <row r="2298" ht="15" customHeight="1" x14ac:dyDescent="0.25"/>
    <row r="2300" ht="15" customHeight="1" x14ac:dyDescent="0.25"/>
    <row r="2302" ht="15" customHeight="1" x14ac:dyDescent="0.25"/>
    <row r="2304" ht="15" customHeight="1" x14ac:dyDescent="0.25"/>
    <row r="2306" ht="15" customHeight="1" x14ac:dyDescent="0.25"/>
    <row r="2308" ht="15" customHeight="1" x14ac:dyDescent="0.25"/>
    <row r="2310" ht="15" customHeight="1" x14ac:dyDescent="0.25"/>
    <row r="2312" ht="15" customHeight="1" x14ac:dyDescent="0.25"/>
    <row r="2314" ht="15" customHeight="1" x14ac:dyDescent="0.25"/>
    <row r="2316" ht="15" customHeight="1" x14ac:dyDescent="0.25"/>
    <row r="2318" ht="15" customHeight="1" x14ac:dyDescent="0.25"/>
    <row r="2320" ht="15" customHeight="1" x14ac:dyDescent="0.25"/>
    <row r="2322" ht="15" customHeight="1" x14ac:dyDescent="0.25"/>
    <row r="2324" ht="15" customHeight="1" x14ac:dyDescent="0.25"/>
    <row r="2326" ht="15" customHeight="1" x14ac:dyDescent="0.25"/>
    <row r="2328" ht="15" customHeight="1" x14ac:dyDescent="0.25"/>
    <row r="2330" ht="15" customHeight="1" x14ac:dyDescent="0.25"/>
    <row r="2332" ht="15" customHeight="1" x14ac:dyDescent="0.25"/>
    <row r="2334" ht="15" customHeight="1" x14ac:dyDescent="0.25"/>
    <row r="2336" ht="15" customHeight="1" x14ac:dyDescent="0.25"/>
    <row r="2338" ht="15" customHeight="1" x14ac:dyDescent="0.25"/>
    <row r="2340" ht="15" customHeight="1" x14ac:dyDescent="0.25"/>
    <row r="2342" ht="15" customHeight="1" x14ac:dyDescent="0.25"/>
    <row r="2344" ht="15" customHeight="1" x14ac:dyDescent="0.25"/>
    <row r="2346" ht="15" customHeight="1" x14ac:dyDescent="0.25"/>
    <row r="2348" ht="15" customHeight="1" x14ac:dyDescent="0.25"/>
    <row r="2350" ht="15" customHeight="1" x14ac:dyDescent="0.25"/>
    <row r="2352" ht="15" customHeight="1" x14ac:dyDescent="0.25"/>
    <row r="2354" ht="15" customHeight="1" x14ac:dyDescent="0.25"/>
    <row r="2356" ht="15" customHeight="1" x14ac:dyDescent="0.25"/>
    <row r="2358" ht="15" customHeight="1" x14ac:dyDescent="0.25"/>
    <row r="2360" ht="15" customHeight="1" x14ac:dyDescent="0.25"/>
    <row r="2362" ht="15" customHeight="1" x14ac:dyDescent="0.25"/>
    <row r="2364" ht="15" customHeight="1" x14ac:dyDescent="0.25"/>
    <row r="2366" ht="15" customHeight="1" x14ac:dyDescent="0.25"/>
    <row r="2368" ht="15" customHeight="1" x14ac:dyDescent="0.25"/>
    <row r="2370" ht="15" customHeight="1" x14ac:dyDescent="0.25"/>
    <row r="2372" ht="15" customHeight="1" x14ac:dyDescent="0.25"/>
    <row r="2374" ht="15" customHeight="1" x14ac:dyDescent="0.25"/>
    <row r="2376" ht="15" customHeight="1" x14ac:dyDescent="0.25"/>
    <row r="2378" ht="15" customHeight="1" x14ac:dyDescent="0.25"/>
    <row r="2380" ht="15" customHeight="1" x14ac:dyDescent="0.25"/>
    <row r="2382" ht="15" customHeight="1" x14ac:dyDescent="0.25"/>
    <row r="2384" ht="15" customHeight="1" x14ac:dyDescent="0.25"/>
    <row r="2386" ht="15" customHeight="1" x14ac:dyDescent="0.25"/>
    <row r="2388" ht="15" customHeight="1" x14ac:dyDescent="0.25"/>
    <row r="2390" ht="15" customHeight="1" x14ac:dyDescent="0.25"/>
    <row r="2392" ht="15" customHeight="1" x14ac:dyDescent="0.25"/>
    <row r="2394" ht="15" customHeight="1" x14ac:dyDescent="0.25"/>
    <row r="2396" ht="15" customHeight="1" x14ac:dyDescent="0.25"/>
    <row r="2398" ht="15" customHeight="1" x14ac:dyDescent="0.25"/>
    <row r="2400" ht="15" customHeight="1" x14ac:dyDescent="0.25"/>
    <row r="2402" ht="15" customHeight="1" x14ac:dyDescent="0.25"/>
    <row r="2404" ht="15" customHeight="1" x14ac:dyDescent="0.25"/>
    <row r="2406" ht="15" customHeight="1" x14ac:dyDescent="0.25"/>
    <row r="2408" ht="15" customHeight="1" x14ac:dyDescent="0.25"/>
    <row r="2410" ht="15" customHeight="1" x14ac:dyDescent="0.25"/>
    <row r="2412" ht="15" customHeight="1" x14ac:dyDescent="0.25"/>
    <row r="2414" ht="15" customHeight="1" x14ac:dyDescent="0.25"/>
    <row r="2416" ht="15" customHeight="1" x14ac:dyDescent="0.25"/>
    <row r="2418" ht="15" customHeight="1" x14ac:dyDescent="0.25"/>
    <row r="2420" ht="15" customHeight="1" x14ac:dyDescent="0.25"/>
    <row r="2422" ht="15" customHeight="1" x14ac:dyDescent="0.25"/>
    <row r="2424" ht="15" customHeight="1" x14ac:dyDescent="0.25"/>
    <row r="2426" ht="15" customHeight="1" x14ac:dyDescent="0.25"/>
    <row r="2428" ht="15" customHeight="1" x14ac:dyDescent="0.25"/>
    <row r="2430" ht="15" customHeight="1" x14ac:dyDescent="0.25"/>
    <row r="2432" ht="15" customHeight="1" x14ac:dyDescent="0.25"/>
    <row r="2434" ht="15" customHeight="1" x14ac:dyDescent="0.25"/>
    <row r="2436" ht="15" customHeight="1" x14ac:dyDescent="0.25"/>
    <row r="2438" ht="15" customHeight="1" x14ac:dyDescent="0.25"/>
    <row r="2440" ht="15" customHeight="1" x14ac:dyDescent="0.25"/>
    <row r="2442" ht="15" customHeight="1" x14ac:dyDescent="0.25"/>
    <row r="2444" ht="15" customHeight="1" x14ac:dyDescent="0.25"/>
    <row r="2446" ht="15" customHeight="1" x14ac:dyDescent="0.25"/>
    <row r="2448" ht="15" customHeight="1" x14ac:dyDescent="0.25"/>
    <row r="2450" ht="15" customHeight="1" x14ac:dyDescent="0.25"/>
    <row r="2452" ht="15" customHeight="1" x14ac:dyDescent="0.25"/>
    <row r="2454" ht="15" customHeight="1" x14ac:dyDescent="0.25"/>
    <row r="2456" ht="15" customHeight="1" x14ac:dyDescent="0.25"/>
    <row r="2458" ht="15" customHeight="1" x14ac:dyDescent="0.25"/>
    <row r="2460" ht="15" customHeight="1" x14ac:dyDescent="0.25"/>
    <row r="2462" ht="15" customHeight="1" x14ac:dyDescent="0.25"/>
    <row r="2464" ht="15" customHeight="1" x14ac:dyDescent="0.25"/>
    <row r="2466" ht="15" customHeight="1" x14ac:dyDescent="0.25"/>
    <row r="2468" ht="15" customHeight="1" x14ac:dyDescent="0.25"/>
    <row r="2470" ht="15" customHeight="1" x14ac:dyDescent="0.25"/>
    <row r="2472" ht="15" customHeight="1" x14ac:dyDescent="0.25"/>
    <row r="2474" ht="15" customHeight="1" x14ac:dyDescent="0.25"/>
    <row r="2476" ht="15" customHeight="1" x14ac:dyDescent="0.25"/>
    <row r="2478" ht="15" customHeight="1" x14ac:dyDescent="0.25"/>
    <row r="2480" ht="15" customHeight="1" x14ac:dyDescent="0.25"/>
    <row r="2482" ht="15" customHeight="1" x14ac:dyDescent="0.25"/>
    <row r="2484" ht="15" customHeight="1" x14ac:dyDescent="0.25"/>
    <row r="2486" ht="15" customHeight="1" x14ac:dyDescent="0.25"/>
    <row r="2488" ht="15" customHeight="1" x14ac:dyDescent="0.25"/>
    <row r="2490" ht="15" customHeight="1" x14ac:dyDescent="0.25"/>
    <row r="2492" ht="15" customHeight="1" x14ac:dyDescent="0.25"/>
    <row r="2494" ht="15" customHeight="1" x14ac:dyDescent="0.25"/>
    <row r="2496" ht="15" customHeight="1" x14ac:dyDescent="0.25"/>
    <row r="2498" ht="15" customHeight="1" x14ac:dyDescent="0.25"/>
    <row r="2500" ht="15" customHeight="1" x14ac:dyDescent="0.25"/>
    <row r="2502" ht="15" customHeight="1" x14ac:dyDescent="0.25"/>
    <row r="2504" ht="15" customHeight="1" x14ac:dyDescent="0.25"/>
    <row r="2506" ht="15" customHeight="1" x14ac:dyDescent="0.25"/>
    <row r="2508" ht="15" customHeight="1" x14ac:dyDescent="0.25"/>
    <row r="2510" ht="15" customHeight="1" x14ac:dyDescent="0.25"/>
    <row r="2512" ht="15" customHeight="1" x14ac:dyDescent="0.25"/>
    <row r="2514" ht="15" customHeight="1" x14ac:dyDescent="0.25"/>
    <row r="2516" ht="15" customHeight="1" x14ac:dyDescent="0.25"/>
    <row r="2518" ht="15" customHeight="1" x14ac:dyDescent="0.25"/>
    <row r="2520" ht="15" customHeight="1" x14ac:dyDescent="0.25"/>
    <row r="2522" ht="15" customHeight="1" x14ac:dyDescent="0.25"/>
    <row r="2524" ht="15" customHeight="1" x14ac:dyDescent="0.25"/>
    <row r="2526" ht="15" customHeight="1" x14ac:dyDescent="0.25"/>
    <row r="2528" ht="15" customHeight="1" x14ac:dyDescent="0.25"/>
    <row r="2530" ht="15" customHeight="1" x14ac:dyDescent="0.25"/>
    <row r="2532" ht="15" customHeight="1" x14ac:dyDescent="0.25"/>
    <row r="2534" ht="15" customHeight="1" x14ac:dyDescent="0.25"/>
    <row r="2536" ht="15" customHeight="1" x14ac:dyDescent="0.25"/>
    <row r="2538" ht="15" customHeight="1" x14ac:dyDescent="0.25"/>
    <row r="2540" ht="15" customHeight="1" x14ac:dyDescent="0.25"/>
    <row r="2542" ht="15" customHeight="1" x14ac:dyDescent="0.25"/>
    <row r="2544" ht="15" customHeight="1" x14ac:dyDescent="0.25"/>
    <row r="2546" ht="15" customHeight="1" x14ac:dyDescent="0.25"/>
    <row r="2548" ht="15" customHeight="1" x14ac:dyDescent="0.25"/>
    <row r="2550" ht="15" customHeight="1" x14ac:dyDescent="0.25"/>
    <row r="2552" ht="15" customHeight="1" x14ac:dyDescent="0.25"/>
    <row r="2554" ht="15" customHeight="1" x14ac:dyDescent="0.25"/>
    <row r="2556" ht="15" customHeight="1" x14ac:dyDescent="0.25"/>
    <row r="2558" ht="15" customHeight="1" x14ac:dyDescent="0.25"/>
    <row r="2560" ht="15" customHeight="1" x14ac:dyDescent="0.25"/>
    <row r="2562" ht="15" customHeight="1" x14ac:dyDescent="0.25"/>
    <row r="2564" ht="15" customHeight="1" x14ac:dyDescent="0.25"/>
    <row r="2566" ht="15" customHeight="1" x14ac:dyDescent="0.25"/>
    <row r="2568" ht="15" customHeight="1" x14ac:dyDescent="0.25"/>
    <row r="2570" ht="15" customHeight="1" x14ac:dyDescent="0.25"/>
    <row r="2572" ht="15" customHeight="1" x14ac:dyDescent="0.25"/>
    <row r="2574" ht="15" customHeight="1" x14ac:dyDescent="0.25"/>
    <row r="2576" ht="15" customHeight="1" x14ac:dyDescent="0.25"/>
    <row r="2578" ht="15" customHeight="1" x14ac:dyDescent="0.25"/>
    <row r="2580" ht="15" customHeight="1" x14ac:dyDescent="0.25"/>
    <row r="2582" ht="15" customHeight="1" x14ac:dyDescent="0.25"/>
    <row r="2584" ht="15" customHeight="1" x14ac:dyDescent="0.25"/>
    <row r="2586" ht="15" customHeight="1" x14ac:dyDescent="0.25"/>
    <row r="2588" ht="15" customHeight="1" x14ac:dyDescent="0.25"/>
    <row r="2590" ht="15" customHeight="1" x14ac:dyDescent="0.25"/>
    <row r="2592" ht="15" customHeight="1" x14ac:dyDescent="0.25"/>
    <row r="2594" ht="15" customHeight="1" x14ac:dyDescent="0.25"/>
    <row r="2596" ht="15" customHeight="1" x14ac:dyDescent="0.25"/>
    <row r="2598" ht="15" customHeight="1" x14ac:dyDescent="0.25"/>
    <row r="2600" ht="15" customHeight="1" x14ac:dyDescent="0.25"/>
    <row r="2602" ht="15" customHeight="1" x14ac:dyDescent="0.25"/>
    <row r="2604" ht="15" customHeight="1" x14ac:dyDescent="0.25"/>
    <row r="2606" ht="15" customHeight="1" x14ac:dyDescent="0.25"/>
    <row r="2608" ht="15" customHeight="1" x14ac:dyDescent="0.25"/>
    <row r="2610" ht="15" customHeight="1" x14ac:dyDescent="0.25"/>
    <row r="2612" ht="15" customHeight="1" x14ac:dyDescent="0.25"/>
    <row r="2614" ht="15" customHeight="1" x14ac:dyDescent="0.25"/>
    <row r="2616" ht="15" customHeight="1" x14ac:dyDescent="0.25"/>
    <row r="2618" ht="15" customHeight="1" x14ac:dyDescent="0.25"/>
    <row r="2620" ht="15" customHeight="1" x14ac:dyDescent="0.25"/>
    <row r="2622" ht="15" customHeight="1" x14ac:dyDescent="0.25"/>
    <row r="2624" ht="15" customHeight="1" x14ac:dyDescent="0.25"/>
    <row r="2626" ht="15" customHeight="1" x14ac:dyDescent="0.25"/>
    <row r="2628" ht="15" customHeight="1" x14ac:dyDescent="0.25"/>
    <row r="2630" ht="15" customHeight="1" x14ac:dyDescent="0.25"/>
    <row r="2632" ht="15" customHeight="1" x14ac:dyDescent="0.25"/>
    <row r="2634" ht="15" customHeight="1" x14ac:dyDescent="0.25"/>
    <row r="2636" ht="15" customHeight="1" x14ac:dyDescent="0.25"/>
    <row r="2638" ht="15" customHeight="1" x14ac:dyDescent="0.25"/>
    <row r="2640" ht="15" customHeight="1" x14ac:dyDescent="0.25"/>
    <row r="2642" ht="15" customHeight="1" x14ac:dyDescent="0.25"/>
    <row r="2644" ht="15" customHeight="1" x14ac:dyDescent="0.25"/>
    <row r="2646" ht="15" customHeight="1" x14ac:dyDescent="0.25"/>
    <row r="2648" ht="15" customHeight="1" x14ac:dyDescent="0.25"/>
    <row r="2650" ht="15" customHeight="1" x14ac:dyDescent="0.25"/>
    <row r="2652" ht="15" customHeight="1" x14ac:dyDescent="0.25"/>
    <row r="2654" ht="15" customHeight="1" x14ac:dyDescent="0.25"/>
    <row r="2656" ht="15" customHeight="1" x14ac:dyDescent="0.25"/>
    <row r="2658" ht="15" customHeight="1" x14ac:dyDescent="0.25"/>
    <row r="2660" ht="15" customHeight="1" x14ac:dyDescent="0.25"/>
    <row r="2662" ht="15" customHeight="1" x14ac:dyDescent="0.25"/>
    <row r="2664" ht="15" customHeight="1" x14ac:dyDescent="0.25"/>
    <row r="2666" ht="15" customHeight="1" x14ac:dyDescent="0.25"/>
    <row r="2668" ht="15" customHeight="1" x14ac:dyDescent="0.25"/>
    <row r="2670" ht="15" customHeight="1" x14ac:dyDescent="0.25"/>
    <row r="2672" ht="15" customHeight="1" x14ac:dyDescent="0.25"/>
    <row r="2674" ht="15" customHeight="1" x14ac:dyDescent="0.25"/>
    <row r="2676" ht="15" customHeight="1" x14ac:dyDescent="0.25"/>
    <row r="2678" ht="15" customHeight="1" x14ac:dyDescent="0.25"/>
    <row r="2680" ht="15" customHeight="1" x14ac:dyDescent="0.25"/>
    <row r="2682" ht="15" customHeight="1" x14ac:dyDescent="0.25"/>
    <row r="2684" ht="15" customHeight="1" x14ac:dyDescent="0.25"/>
    <row r="2686" ht="15" customHeight="1" x14ac:dyDescent="0.25"/>
    <row r="2688" ht="15" customHeight="1" x14ac:dyDescent="0.25"/>
    <row r="2690" ht="15" customHeight="1" x14ac:dyDescent="0.25"/>
    <row r="2692" ht="15" customHeight="1" x14ac:dyDescent="0.25"/>
    <row r="2694" ht="15" customHeight="1" x14ac:dyDescent="0.25"/>
    <row r="2696" ht="15" customHeight="1" x14ac:dyDescent="0.25"/>
    <row r="2698" ht="15" customHeight="1" x14ac:dyDescent="0.25"/>
    <row r="2700" ht="15" customHeight="1" x14ac:dyDescent="0.25"/>
    <row r="2702" ht="15" customHeight="1" x14ac:dyDescent="0.25"/>
    <row r="2704" ht="15" customHeight="1" x14ac:dyDescent="0.25"/>
    <row r="2706" ht="15" customHeight="1" x14ac:dyDescent="0.25"/>
    <row r="2708" ht="15" customHeight="1" x14ac:dyDescent="0.25"/>
    <row r="2710" ht="15" customHeight="1" x14ac:dyDescent="0.25"/>
    <row r="2712" ht="15" customHeight="1" x14ac:dyDescent="0.25"/>
    <row r="2714" ht="15" customHeight="1" x14ac:dyDescent="0.25"/>
    <row r="2716" ht="15" customHeight="1" x14ac:dyDescent="0.25"/>
    <row r="2718" ht="15" customHeight="1" x14ac:dyDescent="0.25"/>
    <row r="2720" ht="15" customHeight="1" x14ac:dyDescent="0.25"/>
    <row r="2722" ht="15" customHeight="1" x14ac:dyDescent="0.25"/>
    <row r="2724" ht="15" customHeight="1" x14ac:dyDescent="0.25"/>
    <row r="2726" ht="15" customHeight="1" x14ac:dyDescent="0.25"/>
    <row r="2728" ht="15" customHeight="1" x14ac:dyDescent="0.25"/>
    <row r="2730" ht="15" customHeight="1" x14ac:dyDescent="0.25"/>
    <row r="2732" ht="15" customHeight="1" x14ac:dyDescent="0.25"/>
    <row r="2734" ht="15" customHeight="1" x14ac:dyDescent="0.25"/>
    <row r="2736" ht="15" customHeight="1" x14ac:dyDescent="0.25"/>
    <row r="2738" ht="15" customHeight="1" x14ac:dyDescent="0.25"/>
    <row r="2740" ht="15" customHeight="1" x14ac:dyDescent="0.25"/>
    <row r="2742" ht="15" customHeight="1" x14ac:dyDescent="0.25"/>
    <row r="2744" ht="15" customHeight="1" x14ac:dyDescent="0.25"/>
    <row r="2746" ht="15" customHeight="1" x14ac:dyDescent="0.25"/>
    <row r="2748" ht="15" customHeight="1" x14ac:dyDescent="0.25"/>
    <row r="2750" ht="15" customHeight="1" x14ac:dyDescent="0.25"/>
    <row r="2752" ht="15" customHeight="1" x14ac:dyDescent="0.25"/>
    <row r="2754" ht="15" customHeight="1" x14ac:dyDescent="0.25"/>
    <row r="2756" ht="15" customHeight="1" x14ac:dyDescent="0.25"/>
    <row r="2758" ht="15" customHeight="1" x14ac:dyDescent="0.25"/>
    <row r="2760" ht="15" customHeight="1" x14ac:dyDescent="0.25"/>
    <row r="2762" ht="15" customHeight="1" x14ac:dyDescent="0.25"/>
    <row r="2764" ht="15" customHeight="1" x14ac:dyDescent="0.25"/>
    <row r="2766" ht="15" customHeight="1" x14ac:dyDescent="0.25"/>
    <row r="2768" ht="15" customHeight="1" x14ac:dyDescent="0.25"/>
    <row r="2770" ht="15" customHeight="1" x14ac:dyDescent="0.25"/>
    <row r="2772" ht="15" customHeight="1" x14ac:dyDescent="0.25"/>
    <row r="2774" ht="15" customHeight="1" x14ac:dyDescent="0.25"/>
    <row r="2776" ht="15" customHeight="1" x14ac:dyDescent="0.25"/>
    <row r="2778" ht="15" customHeight="1" x14ac:dyDescent="0.25"/>
    <row r="2780" ht="15" customHeight="1" x14ac:dyDescent="0.25"/>
    <row r="2782" ht="15" customHeight="1" x14ac:dyDescent="0.25"/>
    <row r="2784" ht="15" customHeight="1" x14ac:dyDescent="0.25"/>
    <row r="2786" ht="15" customHeight="1" x14ac:dyDescent="0.25"/>
    <row r="2788" ht="15" customHeight="1" x14ac:dyDescent="0.25"/>
    <row r="2790" ht="15" customHeight="1" x14ac:dyDescent="0.25"/>
    <row r="2792" ht="15" customHeight="1" x14ac:dyDescent="0.25"/>
    <row r="2794" ht="15" customHeight="1" x14ac:dyDescent="0.25"/>
    <row r="2796" ht="15" customHeight="1" x14ac:dyDescent="0.25"/>
    <row r="2798" ht="15" customHeight="1" x14ac:dyDescent="0.25"/>
    <row r="2800" ht="15" customHeight="1" x14ac:dyDescent="0.25"/>
    <row r="2802" ht="15" customHeight="1" x14ac:dyDescent="0.25"/>
    <row r="2804" ht="15" customHeight="1" x14ac:dyDescent="0.25"/>
    <row r="2806" ht="15" customHeight="1" x14ac:dyDescent="0.25"/>
    <row r="2808" ht="15" customHeight="1" x14ac:dyDescent="0.25"/>
    <row r="2810" ht="15" customHeight="1" x14ac:dyDescent="0.25"/>
    <row r="2812" ht="15" customHeight="1" x14ac:dyDescent="0.25"/>
    <row r="2814" ht="15" customHeight="1" x14ac:dyDescent="0.25"/>
    <row r="2816" ht="15" customHeight="1" x14ac:dyDescent="0.25"/>
    <row r="2818" ht="15" customHeight="1" x14ac:dyDescent="0.25"/>
    <row r="2820" ht="15" customHeight="1" x14ac:dyDescent="0.25"/>
    <row r="2822" ht="15" customHeight="1" x14ac:dyDescent="0.25"/>
    <row r="2824" ht="15" customHeight="1" x14ac:dyDescent="0.25"/>
    <row r="2826" ht="15" customHeight="1" x14ac:dyDescent="0.25"/>
    <row r="2828" ht="15" customHeight="1" x14ac:dyDescent="0.25"/>
    <row r="2830" ht="15" customHeight="1" x14ac:dyDescent="0.25"/>
    <row r="2832" ht="15" customHeight="1" x14ac:dyDescent="0.25"/>
    <row r="2834" ht="15" customHeight="1" x14ac:dyDescent="0.25"/>
    <row r="2836" ht="15" customHeight="1" x14ac:dyDescent="0.25"/>
    <row r="2838" ht="15" customHeight="1" x14ac:dyDescent="0.25"/>
    <row r="2840" ht="15" customHeight="1" x14ac:dyDescent="0.25"/>
    <row r="2842" ht="15" customHeight="1" x14ac:dyDescent="0.25"/>
    <row r="2844" ht="15" customHeight="1" x14ac:dyDescent="0.25"/>
    <row r="2846" ht="15" customHeight="1" x14ac:dyDescent="0.25"/>
    <row r="2848" ht="15" customHeight="1" x14ac:dyDescent="0.25"/>
    <row r="2850" ht="15" customHeight="1" x14ac:dyDescent="0.25"/>
    <row r="2852" ht="15" customHeight="1" x14ac:dyDescent="0.25"/>
    <row r="2854" ht="15" customHeight="1" x14ac:dyDescent="0.25"/>
    <row r="2856" ht="15" customHeight="1" x14ac:dyDescent="0.25"/>
    <row r="2858" ht="15" customHeight="1" x14ac:dyDescent="0.25"/>
    <row r="2860" ht="15" customHeight="1" x14ac:dyDescent="0.25"/>
    <row r="2862" ht="15" customHeight="1" x14ac:dyDescent="0.25"/>
    <row r="2864" ht="15" customHeight="1" x14ac:dyDescent="0.25"/>
    <row r="2866" ht="15" customHeight="1" x14ac:dyDescent="0.25"/>
    <row r="2868" ht="15" customHeight="1" x14ac:dyDescent="0.25"/>
    <row r="2870" ht="15" customHeight="1" x14ac:dyDescent="0.25"/>
    <row r="2872" ht="15" customHeight="1" x14ac:dyDescent="0.25"/>
    <row r="2874" ht="15" customHeight="1" x14ac:dyDescent="0.25"/>
    <row r="2876" ht="15" customHeight="1" x14ac:dyDescent="0.25"/>
    <row r="2878" ht="15" customHeight="1" x14ac:dyDescent="0.25"/>
    <row r="2880" ht="15" customHeight="1" x14ac:dyDescent="0.25"/>
    <row r="2882" ht="15" customHeight="1" x14ac:dyDescent="0.25"/>
    <row r="2884" ht="15" customHeight="1" x14ac:dyDescent="0.25"/>
    <row r="2886" ht="15" customHeight="1" x14ac:dyDescent="0.25"/>
    <row r="2888" ht="15" customHeight="1" x14ac:dyDescent="0.25"/>
    <row r="2890" ht="15" customHeight="1" x14ac:dyDescent="0.25"/>
    <row r="2892" ht="15" customHeight="1" x14ac:dyDescent="0.25"/>
    <row r="2894" ht="15" customHeight="1" x14ac:dyDescent="0.25"/>
    <row r="2896" ht="15" customHeight="1" x14ac:dyDescent="0.25"/>
    <row r="2898" ht="15" customHeight="1" x14ac:dyDescent="0.25"/>
    <row r="2900" ht="15" customHeight="1" x14ac:dyDescent="0.25"/>
    <row r="2902" ht="15" customHeight="1" x14ac:dyDescent="0.25"/>
    <row r="2904" ht="15" customHeight="1" x14ac:dyDescent="0.25"/>
    <row r="2906" ht="15" customHeight="1" x14ac:dyDescent="0.25"/>
    <row r="2908" ht="15" customHeight="1" x14ac:dyDescent="0.25"/>
    <row r="2910" ht="15" customHeight="1" x14ac:dyDescent="0.25"/>
    <row r="2912" ht="15" customHeight="1" x14ac:dyDescent="0.25"/>
    <row r="2914" ht="15" customHeight="1" x14ac:dyDescent="0.25"/>
    <row r="2916" ht="15" customHeight="1" x14ac:dyDescent="0.25"/>
    <row r="2918" ht="15" customHeight="1" x14ac:dyDescent="0.25"/>
    <row r="2920" ht="15" customHeight="1" x14ac:dyDescent="0.25"/>
    <row r="2922" ht="15" customHeight="1" x14ac:dyDescent="0.25"/>
    <row r="2924" ht="15" customHeight="1" x14ac:dyDescent="0.25"/>
    <row r="2926" ht="15" customHeight="1" x14ac:dyDescent="0.25"/>
    <row r="2928" ht="15" customHeight="1" x14ac:dyDescent="0.25"/>
    <row r="2930" ht="15" customHeight="1" x14ac:dyDescent="0.25"/>
    <row r="2932" ht="15" customHeight="1" x14ac:dyDescent="0.25"/>
    <row r="2934" ht="15" customHeight="1" x14ac:dyDescent="0.25"/>
    <row r="2936" ht="15" customHeight="1" x14ac:dyDescent="0.25"/>
    <row r="2938" ht="15" customHeight="1" x14ac:dyDescent="0.25"/>
    <row r="2940" ht="15" customHeight="1" x14ac:dyDescent="0.25"/>
    <row r="2942" ht="15" customHeight="1" x14ac:dyDescent="0.25"/>
    <row r="2944" ht="15" customHeight="1" x14ac:dyDescent="0.25"/>
    <row r="2946" ht="15" customHeight="1" x14ac:dyDescent="0.25"/>
    <row r="2948" ht="15" customHeight="1" x14ac:dyDescent="0.25"/>
    <row r="2950" ht="15" customHeight="1" x14ac:dyDescent="0.25"/>
    <row r="2952" ht="15" customHeight="1" x14ac:dyDescent="0.25"/>
    <row r="2954" ht="15" customHeight="1" x14ac:dyDescent="0.25"/>
    <row r="2956" ht="15" customHeight="1" x14ac:dyDescent="0.25"/>
    <row r="2958" ht="15" customHeight="1" x14ac:dyDescent="0.25"/>
    <row r="2960" ht="15" customHeight="1" x14ac:dyDescent="0.25"/>
    <row r="2962" ht="15" customHeight="1" x14ac:dyDescent="0.25"/>
    <row r="2964" ht="15" customHeight="1" x14ac:dyDescent="0.25"/>
    <row r="2966" ht="15" customHeight="1" x14ac:dyDescent="0.25"/>
    <row r="2968" ht="15" customHeight="1" x14ac:dyDescent="0.25"/>
    <row r="2970" ht="15" customHeight="1" x14ac:dyDescent="0.25"/>
    <row r="2972" ht="15" customHeight="1" x14ac:dyDescent="0.25"/>
    <row r="2974" ht="15" customHeight="1" x14ac:dyDescent="0.25"/>
    <row r="2976" ht="15" customHeight="1" x14ac:dyDescent="0.25"/>
    <row r="2978" ht="15" customHeight="1" x14ac:dyDescent="0.25"/>
    <row r="2980" ht="15" customHeight="1" x14ac:dyDescent="0.25"/>
    <row r="2982" ht="15" customHeight="1" x14ac:dyDescent="0.25"/>
    <row r="2984" ht="15" customHeight="1" x14ac:dyDescent="0.25"/>
    <row r="2986" ht="15" customHeight="1" x14ac:dyDescent="0.25"/>
    <row r="2988" ht="15" customHeight="1" x14ac:dyDescent="0.25"/>
    <row r="2990" ht="15" customHeight="1" x14ac:dyDescent="0.25"/>
    <row r="2992" ht="15" customHeight="1" x14ac:dyDescent="0.25"/>
    <row r="2994" ht="15" customHeight="1" x14ac:dyDescent="0.25"/>
    <row r="2996" ht="15" customHeight="1" x14ac:dyDescent="0.25"/>
    <row r="2998" ht="15" customHeight="1" x14ac:dyDescent="0.25"/>
    <row r="3000" ht="15" customHeight="1" x14ac:dyDescent="0.25"/>
    <row r="3002" ht="15" customHeight="1" x14ac:dyDescent="0.25"/>
    <row r="3004" ht="15" customHeight="1" x14ac:dyDescent="0.25"/>
    <row r="3006" ht="15" customHeight="1" x14ac:dyDescent="0.25"/>
    <row r="3008" ht="15" customHeight="1" x14ac:dyDescent="0.25"/>
    <row r="3010" ht="15" customHeight="1" x14ac:dyDescent="0.25"/>
    <row r="3012" ht="15" customHeight="1" x14ac:dyDescent="0.25"/>
    <row r="3014" ht="15" customHeight="1" x14ac:dyDescent="0.25"/>
    <row r="3016" ht="15" customHeight="1" x14ac:dyDescent="0.25"/>
    <row r="3018" ht="15" customHeight="1" x14ac:dyDescent="0.25"/>
    <row r="3020" ht="15" customHeight="1" x14ac:dyDescent="0.25"/>
    <row r="3022" ht="15" customHeight="1" x14ac:dyDescent="0.25"/>
    <row r="3024" ht="15" customHeight="1" x14ac:dyDescent="0.25"/>
    <row r="3026" ht="15" customHeight="1" x14ac:dyDescent="0.25"/>
    <row r="3028" ht="15" customHeight="1" x14ac:dyDescent="0.25"/>
    <row r="3030" ht="15" customHeight="1" x14ac:dyDescent="0.25"/>
    <row r="3032" ht="15" customHeight="1" x14ac:dyDescent="0.25"/>
    <row r="3034" ht="15" customHeight="1" x14ac:dyDescent="0.25"/>
    <row r="3036" ht="15" customHeight="1" x14ac:dyDescent="0.25"/>
    <row r="3038" ht="15" customHeight="1" x14ac:dyDescent="0.25"/>
    <row r="3040" ht="15" customHeight="1" x14ac:dyDescent="0.25"/>
    <row r="3042" ht="15" customHeight="1" x14ac:dyDescent="0.25"/>
    <row r="3044" ht="15" customHeight="1" x14ac:dyDescent="0.25"/>
    <row r="3046" ht="15" customHeight="1" x14ac:dyDescent="0.25"/>
    <row r="3048" ht="15" customHeight="1" x14ac:dyDescent="0.25"/>
    <row r="3050" ht="15" customHeight="1" x14ac:dyDescent="0.25"/>
    <row r="3052" ht="15" customHeight="1" x14ac:dyDescent="0.25"/>
    <row r="3054" ht="15" customHeight="1" x14ac:dyDescent="0.25"/>
    <row r="3056" ht="15" customHeight="1" x14ac:dyDescent="0.25"/>
    <row r="3058" ht="15" customHeight="1" x14ac:dyDescent="0.25"/>
    <row r="3060" ht="15" customHeight="1" x14ac:dyDescent="0.25"/>
    <row r="3062" ht="15" customHeight="1" x14ac:dyDescent="0.25"/>
    <row r="3064" ht="15" customHeight="1" x14ac:dyDescent="0.25"/>
    <row r="3066" ht="15" customHeight="1" x14ac:dyDescent="0.25"/>
    <row r="3068" ht="15" customHeight="1" x14ac:dyDescent="0.25"/>
    <row r="3070" ht="15" customHeight="1" x14ac:dyDescent="0.25"/>
    <row r="3072" ht="15" customHeight="1" x14ac:dyDescent="0.25"/>
    <row r="3074" ht="15" customHeight="1" x14ac:dyDescent="0.25"/>
    <row r="3076" ht="15" customHeight="1" x14ac:dyDescent="0.25"/>
    <row r="3078" ht="15" customHeight="1" x14ac:dyDescent="0.25"/>
    <row r="3080" ht="15" customHeight="1" x14ac:dyDescent="0.25"/>
    <row r="3082" ht="15" customHeight="1" x14ac:dyDescent="0.25"/>
    <row r="3084" ht="15" customHeight="1" x14ac:dyDescent="0.25"/>
    <row r="3086" ht="15" customHeight="1" x14ac:dyDescent="0.25"/>
    <row r="3088" ht="15" customHeight="1" x14ac:dyDescent="0.25"/>
    <row r="3090" ht="15" customHeight="1" x14ac:dyDescent="0.25"/>
    <row r="3092" ht="15" customHeight="1" x14ac:dyDescent="0.25"/>
    <row r="3094" ht="15" customHeight="1" x14ac:dyDescent="0.25"/>
    <row r="3096" ht="15" customHeight="1" x14ac:dyDescent="0.25"/>
    <row r="3098" ht="15" customHeight="1" x14ac:dyDescent="0.25"/>
    <row r="3100" ht="15" customHeight="1" x14ac:dyDescent="0.25"/>
    <row r="3102" ht="15" customHeight="1" x14ac:dyDescent="0.25"/>
    <row r="3104" ht="15" customHeight="1" x14ac:dyDescent="0.25"/>
    <row r="3106" ht="15" customHeight="1" x14ac:dyDescent="0.25"/>
    <row r="3108" ht="15" customHeight="1" x14ac:dyDescent="0.25"/>
    <row r="3110" ht="15" customHeight="1" x14ac:dyDescent="0.25"/>
    <row r="3112" ht="15" customHeight="1" x14ac:dyDescent="0.25"/>
    <row r="3114" ht="15" customHeight="1" x14ac:dyDescent="0.25"/>
    <row r="3116" ht="15" customHeight="1" x14ac:dyDescent="0.25"/>
    <row r="3118" ht="15" customHeight="1" x14ac:dyDescent="0.25"/>
    <row r="3120" ht="15" customHeight="1" x14ac:dyDescent="0.25"/>
    <row r="3122" ht="15" customHeight="1" x14ac:dyDescent="0.25"/>
    <row r="3124" ht="15" customHeight="1" x14ac:dyDescent="0.25"/>
    <row r="3126" ht="15" customHeight="1" x14ac:dyDescent="0.25"/>
    <row r="3128" ht="15" customHeight="1" x14ac:dyDescent="0.25"/>
    <row r="3130" ht="15" customHeight="1" x14ac:dyDescent="0.25"/>
    <row r="3132" ht="15" customHeight="1" x14ac:dyDescent="0.25"/>
    <row r="3134" ht="15" customHeight="1" x14ac:dyDescent="0.25"/>
    <row r="3136" ht="15" customHeight="1" x14ac:dyDescent="0.25"/>
    <row r="3138" ht="15" customHeight="1" x14ac:dyDescent="0.25"/>
    <row r="3140" ht="15" customHeight="1" x14ac:dyDescent="0.25"/>
    <row r="3142" ht="15" customHeight="1" x14ac:dyDescent="0.25"/>
    <row r="3144" ht="15" customHeight="1" x14ac:dyDescent="0.25"/>
    <row r="3146" ht="15" customHeight="1" x14ac:dyDescent="0.25"/>
    <row r="3148" ht="15" customHeight="1" x14ac:dyDescent="0.25"/>
    <row r="3150" ht="15" customHeight="1" x14ac:dyDescent="0.25"/>
    <row r="3152" ht="15" customHeight="1" x14ac:dyDescent="0.25"/>
    <row r="3154" ht="15" customHeight="1" x14ac:dyDescent="0.25"/>
    <row r="3156" ht="15" customHeight="1" x14ac:dyDescent="0.25"/>
    <row r="3158" ht="15" customHeight="1" x14ac:dyDescent="0.25"/>
    <row r="3160" ht="15" customHeight="1" x14ac:dyDescent="0.25"/>
    <row r="3162" ht="15" customHeight="1" x14ac:dyDescent="0.25"/>
    <row r="3164" ht="15" customHeight="1" x14ac:dyDescent="0.25"/>
    <row r="3166" ht="15" customHeight="1" x14ac:dyDescent="0.25"/>
    <row r="3168" ht="15" customHeight="1" x14ac:dyDescent="0.25"/>
    <row r="3170" ht="15" customHeight="1" x14ac:dyDescent="0.25"/>
    <row r="3172" ht="15" customHeight="1" x14ac:dyDescent="0.25"/>
    <row r="3174" ht="15" customHeight="1" x14ac:dyDescent="0.25"/>
    <row r="3176" ht="15" customHeight="1" x14ac:dyDescent="0.25"/>
    <row r="3178" ht="15" customHeight="1" x14ac:dyDescent="0.25"/>
    <row r="3180" ht="15" customHeight="1" x14ac:dyDescent="0.25"/>
    <row r="3182" ht="15" customHeight="1" x14ac:dyDescent="0.25"/>
    <row r="3184" ht="15" customHeight="1" x14ac:dyDescent="0.25"/>
    <row r="3186" ht="15" customHeight="1" x14ac:dyDescent="0.25"/>
    <row r="3188" ht="15" customHeight="1" x14ac:dyDescent="0.25"/>
    <row r="3190" ht="15" customHeight="1" x14ac:dyDescent="0.25"/>
    <row r="3192" ht="15" customHeight="1" x14ac:dyDescent="0.25"/>
    <row r="3194" ht="15" customHeight="1" x14ac:dyDescent="0.25"/>
    <row r="3196" ht="15" customHeight="1" x14ac:dyDescent="0.25"/>
    <row r="3198" ht="15" customHeight="1" x14ac:dyDescent="0.25"/>
    <row r="3200" ht="15" customHeight="1" x14ac:dyDescent="0.25"/>
    <row r="3202" ht="15" customHeight="1" x14ac:dyDescent="0.25"/>
    <row r="3204" ht="15" customHeight="1" x14ac:dyDescent="0.25"/>
    <row r="3206" ht="15" customHeight="1" x14ac:dyDescent="0.25"/>
    <row r="3208" ht="15" customHeight="1" x14ac:dyDescent="0.25"/>
    <row r="3210" ht="15" customHeight="1" x14ac:dyDescent="0.25"/>
    <row r="3212" ht="15" customHeight="1" x14ac:dyDescent="0.25"/>
    <row r="3214" ht="15" customHeight="1" x14ac:dyDescent="0.25"/>
    <row r="3216" ht="15" customHeight="1" x14ac:dyDescent="0.25"/>
    <row r="3218" ht="15" customHeight="1" x14ac:dyDescent="0.25"/>
    <row r="3220" ht="15" customHeight="1" x14ac:dyDescent="0.25"/>
    <row r="3222" ht="15" customHeight="1" x14ac:dyDescent="0.25"/>
    <row r="3224" ht="15" customHeight="1" x14ac:dyDescent="0.25"/>
    <row r="3226" ht="15" customHeight="1" x14ac:dyDescent="0.25"/>
    <row r="3228" ht="15" customHeight="1" x14ac:dyDescent="0.25"/>
    <row r="3230" ht="15" customHeight="1" x14ac:dyDescent="0.25"/>
    <row r="3232" ht="15" customHeight="1" x14ac:dyDescent="0.25"/>
    <row r="3234" ht="15" customHeight="1" x14ac:dyDescent="0.25"/>
    <row r="3236" ht="15" customHeight="1" x14ac:dyDescent="0.25"/>
    <row r="3238" ht="15" customHeight="1" x14ac:dyDescent="0.25"/>
    <row r="3240" ht="15" customHeight="1" x14ac:dyDescent="0.25"/>
    <row r="3242" ht="15" customHeight="1" x14ac:dyDescent="0.25"/>
    <row r="3244" ht="15" customHeight="1" x14ac:dyDescent="0.25"/>
    <row r="3246" ht="15" customHeight="1" x14ac:dyDescent="0.25"/>
    <row r="3248" ht="15" customHeight="1" x14ac:dyDescent="0.25"/>
    <row r="3250" ht="15" customHeight="1" x14ac:dyDescent="0.25"/>
    <row r="3252" ht="15" customHeight="1" x14ac:dyDescent="0.25"/>
    <row r="3254" ht="15" customHeight="1" x14ac:dyDescent="0.25"/>
    <row r="3256" ht="15" customHeight="1" x14ac:dyDescent="0.25"/>
    <row r="3258" ht="15" customHeight="1" x14ac:dyDescent="0.25"/>
    <row r="3260" ht="15" customHeight="1" x14ac:dyDescent="0.25"/>
    <row r="3262" ht="15" customHeight="1" x14ac:dyDescent="0.25"/>
    <row r="3264" ht="15" customHeight="1" x14ac:dyDescent="0.25"/>
    <row r="3266" ht="15" customHeight="1" x14ac:dyDescent="0.25"/>
    <row r="3268" ht="15" customHeight="1" x14ac:dyDescent="0.25"/>
    <row r="3270" ht="15" customHeight="1" x14ac:dyDescent="0.25"/>
    <row r="3272" ht="15" customHeight="1" x14ac:dyDescent="0.25"/>
    <row r="3274" ht="15" customHeight="1" x14ac:dyDescent="0.25"/>
    <row r="3276" ht="15" customHeight="1" x14ac:dyDescent="0.25"/>
    <row r="3278" ht="15" customHeight="1" x14ac:dyDescent="0.25"/>
    <row r="3280" ht="15" customHeight="1" x14ac:dyDescent="0.25"/>
    <row r="3282" ht="15" customHeight="1" x14ac:dyDescent="0.25"/>
    <row r="3284" ht="15" customHeight="1" x14ac:dyDescent="0.25"/>
    <row r="3286" ht="15" customHeight="1" x14ac:dyDescent="0.25"/>
    <row r="3288" ht="15" customHeight="1" x14ac:dyDescent="0.25"/>
    <row r="3290" ht="15" customHeight="1" x14ac:dyDescent="0.25"/>
    <row r="3292" ht="15" customHeight="1" x14ac:dyDescent="0.25"/>
    <row r="3294" ht="15" customHeight="1" x14ac:dyDescent="0.25"/>
    <row r="3296" ht="15" customHeight="1" x14ac:dyDescent="0.25"/>
    <row r="3298" ht="15" customHeight="1" x14ac:dyDescent="0.25"/>
    <row r="3300" ht="15" customHeight="1" x14ac:dyDescent="0.25"/>
    <row r="3302" ht="15" customHeight="1" x14ac:dyDescent="0.25"/>
    <row r="3304" ht="15" customHeight="1" x14ac:dyDescent="0.25"/>
    <row r="3306" ht="15" customHeight="1" x14ac:dyDescent="0.25"/>
    <row r="3308" ht="15" customHeight="1" x14ac:dyDescent="0.25"/>
    <row r="3310" ht="15" customHeight="1" x14ac:dyDescent="0.25"/>
    <row r="3312" ht="15" customHeight="1" x14ac:dyDescent="0.25"/>
    <row r="3314" ht="15" customHeight="1" x14ac:dyDescent="0.25"/>
    <row r="3316" ht="15" customHeight="1" x14ac:dyDescent="0.25"/>
    <row r="3318" ht="15" customHeight="1" x14ac:dyDescent="0.25"/>
    <row r="3320" ht="15" customHeight="1" x14ac:dyDescent="0.25"/>
    <row r="3322" ht="15" customHeight="1" x14ac:dyDescent="0.25"/>
    <row r="3324" ht="15" customHeight="1" x14ac:dyDescent="0.25"/>
    <row r="3326" ht="15" customHeight="1" x14ac:dyDescent="0.25"/>
    <row r="3328" ht="15" customHeight="1" x14ac:dyDescent="0.25"/>
    <row r="3330" ht="15" customHeight="1" x14ac:dyDescent="0.25"/>
    <row r="3332" ht="15" customHeight="1" x14ac:dyDescent="0.25"/>
    <row r="3334" ht="15" customHeight="1" x14ac:dyDescent="0.25"/>
    <row r="3336" ht="15" customHeight="1" x14ac:dyDescent="0.25"/>
    <row r="3338" ht="15" customHeight="1" x14ac:dyDescent="0.25"/>
    <row r="3340" ht="15" customHeight="1" x14ac:dyDescent="0.25"/>
    <row r="3342" ht="15" customHeight="1" x14ac:dyDescent="0.25"/>
    <row r="3344" ht="15" customHeight="1" x14ac:dyDescent="0.25"/>
    <row r="3346" ht="15" customHeight="1" x14ac:dyDescent="0.25"/>
    <row r="3348" ht="15" customHeight="1" x14ac:dyDescent="0.25"/>
    <row r="3350" ht="15" customHeight="1" x14ac:dyDescent="0.25"/>
    <row r="3352" ht="15" customHeight="1" x14ac:dyDescent="0.25"/>
    <row r="3354" ht="15" customHeight="1" x14ac:dyDescent="0.25"/>
    <row r="3356" ht="15" customHeight="1" x14ac:dyDescent="0.25"/>
    <row r="3358" ht="15" customHeight="1" x14ac:dyDescent="0.25"/>
    <row r="3360" ht="15" customHeight="1" x14ac:dyDescent="0.25"/>
    <row r="3362" ht="15" customHeight="1" x14ac:dyDescent="0.25"/>
    <row r="3364" ht="15" customHeight="1" x14ac:dyDescent="0.25"/>
    <row r="3366" ht="15" customHeight="1" x14ac:dyDescent="0.25"/>
    <row r="3368" ht="15" customHeight="1" x14ac:dyDescent="0.25"/>
    <row r="3370" ht="15" customHeight="1" x14ac:dyDescent="0.25"/>
    <row r="3372" ht="15" customHeight="1" x14ac:dyDescent="0.25"/>
    <row r="3374" ht="15" customHeight="1" x14ac:dyDescent="0.25"/>
    <row r="3376" ht="15" customHeight="1" x14ac:dyDescent="0.25"/>
    <row r="3378" ht="15" customHeight="1" x14ac:dyDescent="0.25"/>
    <row r="3380" ht="15" customHeight="1" x14ac:dyDescent="0.25"/>
    <row r="3382" ht="15" customHeight="1" x14ac:dyDescent="0.25"/>
    <row r="3384" ht="15" customHeight="1" x14ac:dyDescent="0.25"/>
    <row r="3386" ht="15" customHeight="1" x14ac:dyDescent="0.25"/>
    <row r="3388" ht="15" customHeight="1" x14ac:dyDescent="0.25"/>
    <row r="3390" ht="15" customHeight="1" x14ac:dyDescent="0.25"/>
    <row r="3392" ht="15" customHeight="1" x14ac:dyDescent="0.25"/>
    <row r="3394" ht="15" customHeight="1" x14ac:dyDescent="0.25"/>
    <row r="3396" ht="15" customHeight="1" x14ac:dyDescent="0.25"/>
    <row r="3398" ht="15" customHeight="1" x14ac:dyDescent="0.25"/>
    <row r="3400" ht="15" customHeight="1" x14ac:dyDescent="0.25"/>
    <row r="3402" ht="15" customHeight="1" x14ac:dyDescent="0.25"/>
    <row r="3404" ht="15" customHeight="1" x14ac:dyDescent="0.25"/>
    <row r="3406" ht="15" customHeight="1" x14ac:dyDescent="0.25"/>
    <row r="3408" ht="15" customHeight="1" x14ac:dyDescent="0.25"/>
    <row r="3410" ht="15" customHeight="1" x14ac:dyDescent="0.25"/>
    <row r="3412" ht="15" customHeight="1" x14ac:dyDescent="0.25"/>
    <row r="3414" ht="15" customHeight="1" x14ac:dyDescent="0.25"/>
    <row r="3416" ht="15" customHeight="1" x14ac:dyDescent="0.25"/>
    <row r="3418" ht="15" customHeight="1" x14ac:dyDescent="0.25"/>
    <row r="3420" ht="15" customHeight="1" x14ac:dyDescent="0.25"/>
    <row r="3422" ht="15" customHeight="1" x14ac:dyDescent="0.25"/>
    <row r="3424" ht="15" customHeight="1" x14ac:dyDescent="0.25"/>
    <row r="3426" ht="15" customHeight="1" x14ac:dyDescent="0.25"/>
    <row r="3428" ht="15" customHeight="1" x14ac:dyDescent="0.25"/>
    <row r="3430" ht="15" customHeight="1" x14ac:dyDescent="0.25"/>
    <row r="3432" ht="15" customHeight="1" x14ac:dyDescent="0.25"/>
    <row r="3434" ht="15" customHeight="1" x14ac:dyDescent="0.25"/>
    <row r="3436" ht="15" customHeight="1" x14ac:dyDescent="0.25"/>
    <row r="3438" ht="15" customHeight="1" x14ac:dyDescent="0.25"/>
    <row r="3440" ht="15" customHeight="1" x14ac:dyDescent="0.25"/>
    <row r="3442" ht="15" customHeight="1" x14ac:dyDescent="0.25"/>
    <row r="3444" ht="15" customHeight="1" x14ac:dyDescent="0.25"/>
    <row r="3446" ht="15" customHeight="1" x14ac:dyDescent="0.25"/>
    <row r="3448" ht="15" customHeight="1" x14ac:dyDescent="0.25"/>
    <row r="3450" ht="15" customHeight="1" x14ac:dyDescent="0.25"/>
    <row r="3452" ht="15" customHeight="1" x14ac:dyDescent="0.25"/>
    <row r="3454" ht="15" customHeight="1" x14ac:dyDescent="0.25"/>
    <row r="3456" ht="15" customHeight="1" x14ac:dyDescent="0.25"/>
    <row r="3458" ht="15" customHeight="1" x14ac:dyDescent="0.25"/>
    <row r="3460" ht="15" customHeight="1" x14ac:dyDescent="0.25"/>
    <row r="3462" ht="15" customHeight="1" x14ac:dyDescent="0.25"/>
    <row r="3464" ht="15" customHeight="1" x14ac:dyDescent="0.25"/>
    <row r="3466" ht="15" customHeight="1" x14ac:dyDescent="0.25"/>
    <row r="3468" ht="15" customHeight="1" x14ac:dyDescent="0.25"/>
    <row r="3470" ht="15" customHeight="1" x14ac:dyDescent="0.25"/>
    <row r="3472" ht="15" customHeight="1" x14ac:dyDescent="0.25"/>
    <row r="3474" ht="15" customHeight="1" x14ac:dyDescent="0.25"/>
    <row r="3476" ht="15" customHeight="1" x14ac:dyDescent="0.25"/>
    <row r="3478" ht="15" customHeight="1" x14ac:dyDescent="0.25"/>
    <row r="3480" ht="15" customHeight="1" x14ac:dyDescent="0.25"/>
    <row r="3482" ht="15" customHeight="1" x14ac:dyDescent="0.25"/>
    <row r="3484" ht="15" customHeight="1" x14ac:dyDescent="0.25"/>
    <row r="3486" ht="15" customHeight="1" x14ac:dyDescent="0.25"/>
    <row r="3488" ht="15" customHeight="1" x14ac:dyDescent="0.25"/>
    <row r="3490" ht="15" customHeight="1" x14ac:dyDescent="0.25"/>
    <row r="3492" ht="15" customHeight="1" x14ac:dyDescent="0.25"/>
    <row r="3494" ht="15" customHeight="1" x14ac:dyDescent="0.25"/>
    <row r="3496" ht="15" customHeight="1" x14ac:dyDescent="0.25"/>
    <row r="3498" ht="15" customHeight="1" x14ac:dyDescent="0.25"/>
    <row r="3500" ht="15" customHeight="1" x14ac:dyDescent="0.25"/>
    <row r="3502" ht="15" customHeight="1" x14ac:dyDescent="0.25"/>
    <row r="3504" ht="15" customHeight="1" x14ac:dyDescent="0.25"/>
    <row r="3506" ht="15" customHeight="1" x14ac:dyDescent="0.25"/>
    <row r="3508" ht="15" customHeight="1" x14ac:dyDescent="0.25"/>
    <row r="3510" ht="15" customHeight="1" x14ac:dyDescent="0.25"/>
    <row r="3512" ht="15" customHeight="1" x14ac:dyDescent="0.25"/>
    <row r="3514" ht="15" customHeight="1" x14ac:dyDescent="0.25"/>
    <row r="3516" ht="15" customHeight="1" x14ac:dyDescent="0.25"/>
    <row r="3518" ht="15" customHeight="1" x14ac:dyDescent="0.25"/>
    <row r="3520" ht="15" customHeight="1" x14ac:dyDescent="0.25"/>
    <row r="3522" ht="15" customHeight="1" x14ac:dyDescent="0.25"/>
    <row r="3524" ht="15" customHeight="1" x14ac:dyDescent="0.25"/>
    <row r="3526" ht="15" customHeight="1" x14ac:dyDescent="0.25"/>
    <row r="3528" ht="15" customHeight="1" x14ac:dyDescent="0.25"/>
    <row r="3530" ht="15" customHeight="1" x14ac:dyDescent="0.25"/>
    <row r="3532" ht="15" customHeight="1" x14ac:dyDescent="0.25"/>
    <row r="3534" ht="15" customHeight="1" x14ac:dyDescent="0.25"/>
    <row r="3536" ht="15" customHeight="1" x14ac:dyDescent="0.25"/>
    <row r="3538" ht="15" customHeight="1" x14ac:dyDescent="0.25"/>
    <row r="3540" ht="15" customHeight="1" x14ac:dyDescent="0.25"/>
    <row r="3542" ht="15" customHeight="1" x14ac:dyDescent="0.25"/>
    <row r="3544" ht="15" customHeight="1" x14ac:dyDescent="0.25"/>
    <row r="3546" ht="15" customHeight="1" x14ac:dyDescent="0.25"/>
    <row r="3548" ht="15" customHeight="1" x14ac:dyDescent="0.25"/>
    <row r="3550" ht="15" customHeight="1" x14ac:dyDescent="0.25"/>
    <row r="3552" ht="15" customHeight="1" x14ac:dyDescent="0.25"/>
    <row r="3554" ht="15" customHeight="1" x14ac:dyDescent="0.25"/>
    <row r="3556" ht="15" customHeight="1" x14ac:dyDescent="0.25"/>
    <row r="3558" ht="15" customHeight="1" x14ac:dyDescent="0.25"/>
    <row r="3560" ht="15" customHeight="1" x14ac:dyDescent="0.25"/>
    <row r="3562" ht="15" customHeight="1" x14ac:dyDescent="0.25"/>
    <row r="3564" ht="15" customHeight="1" x14ac:dyDescent="0.25"/>
    <row r="3566" ht="15" customHeight="1" x14ac:dyDescent="0.25"/>
    <row r="3568" ht="15" customHeight="1" x14ac:dyDescent="0.25"/>
    <row r="3570" ht="15" customHeight="1" x14ac:dyDescent="0.25"/>
    <row r="3572" ht="15" customHeight="1" x14ac:dyDescent="0.25"/>
    <row r="3574" ht="15" customHeight="1" x14ac:dyDescent="0.25"/>
    <row r="3576" ht="15" customHeight="1" x14ac:dyDescent="0.25"/>
    <row r="3578" ht="15" customHeight="1" x14ac:dyDescent="0.25"/>
    <row r="3580" ht="15" customHeight="1" x14ac:dyDescent="0.25"/>
    <row r="3582" ht="15" customHeight="1" x14ac:dyDescent="0.25"/>
    <row r="3584" ht="15" customHeight="1" x14ac:dyDescent="0.25"/>
    <row r="3586" ht="15" customHeight="1" x14ac:dyDescent="0.25"/>
    <row r="3588" ht="15" customHeight="1" x14ac:dyDescent="0.25"/>
    <row r="3590" ht="15" customHeight="1" x14ac:dyDescent="0.25"/>
    <row r="3592" ht="15" customHeight="1" x14ac:dyDescent="0.25"/>
    <row r="3594" ht="15" customHeight="1" x14ac:dyDescent="0.25"/>
    <row r="3596" ht="15" customHeight="1" x14ac:dyDescent="0.25"/>
    <row r="3598" ht="15" customHeight="1" x14ac:dyDescent="0.25"/>
    <row r="3600" ht="15" customHeight="1" x14ac:dyDescent="0.25"/>
    <row r="3602" ht="15" customHeight="1" x14ac:dyDescent="0.25"/>
    <row r="3604" ht="15" customHeight="1" x14ac:dyDescent="0.25"/>
    <row r="3606" ht="15" customHeight="1" x14ac:dyDescent="0.25"/>
    <row r="3608" ht="15" customHeight="1" x14ac:dyDescent="0.25"/>
    <row r="3610" ht="15" customHeight="1" x14ac:dyDescent="0.25"/>
    <row r="3612" ht="15" customHeight="1" x14ac:dyDescent="0.25"/>
    <row r="3614" ht="15" customHeight="1" x14ac:dyDescent="0.25"/>
    <row r="3616" ht="15" customHeight="1" x14ac:dyDescent="0.25"/>
    <row r="3618" ht="15" customHeight="1" x14ac:dyDescent="0.25"/>
    <row r="3620" ht="15" customHeight="1" x14ac:dyDescent="0.25"/>
    <row r="3622" ht="15" customHeight="1" x14ac:dyDescent="0.25"/>
    <row r="3624" ht="15" customHeight="1" x14ac:dyDescent="0.25"/>
    <row r="3626" ht="15" customHeight="1" x14ac:dyDescent="0.25"/>
    <row r="3628" ht="15" customHeight="1" x14ac:dyDescent="0.25"/>
    <row r="3630" ht="15" customHeight="1" x14ac:dyDescent="0.25"/>
    <row r="3632" ht="15" customHeight="1" x14ac:dyDescent="0.25"/>
    <row r="3634" ht="15" customHeight="1" x14ac:dyDescent="0.25"/>
    <row r="3636" ht="15" customHeight="1" x14ac:dyDescent="0.25"/>
    <row r="3638" ht="15" customHeight="1" x14ac:dyDescent="0.25"/>
    <row r="3640" ht="15" customHeight="1" x14ac:dyDescent="0.25"/>
    <row r="3642" ht="15" customHeight="1" x14ac:dyDescent="0.25"/>
    <row r="3644" ht="15" customHeight="1" x14ac:dyDescent="0.25"/>
    <row r="3646" ht="15" customHeight="1" x14ac:dyDescent="0.25"/>
    <row r="3648" ht="15" customHeight="1" x14ac:dyDescent="0.25"/>
    <row r="3650" ht="15" customHeight="1" x14ac:dyDescent="0.25"/>
    <row r="3652" ht="15" customHeight="1" x14ac:dyDescent="0.25"/>
    <row r="3654" ht="15" customHeight="1" x14ac:dyDescent="0.25"/>
    <row r="3656" ht="15" customHeight="1" x14ac:dyDescent="0.25"/>
    <row r="3658" ht="15" customHeight="1" x14ac:dyDescent="0.25"/>
    <row r="3660" ht="15" customHeight="1" x14ac:dyDescent="0.25"/>
    <row r="3662" ht="15" customHeight="1" x14ac:dyDescent="0.25"/>
    <row r="3664" ht="15" customHeight="1" x14ac:dyDescent="0.25"/>
    <row r="3666" ht="15" customHeight="1" x14ac:dyDescent="0.25"/>
    <row r="3668" ht="15" customHeight="1" x14ac:dyDescent="0.25"/>
    <row r="3670" ht="15" customHeight="1" x14ac:dyDescent="0.25"/>
    <row r="3672" ht="15" customHeight="1" x14ac:dyDescent="0.25"/>
    <row r="3674" ht="15" customHeight="1" x14ac:dyDescent="0.25"/>
    <row r="3676" ht="15" customHeight="1" x14ac:dyDescent="0.25"/>
    <row r="3678" ht="15" customHeight="1" x14ac:dyDescent="0.25"/>
    <row r="3680" ht="15" customHeight="1" x14ac:dyDescent="0.25"/>
    <row r="3682" ht="15" customHeight="1" x14ac:dyDescent="0.25"/>
    <row r="3684" ht="15" customHeight="1" x14ac:dyDescent="0.25"/>
    <row r="3686" ht="15" customHeight="1" x14ac:dyDescent="0.25"/>
    <row r="3688" ht="15" customHeight="1" x14ac:dyDescent="0.25"/>
    <row r="3690" ht="15" customHeight="1" x14ac:dyDescent="0.25"/>
    <row r="3692" ht="15" customHeight="1" x14ac:dyDescent="0.25"/>
    <row r="3694" ht="15" customHeight="1" x14ac:dyDescent="0.25"/>
    <row r="3696" ht="15" customHeight="1" x14ac:dyDescent="0.25"/>
    <row r="3698" ht="15" customHeight="1" x14ac:dyDescent="0.25"/>
    <row r="3700" ht="15" customHeight="1" x14ac:dyDescent="0.25"/>
    <row r="3702" ht="15" customHeight="1" x14ac:dyDescent="0.25"/>
    <row r="3704" ht="15" customHeight="1" x14ac:dyDescent="0.25"/>
    <row r="3706" ht="15" customHeight="1" x14ac:dyDescent="0.25"/>
    <row r="3708" ht="15" customHeight="1" x14ac:dyDescent="0.25"/>
    <row r="3710" ht="15" customHeight="1" x14ac:dyDescent="0.25"/>
    <row r="3712" ht="15" customHeight="1" x14ac:dyDescent="0.25"/>
    <row r="3714" ht="15" customHeight="1" x14ac:dyDescent="0.25"/>
    <row r="3716" ht="15" customHeight="1" x14ac:dyDescent="0.25"/>
    <row r="3718" ht="15" customHeight="1" x14ac:dyDescent="0.25"/>
    <row r="3720" ht="15" customHeight="1" x14ac:dyDescent="0.25"/>
    <row r="3722" ht="15" customHeight="1" x14ac:dyDescent="0.25"/>
    <row r="3724" ht="15" customHeight="1" x14ac:dyDescent="0.25"/>
    <row r="3726" ht="15" customHeight="1" x14ac:dyDescent="0.25"/>
    <row r="3728" ht="15" customHeight="1" x14ac:dyDescent="0.25"/>
    <row r="3730" ht="15" customHeight="1" x14ac:dyDescent="0.25"/>
    <row r="3732" ht="15" customHeight="1" x14ac:dyDescent="0.25"/>
    <row r="3734" ht="15" customHeight="1" x14ac:dyDescent="0.25"/>
    <row r="3736" ht="15" customHeight="1" x14ac:dyDescent="0.25"/>
    <row r="3738" ht="15" customHeight="1" x14ac:dyDescent="0.25"/>
    <row r="3740" ht="15" customHeight="1" x14ac:dyDescent="0.25"/>
    <row r="3742" ht="15" customHeight="1" x14ac:dyDescent="0.25"/>
    <row r="3744" ht="15" customHeight="1" x14ac:dyDescent="0.25"/>
    <row r="3746" ht="15" customHeight="1" x14ac:dyDescent="0.25"/>
    <row r="3748" ht="15" customHeight="1" x14ac:dyDescent="0.25"/>
    <row r="3750" ht="15" customHeight="1" x14ac:dyDescent="0.25"/>
    <row r="3752" ht="15" customHeight="1" x14ac:dyDescent="0.25"/>
    <row r="3754" ht="15" customHeight="1" x14ac:dyDescent="0.25"/>
    <row r="3756" ht="15" customHeight="1" x14ac:dyDescent="0.25"/>
    <row r="3758" ht="15" customHeight="1" x14ac:dyDescent="0.25"/>
    <row r="3760" ht="15" customHeight="1" x14ac:dyDescent="0.25"/>
    <row r="3762" ht="15" customHeight="1" x14ac:dyDescent="0.25"/>
    <row r="3764" ht="15" customHeight="1" x14ac:dyDescent="0.25"/>
    <row r="3766" ht="15" customHeight="1" x14ac:dyDescent="0.25"/>
    <row r="3768" ht="15" customHeight="1" x14ac:dyDescent="0.25"/>
    <row r="3770" ht="15" customHeight="1" x14ac:dyDescent="0.25"/>
    <row r="3772" ht="15" customHeight="1" x14ac:dyDescent="0.25"/>
    <row r="3774" ht="15" customHeight="1" x14ac:dyDescent="0.25"/>
    <row r="3776" ht="15" customHeight="1" x14ac:dyDescent="0.25"/>
    <row r="3778" ht="15" customHeight="1" x14ac:dyDescent="0.25"/>
    <row r="3780" ht="15" customHeight="1" x14ac:dyDescent="0.25"/>
    <row r="3782" ht="15" customHeight="1" x14ac:dyDescent="0.25"/>
    <row r="3784" ht="15" customHeight="1" x14ac:dyDescent="0.25"/>
    <row r="3786" ht="15" customHeight="1" x14ac:dyDescent="0.25"/>
    <row r="3788" ht="15" customHeight="1" x14ac:dyDescent="0.25"/>
    <row r="3790" ht="15" customHeight="1" x14ac:dyDescent="0.25"/>
    <row r="3792" ht="15" customHeight="1" x14ac:dyDescent="0.25"/>
    <row r="3794" ht="15" customHeight="1" x14ac:dyDescent="0.25"/>
    <row r="3796" ht="15" customHeight="1" x14ac:dyDescent="0.25"/>
    <row r="3798" ht="15" customHeight="1" x14ac:dyDescent="0.25"/>
    <row r="3800" ht="15" customHeight="1" x14ac:dyDescent="0.25"/>
    <row r="3802" ht="15" customHeight="1" x14ac:dyDescent="0.25"/>
    <row r="3804" ht="15" customHeight="1" x14ac:dyDescent="0.25"/>
    <row r="3806" ht="15" customHeight="1" x14ac:dyDescent="0.25"/>
    <row r="3808" ht="15" customHeight="1" x14ac:dyDescent="0.25"/>
    <row r="3810" ht="15" customHeight="1" x14ac:dyDescent="0.25"/>
    <row r="3812" ht="15" customHeight="1" x14ac:dyDescent="0.25"/>
    <row r="3814" ht="15" customHeight="1" x14ac:dyDescent="0.25"/>
    <row r="3816" ht="15" customHeight="1" x14ac:dyDescent="0.25"/>
    <row r="3818" ht="15" customHeight="1" x14ac:dyDescent="0.25"/>
    <row r="3820" ht="15" customHeight="1" x14ac:dyDescent="0.25"/>
    <row r="3822" ht="15" customHeight="1" x14ac:dyDescent="0.25"/>
    <row r="3824" ht="15" customHeight="1" x14ac:dyDescent="0.25"/>
    <row r="3826" ht="15" customHeight="1" x14ac:dyDescent="0.25"/>
    <row r="3828" ht="15" customHeight="1" x14ac:dyDescent="0.25"/>
    <row r="3830" ht="15" customHeight="1" x14ac:dyDescent="0.25"/>
    <row r="3832" ht="15" customHeight="1" x14ac:dyDescent="0.25"/>
    <row r="3834" ht="15" customHeight="1" x14ac:dyDescent="0.25"/>
    <row r="3836" ht="15" customHeight="1" x14ac:dyDescent="0.25"/>
    <row r="3838" ht="15" customHeight="1" x14ac:dyDescent="0.25"/>
    <row r="3840" ht="15" customHeight="1" x14ac:dyDescent="0.25"/>
    <row r="3842" ht="15" customHeight="1" x14ac:dyDescent="0.25"/>
    <row r="3844" ht="15" customHeight="1" x14ac:dyDescent="0.25"/>
    <row r="3846" ht="15" customHeight="1" x14ac:dyDescent="0.25"/>
    <row r="3848" ht="15" customHeight="1" x14ac:dyDescent="0.25"/>
    <row r="3850" ht="15" customHeight="1" x14ac:dyDescent="0.25"/>
    <row r="3852" ht="15" customHeight="1" x14ac:dyDescent="0.25"/>
    <row r="3854" ht="15" customHeight="1" x14ac:dyDescent="0.25"/>
    <row r="3856" ht="15" customHeight="1" x14ac:dyDescent="0.25"/>
    <row r="3858" ht="15" customHeight="1" x14ac:dyDescent="0.25"/>
    <row r="3860" ht="15" customHeight="1" x14ac:dyDescent="0.25"/>
    <row r="3862" ht="15" customHeight="1" x14ac:dyDescent="0.25"/>
    <row r="3864" ht="15" customHeight="1" x14ac:dyDescent="0.25"/>
    <row r="3866" ht="15" customHeight="1" x14ac:dyDescent="0.25"/>
    <row r="3868" ht="15" customHeight="1" x14ac:dyDescent="0.25"/>
    <row r="3870" ht="15" customHeight="1" x14ac:dyDescent="0.25"/>
    <row r="3872" ht="15" customHeight="1" x14ac:dyDescent="0.25"/>
    <row r="3874" ht="15" customHeight="1" x14ac:dyDescent="0.25"/>
    <row r="3876" ht="15" customHeight="1" x14ac:dyDescent="0.25"/>
    <row r="3878" ht="15" customHeight="1" x14ac:dyDescent="0.25"/>
    <row r="3880" ht="15" customHeight="1" x14ac:dyDescent="0.25"/>
    <row r="3882" ht="15" customHeight="1" x14ac:dyDescent="0.25"/>
    <row r="3884" ht="15" customHeight="1" x14ac:dyDescent="0.25"/>
    <row r="3886" ht="15" customHeight="1" x14ac:dyDescent="0.25"/>
    <row r="3888" ht="15" customHeight="1" x14ac:dyDescent="0.25"/>
    <row r="3890" ht="15" customHeight="1" x14ac:dyDescent="0.25"/>
    <row r="3892" ht="15" customHeight="1" x14ac:dyDescent="0.25"/>
    <row r="3894" ht="15" customHeight="1" x14ac:dyDescent="0.25"/>
    <row r="3896" ht="15" customHeight="1" x14ac:dyDescent="0.25"/>
    <row r="3898" ht="15" customHeight="1" x14ac:dyDescent="0.25"/>
    <row r="3900" ht="15" customHeight="1" x14ac:dyDescent="0.25"/>
    <row r="3902" ht="15" customHeight="1" x14ac:dyDescent="0.25"/>
    <row r="3904" ht="15" customHeight="1" x14ac:dyDescent="0.25"/>
    <row r="3906" ht="15" customHeight="1" x14ac:dyDescent="0.25"/>
    <row r="3908" ht="15" customHeight="1" x14ac:dyDescent="0.25"/>
    <row r="3910" ht="15" customHeight="1" x14ac:dyDescent="0.25"/>
    <row r="3912" ht="15" customHeight="1" x14ac:dyDescent="0.25"/>
    <row r="3914" ht="15" customHeight="1" x14ac:dyDescent="0.25"/>
    <row r="3916" ht="15" customHeight="1" x14ac:dyDescent="0.25"/>
    <row r="3918" ht="15" customHeight="1" x14ac:dyDescent="0.25"/>
    <row r="3920" ht="15" customHeight="1" x14ac:dyDescent="0.25"/>
    <row r="3922" ht="15" customHeight="1" x14ac:dyDescent="0.25"/>
    <row r="3924" ht="15" customHeight="1" x14ac:dyDescent="0.25"/>
    <row r="3926" ht="15" customHeight="1" x14ac:dyDescent="0.25"/>
    <row r="3928" ht="15" customHeight="1" x14ac:dyDescent="0.25"/>
    <row r="3930" ht="15" customHeight="1" x14ac:dyDescent="0.25"/>
    <row r="3932" ht="15" customHeight="1" x14ac:dyDescent="0.25"/>
    <row r="3934" ht="15" customHeight="1" x14ac:dyDescent="0.25"/>
    <row r="3936" ht="15" customHeight="1" x14ac:dyDescent="0.25"/>
    <row r="3938" ht="15" customHeight="1" x14ac:dyDescent="0.25"/>
    <row r="3940" ht="15" customHeight="1" x14ac:dyDescent="0.25"/>
    <row r="3942" ht="15" customHeight="1" x14ac:dyDescent="0.25"/>
    <row r="3944" ht="15" customHeight="1" x14ac:dyDescent="0.25"/>
    <row r="3946" ht="15" customHeight="1" x14ac:dyDescent="0.25"/>
    <row r="3948" ht="15" customHeight="1" x14ac:dyDescent="0.25"/>
    <row r="3950" ht="15" customHeight="1" x14ac:dyDescent="0.25"/>
    <row r="3952" ht="15" customHeight="1" x14ac:dyDescent="0.25"/>
    <row r="3954" ht="15" customHeight="1" x14ac:dyDescent="0.25"/>
    <row r="3956" ht="15" customHeight="1" x14ac:dyDescent="0.25"/>
    <row r="3958" ht="15" customHeight="1" x14ac:dyDescent="0.25"/>
    <row r="3960" ht="15" customHeight="1" x14ac:dyDescent="0.25"/>
    <row r="3962" ht="15" customHeight="1" x14ac:dyDescent="0.25"/>
    <row r="3964" ht="15" customHeight="1" x14ac:dyDescent="0.25"/>
    <row r="3966" ht="15" customHeight="1" x14ac:dyDescent="0.25"/>
    <row r="3968" ht="15" customHeight="1" x14ac:dyDescent="0.25"/>
    <row r="3970" ht="15" customHeight="1" x14ac:dyDescent="0.25"/>
    <row r="3972" ht="15" customHeight="1" x14ac:dyDescent="0.25"/>
    <row r="3974" ht="15" customHeight="1" x14ac:dyDescent="0.25"/>
    <row r="3976" ht="15" customHeight="1" x14ac:dyDescent="0.25"/>
    <row r="3978" ht="15" customHeight="1" x14ac:dyDescent="0.25"/>
    <row r="3980" ht="15" customHeight="1" x14ac:dyDescent="0.25"/>
    <row r="3982" ht="15" customHeight="1" x14ac:dyDescent="0.25"/>
    <row r="3984" ht="15" customHeight="1" x14ac:dyDescent="0.25"/>
    <row r="3986" ht="15" customHeight="1" x14ac:dyDescent="0.25"/>
    <row r="3988" ht="15" customHeight="1" x14ac:dyDescent="0.25"/>
    <row r="3990" ht="15" customHeight="1" x14ac:dyDescent="0.25"/>
    <row r="3992" ht="15" customHeight="1" x14ac:dyDescent="0.25"/>
    <row r="3994" ht="15" customHeight="1" x14ac:dyDescent="0.25"/>
    <row r="3996" ht="15" customHeight="1" x14ac:dyDescent="0.25"/>
    <row r="3998" ht="15" customHeight="1" x14ac:dyDescent="0.25"/>
    <row r="4000" ht="15" customHeight="1" x14ac:dyDescent="0.25"/>
    <row r="4002" ht="15" customHeight="1" x14ac:dyDescent="0.25"/>
    <row r="4004" ht="15" customHeight="1" x14ac:dyDescent="0.25"/>
    <row r="4006" ht="15" customHeight="1" x14ac:dyDescent="0.25"/>
    <row r="4008" ht="15" customHeight="1" x14ac:dyDescent="0.25"/>
    <row r="4010" ht="15" customHeight="1" x14ac:dyDescent="0.25"/>
    <row r="4012" ht="15" customHeight="1" x14ac:dyDescent="0.25"/>
    <row r="4014" ht="15" customHeight="1" x14ac:dyDescent="0.25"/>
    <row r="4016" ht="15" customHeight="1" x14ac:dyDescent="0.25"/>
    <row r="4018" ht="15" customHeight="1" x14ac:dyDescent="0.25"/>
    <row r="4020" ht="15" customHeight="1" x14ac:dyDescent="0.25"/>
    <row r="4022" ht="15" customHeight="1" x14ac:dyDescent="0.25"/>
    <row r="4024" ht="15" customHeight="1" x14ac:dyDescent="0.25"/>
    <row r="4026" ht="15" customHeight="1" x14ac:dyDescent="0.25"/>
    <row r="4028" ht="15" customHeight="1" x14ac:dyDescent="0.25"/>
    <row r="4030" ht="15" customHeight="1" x14ac:dyDescent="0.25"/>
    <row r="4032" ht="15" customHeight="1" x14ac:dyDescent="0.25"/>
    <row r="4034" ht="15" customHeight="1" x14ac:dyDescent="0.25"/>
    <row r="4036" ht="15" customHeight="1" x14ac:dyDescent="0.25"/>
    <row r="4038" ht="15" customHeight="1" x14ac:dyDescent="0.25"/>
    <row r="4040" ht="15" customHeight="1" x14ac:dyDescent="0.25"/>
    <row r="4042" ht="15" customHeight="1" x14ac:dyDescent="0.25"/>
    <row r="4044" ht="15" customHeight="1" x14ac:dyDescent="0.25"/>
    <row r="4046" ht="15" customHeight="1" x14ac:dyDescent="0.25"/>
    <row r="4048" ht="15" customHeight="1" x14ac:dyDescent="0.25"/>
    <row r="4050" ht="15" customHeight="1" x14ac:dyDescent="0.25"/>
    <row r="4052" ht="15" customHeight="1" x14ac:dyDescent="0.25"/>
    <row r="4054" ht="15" customHeight="1" x14ac:dyDescent="0.25"/>
    <row r="4056" ht="15" customHeight="1" x14ac:dyDescent="0.25"/>
    <row r="4058" ht="15" customHeight="1" x14ac:dyDescent="0.25"/>
    <row r="4060" ht="15" customHeight="1" x14ac:dyDescent="0.25"/>
    <row r="4062" ht="15" customHeight="1" x14ac:dyDescent="0.25"/>
    <row r="4064" ht="15" customHeight="1" x14ac:dyDescent="0.25"/>
    <row r="4066" ht="15" customHeight="1" x14ac:dyDescent="0.25"/>
    <row r="4068" ht="15" customHeight="1" x14ac:dyDescent="0.25"/>
    <row r="4070" ht="15" customHeight="1" x14ac:dyDescent="0.25"/>
    <row r="4072" ht="15" customHeight="1" x14ac:dyDescent="0.25"/>
    <row r="4074" ht="15" customHeight="1" x14ac:dyDescent="0.25"/>
    <row r="4076" ht="15" customHeight="1" x14ac:dyDescent="0.25"/>
    <row r="4078" ht="15" customHeight="1" x14ac:dyDescent="0.25"/>
    <row r="4080" ht="15" customHeight="1" x14ac:dyDescent="0.25"/>
    <row r="4082" ht="15" customHeight="1" x14ac:dyDescent="0.25"/>
    <row r="4084" ht="15" customHeight="1" x14ac:dyDescent="0.25"/>
    <row r="4086" ht="15" customHeight="1" x14ac:dyDescent="0.25"/>
    <row r="4088" ht="15" customHeight="1" x14ac:dyDescent="0.25"/>
    <row r="4090" ht="15" customHeight="1" x14ac:dyDescent="0.25"/>
    <row r="4092" ht="15" customHeight="1" x14ac:dyDescent="0.25"/>
    <row r="4094" ht="15" customHeight="1" x14ac:dyDescent="0.25"/>
    <row r="4096" ht="15" customHeight="1" x14ac:dyDescent="0.25"/>
    <row r="4098" ht="15" customHeight="1" x14ac:dyDescent="0.25"/>
    <row r="4100" ht="15" customHeight="1" x14ac:dyDescent="0.25"/>
    <row r="4102" ht="15" customHeight="1" x14ac:dyDescent="0.25"/>
    <row r="4104" ht="15" customHeight="1" x14ac:dyDescent="0.25"/>
    <row r="4106" ht="15" customHeight="1" x14ac:dyDescent="0.25"/>
    <row r="4108" ht="15" customHeight="1" x14ac:dyDescent="0.25"/>
    <row r="4110" ht="15" customHeight="1" x14ac:dyDescent="0.25"/>
    <row r="4112" ht="15" customHeight="1" x14ac:dyDescent="0.25"/>
    <row r="4114" ht="15" customHeight="1" x14ac:dyDescent="0.25"/>
    <row r="4116" ht="15" customHeight="1" x14ac:dyDescent="0.25"/>
    <row r="4118" ht="15" customHeight="1" x14ac:dyDescent="0.25"/>
    <row r="4120" ht="15" customHeight="1" x14ac:dyDescent="0.25"/>
    <row r="4122" ht="15" customHeight="1" x14ac:dyDescent="0.25"/>
    <row r="4124" ht="15" customHeight="1" x14ac:dyDescent="0.25"/>
    <row r="4126" ht="15" customHeight="1" x14ac:dyDescent="0.25"/>
    <row r="4128" ht="15" customHeight="1" x14ac:dyDescent="0.25"/>
    <row r="4130" ht="15" customHeight="1" x14ac:dyDescent="0.25"/>
    <row r="4132" ht="15" customHeight="1" x14ac:dyDescent="0.25"/>
    <row r="4134" ht="15" customHeight="1" x14ac:dyDescent="0.25"/>
    <row r="4136" ht="15" customHeight="1" x14ac:dyDescent="0.25"/>
    <row r="4138" ht="15" customHeight="1" x14ac:dyDescent="0.25"/>
    <row r="4140" ht="15" customHeight="1" x14ac:dyDescent="0.25"/>
    <row r="4142" ht="15" customHeight="1" x14ac:dyDescent="0.25"/>
    <row r="4144" ht="15" customHeight="1" x14ac:dyDescent="0.25"/>
    <row r="4146" ht="15" customHeight="1" x14ac:dyDescent="0.25"/>
    <row r="4148" ht="15" customHeight="1" x14ac:dyDescent="0.25"/>
    <row r="4150" ht="15" customHeight="1" x14ac:dyDescent="0.25"/>
    <row r="4152" ht="15" customHeight="1" x14ac:dyDescent="0.25"/>
    <row r="4154" ht="15" customHeight="1" x14ac:dyDescent="0.25"/>
    <row r="4156" ht="15" customHeight="1" x14ac:dyDescent="0.25"/>
    <row r="4158" ht="15" customHeight="1" x14ac:dyDescent="0.25"/>
    <row r="4160" ht="15" customHeight="1" x14ac:dyDescent="0.25"/>
    <row r="4162" ht="15" customHeight="1" x14ac:dyDescent="0.25"/>
    <row r="4164" ht="15" customHeight="1" x14ac:dyDescent="0.25"/>
    <row r="4166" ht="15" customHeight="1" x14ac:dyDescent="0.25"/>
    <row r="4168" ht="15" customHeight="1" x14ac:dyDescent="0.25"/>
    <row r="4170" ht="15" customHeight="1" x14ac:dyDescent="0.25"/>
    <row r="4172" ht="15" customHeight="1" x14ac:dyDescent="0.25"/>
    <row r="4174" ht="15" customHeight="1" x14ac:dyDescent="0.25"/>
    <row r="4176" ht="15" customHeight="1" x14ac:dyDescent="0.25"/>
    <row r="4178" ht="15" customHeight="1" x14ac:dyDescent="0.25"/>
    <row r="4180" ht="15" customHeight="1" x14ac:dyDescent="0.25"/>
    <row r="4182" ht="15" customHeight="1" x14ac:dyDescent="0.25"/>
    <row r="4184" ht="15" customHeight="1" x14ac:dyDescent="0.25"/>
    <row r="4186" ht="15" customHeight="1" x14ac:dyDescent="0.25"/>
    <row r="4188" ht="15" customHeight="1" x14ac:dyDescent="0.25"/>
    <row r="4190" ht="15" customHeight="1" x14ac:dyDescent="0.25"/>
    <row r="4192" ht="15" customHeight="1" x14ac:dyDescent="0.25"/>
    <row r="4194" ht="15" customHeight="1" x14ac:dyDescent="0.25"/>
    <row r="4196" ht="15" customHeight="1" x14ac:dyDescent="0.25"/>
    <row r="4198" ht="15" customHeight="1" x14ac:dyDescent="0.25"/>
    <row r="4200" ht="15" customHeight="1" x14ac:dyDescent="0.25"/>
    <row r="4202" ht="15" customHeight="1" x14ac:dyDescent="0.25"/>
    <row r="4204" ht="15" customHeight="1" x14ac:dyDescent="0.25"/>
    <row r="4206" ht="15" customHeight="1" x14ac:dyDescent="0.25"/>
    <row r="4208" ht="15" customHeight="1" x14ac:dyDescent="0.25"/>
    <row r="4210" ht="15" customHeight="1" x14ac:dyDescent="0.25"/>
    <row r="4212" ht="15" customHeight="1" x14ac:dyDescent="0.25"/>
    <row r="4214" ht="15" customHeight="1" x14ac:dyDescent="0.25"/>
    <row r="4216" ht="15" customHeight="1" x14ac:dyDescent="0.25"/>
    <row r="4218" ht="15" customHeight="1" x14ac:dyDescent="0.25"/>
    <row r="4220" ht="15" customHeight="1" x14ac:dyDescent="0.25"/>
    <row r="4222" ht="15" customHeight="1" x14ac:dyDescent="0.25"/>
    <row r="4224" ht="15" customHeight="1" x14ac:dyDescent="0.25"/>
    <row r="4226" ht="15" customHeight="1" x14ac:dyDescent="0.25"/>
    <row r="4228" ht="15" customHeight="1" x14ac:dyDescent="0.25"/>
    <row r="4230" ht="15" customHeight="1" x14ac:dyDescent="0.25"/>
    <row r="4232" ht="15" customHeight="1" x14ac:dyDescent="0.25"/>
    <row r="4234" ht="15" customHeight="1" x14ac:dyDescent="0.25"/>
    <row r="4236" ht="15" customHeight="1" x14ac:dyDescent="0.25"/>
    <row r="4238" ht="15" customHeight="1" x14ac:dyDescent="0.25"/>
    <row r="4240" ht="15" customHeight="1" x14ac:dyDescent="0.25"/>
    <row r="4242" ht="15" customHeight="1" x14ac:dyDescent="0.25"/>
    <row r="4244" ht="15" customHeight="1" x14ac:dyDescent="0.25"/>
    <row r="4246" ht="15" customHeight="1" x14ac:dyDescent="0.25"/>
    <row r="4248" ht="15" customHeight="1" x14ac:dyDescent="0.25"/>
    <row r="4250" ht="15" customHeight="1" x14ac:dyDescent="0.25"/>
    <row r="4252" ht="15" customHeight="1" x14ac:dyDescent="0.25"/>
    <row r="4254" ht="15" customHeight="1" x14ac:dyDescent="0.25"/>
    <row r="4256" ht="15" customHeight="1" x14ac:dyDescent="0.25"/>
    <row r="4258" ht="15" customHeight="1" x14ac:dyDescent="0.25"/>
    <row r="4260" ht="15" customHeight="1" x14ac:dyDescent="0.25"/>
    <row r="4262" ht="15" customHeight="1" x14ac:dyDescent="0.25"/>
    <row r="4264" ht="15" customHeight="1" x14ac:dyDescent="0.25"/>
    <row r="4266" ht="15" customHeight="1" x14ac:dyDescent="0.25"/>
    <row r="4268" ht="15" customHeight="1" x14ac:dyDescent="0.25"/>
    <row r="4270" ht="15" customHeight="1" x14ac:dyDescent="0.25"/>
    <row r="4272" ht="15" customHeight="1" x14ac:dyDescent="0.25"/>
    <row r="4274" ht="15" customHeight="1" x14ac:dyDescent="0.25"/>
    <row r="4276" ht="15" customHeight="1" x14ac:dyDescent="0.25"/>
    <row r="4278" ht="15" customHeight="1" x14ac:dyDescent="0.25"/>
    <row r="4280" ht="15" customHeight="1" x14ac:dyDescent="0.25"/>
    <row r="4282" ht="15" customHeight="1" x14ac:dyDescent="0.25"/>
    <row r="4284" ht="15" customHeight="1" x14ac:dyDescent="0.25"/>
    <row r="4286" ht="15" customHeight="1" x14ac:dyDescent="0.25"/>
    <row r="4288" ht="15" customHeight="1" x14ac:dyDescent="0.25"/>
    <row r="4290" ht="15" customHeight="1" x14ac:dyDescent="0.25"/>
    <row r="4292" ht="15" customHeight="1" x14ac:dyDescent="0.25"/>
    <row r="4294" ht="15" customHeight="1" x14ac:dyDescent="0.25"/>
    <row r="4296" ht="15" customHeight="1" x14ac:dyDescent="0.25"/>
    <row r="4298" ht="15" customHeight="1" x14ac:dyDescent="0.25"/>
    <row r="4300" ht="15" customHeight="1" x14ac:dyDescent="0.25"/>
    <row r="4302" ht="15" customHeight="1" x14ac:dyDescent="0.25"/>
    <row r="4304" ht="15" customHeight="1" x14ac:dyDescent="0.25"/>
    <row r="4306" ht="15" customHeight="1" x14ac:dyDescent="0.25"/>
    <row r="4308" ht="15" customHeight="1" x14ac:dyDescent="0.25"/>
    <row r="4310" ht="15" customHeight="1" x14ac:dyDescent="0.25"/>
    <row r="4312" ht="15" customHeight="1" x14ac:dyDescent="0.25"/>
    <row r="4314" ht="15" customHeight="1" x14ac:dyDescent="0.25"/>
    <row r="4316" ht="15" customHeight="1" x14ac:dyDescent="0.25"/>
    <row r="4318" ht="15" customHeight="1" x14ac:dyDescent="0.25"/>
    <row r="4320" ht="15" customHeight="1" x14ac:dyDescent="0.25"/>
    <row r="4322" ht="15" customHeight="1" x14ac:dyDescent="0.25"/>
    <row r="4324" ht="15" customHeight="1" x14ac:dyDescent="0.25"/>
    <row r="4326" ht="15" customHeight="1" x14ac:dyDescent="0.25"/>
    <row r="4328" ht="15" customHeight="1" x14ac:dyDescent="0.25"/>
    <row r="4330" ht="15" customHeight="1" x14ac:dyDescent="0.25"/>
    <row r="4332" ht="15" customHeight="1" x14ac:dyDescent="0.25"/>
    <row r="4334" ht="15" customHeight="1" x14ac:dyDescent="0.25"/>
    <row r="4336" ht="15" customHeight="1" x14ac:dyDescent="0.25"/>
    <row r="4338" ht="15" customHeight="1" x14ac:dyDescent="0.25"/>
    <row r="4340" ht="15" customHeight="1" x14ac:dyDescent="0.25"/>
    <row r="4342" ht="15" customHeight="1" x14ac:dyDescent="0.25"/>
    <row r="4344" ht="15" customHeight="1" x14ac:dyDescent="0.25"/>
    <row r="4346" ht="15" customHeight="1" x14ac:dyDescent="0.25"/>
    <row r="4348" ht="15" customHeight="1" x14ac:dyDescent="0.25"/>
    <row r="4350" ht="15" customHeight="1" x14ac:dyDescent="0.25"/>
    <row r="4352" ht="15" customHeight="1" x14ac:dyDescent="0.25"/>
    <row r="4354" ht="15" customHeight="1" x14ac:dyDescent="0.25"/>
    <row r="4356" ht="15" customHeight="1" x14ac:dyDescent="0.25"/>
    <row r="4358" ht="15" customHeight="1" x14ac:dyDescent="0.25"/>
    <row r="4360" ht="15" customHeight="1" x14ac:dyDescent="0.25"/>
    <row r="4362" ht="15" customHeight="1" x14ac:dyDescent="0.25"/>
    <row r="4364" ht="15" customHeight="1" x14ac:dyDescent="0.25"/>
    <row r="4366" ht="15" customHeight="1" x14ac:dyDescent="0.25"/>
    <row r="4368" ht="15" customHeight="1" x14ac:dyDescent="0.25"/>
    <row r="4370" ht="15" customHeight="1" x14ac:dyDescent="0.25"/>
    <row r="4372" ht="15" customHeight="1" x14ac:dyDescent="0.25"/>
    <row r="4374" ht="15" customHeight="1" x14ac:dyDescent="0.25"/>
    <row r="4376" ht="15" customHeight="1" x14ac:dyDescent="0.25"/>
    <row r="4378" ht="15" customHeight="1" x14ac:dyDescent="0.25"/>
    <row r="4380" ht="15" customHeight="1" x14ac:dyDescent="0.25"/>
    <row r="4382" ht="15" customHeight="1" x14ac:dyDescent="0.25"/>
    <row r="4384" ht="15" customHeight="1" x14ac:dyDescent="0.25"/>
    <row r="4386" ht="15" customHeight="1" x14ac:dyDescent="0.25"/>
    <row r="4388" ht="15" customHeight="1" x14ac:dyDescent="0.25"/>
    <row r="4390" ht="15" customHeight="1" x14ac:dyDescent="0.25"/>
    <row r="4392" ht="15" customHeight="1" x14ac:dyDescent="0.25"/>
    <row r="4394" ht="15" customHeight="1" x14ac:dyDescent="0.25"/>
    <row r="4396" ht="15" customHeight="1" x14ac:dyDescent="0.25"/>
    <row r="4398" ht="15" customHeight="1" x14ac:dyDescent="0.25"/>
    <row r="4400" ht="15" customHeight="1" x14ac:dyDescent="0.25"/>
    <row r="4402" ht="15" customHeight="1" x14ac:dyDescent="0.25"/>
    <row r="4404" ht="15" customHeight="1" x14ac:dyDescent="0.25"/>
    <row r="4406" ht="15" customHeight="1" x14ac:dyDescent="0.25"/>
    <row r="4408" ht="15" customHeight="1" x14ac:dyDescent="0.25"/>
    <row r="4410" ht="15" customHeight="1" x14ac:dyDescent="0.25"/>
    <row r="4412" ht="15" customHeight="1" x14ac:dyDescent="0.25"/>
    <row r="4414" ht="15" customHeight="1" x14ac:dyDescent="0.25"/>
    <row r="4416" ht="15" customHeight="1" x14ac:dyDescent="0.25"/>
    <row r="4418" ht="15" customHeight="1" x14ac:dyDescent="0.25"/>
    <row r="4420" ht="15" customHeight="1" x14ac:dyDescent="0.25"/>
    <row r="4422" ht="15" customHeight="1" x14ac:dyDescent="0.25"/>
    <row r="4424" ht="15" customHeight="1" x14ac:dyDescent="0.25"/>
    <row r="4426" ht="15" customHeight="1" x14ac:dyDescent="0.25"/>
    <row r="4428" ht="15" customHeight="1" x14ac:dyDescent="0.25"/>
    <row r="4430" ht="15" customHeight="1" x14ac:dyDescent="0.25"/>
    <row r="4432" ht="15" customHeight="1" x14ac:dyDescent="0.25"/>
    <row r="4434" ht="15" customHeight="1" x14ac:dyDescent="0.25"/>
    <row r="4436" ht="15" customHeight="1" x14ac:dyDescent="0.25"/>
    <row r="4438" ht="15" customHeight="1" x14ac:dyDescent="0.25"/>
    <row r="4440" ht="15" customHeight="1" x14ac:dyDescent="0.25"/>
    <row r="4442" ht="15" customHeight="1" x14ac:dyDescent="0.25"/>
    <row r="4444" ht="15" customHeight="1" x14ac:dyDescent="0.25"/>
    <row r="4446" ht="15" customHeight="1" x14ac:dyDescent="0.25"/>
    <row r="4448" ht="15" customHeight="1" x14ac:dyDescent="0.25"/>
    <row r="4450" ht="15" customHeight="1" x14ac:dyDescent="0.25"/>
    <row r="4452" ht="15" customHeight="1" x14ac:dyDescent="0.25"/>
    <row r="4454" ht="15" customHeight="1" x14ac:dyDescent="0.25"/>
    <row r="4456" ht="15" customHeight="1" x14ac:dyDescent="0.25"/>
    <row r="4458" ht="15" customHeight="1" x14ac:dyDescent="0.25"/>
    <row r="4460" ht="15" customHeight="1" x14ac:dyDescent="0.25"/>
    <row r="4462" ht="15" customHeight="1" x14ac:dyDescent="0.25"/>
    <row r="4464" ht="15" customHeight="1" x14ac:dyDescent="0.25"/>
    <row r="4466" ht="15" customHeight="1" x14ac:dyDescent="0.25"/>
    <row r="4468" ht="15" customHeight="1" x14ac:dyDescent="0.25"/>
    <row r="4470" ht="15" customHeight="1" x14ac:dyDescent="0.25"/>
    <row r="4472" ht="15" customHeight="1" x14ac:dyDescent="0.25"/>
    <row r="4474" ht="15" customHeight="1" x14ac:dyDescent="0.25"/>
    <row r="4476" ht="15" customHeight="1" x14ac:dyDescent="0.25"/>
    <row r="4478" ht="15" customHeight="1" x14ac:dyDescent="0.25"/>
    <row r="4480" ht="15" customHeight="1" x14ac:dyDescent="0.25"/>
    <row r="4482" ht="15" customHeight="1" x14ac:dyDescent="0.25"/>
    <row r="4484" ht="15" customHeight="1" x14ac:dyDescent="0.25"/>
    <row r="4486" ht="15" customHeight="1" x14ac:dyDescent="0.25"/>
    <row r="4488" ht="15" customHeight="1" x14ac:dyDescent="0.25"/>
    <row r="4490" ht="15" customHeight="1" x14ac:dyDescent="0.25"/>
    <row r="4492" ht="15" customHeight="1" x14ac:dyDescent="0.25"/>
    <row r="4494" ht="15" customHeight="1" x14ac:dyDescent="0.25"/>
    <row r="4496" ht="15" customHeight="1" x14ac:dyDescent="0.25"/>
    <row r="4498" ht="15" customHeight="1" x14ac:dyDescent="0.25"/>
    <row r="4500" ht="15" customHeight="1" x14ac:dyDescent="0.25"/>
    <row r="4502" ht="15" customHeight="1" x14ac:dyDescent="0.25"/>
    <row r="4504" ht="15" customHeight="1" x14ac:dyDescent="0.25"/>
    <row r="4506" ht="15" customHeight="1" x14ac:dyDescent="0.25"/>
    <row r="4508" ht="15" customHeight="1" x14ac:dyDescent="0.25"/>
    <row r="4510" ht="15" customHeight="1" x14ac:dyDescent="0.25"/>
    <row r="4512" ht="15" customHeight="1" x14ac:dyDescent="0.25"/>
    <row r="4514" ht="15" customHeight="1" x14ac:dyDescent="0.25"/>
    <row r="4516" ht="15" customHeight="1" x14ac:dyDescent="0.25"/>
    <row r="4518" ht="15" customHeight="1" x14ac:dyDescent="0.25"/>
    <row r="4520" ht="15" customHeight="1" x14ac:dyDescent="0.25"/>
    <row r="4522" ht="15" customHeight="1" x14ac:dyDescent="0.25"/>
    <row r="4524" ht="15" customHeight="1" x14ac:dyDescent="0.25"/>
    <row r="4526" ht="15" customHeight="1" x14ac:dyDescent="0.25"/>
    <row r="4528" ht="15" customHeight="1" x14ac:dyDescent="0.25"/>
    <row r="4530" ht="15" customHeight="1" x14ac:dyDescent="0.25"/>
    <row r="4532" ht="15" customHeight="1" x14ac:dyDescent="0.25"/>
    <row r="4534" ht="15" customHeight="1" x14ac:dyDescent="0.25"/>
    <row r="4536" ht="15" customHeight="1" x14ac:dyDescent="0.25"/>
    <row r="4538" ht="15" customHeight="1" x14ac:dyDescent="0.25"/>
    <row r="4540" ht="15" customHeight="1" x14ac:dyDescent="0.25"/>
    <row r="4542" ht="15" customHeight="1" x14ac:dyDescent="0.25"/>
    <row r="4544" ht="15" customHeight="1" x14ac:dyDescent="0.25"/>
    <row r="4546" ht="15" customHeight="1" x14ac:dyDescent="0.25"/>
    <row r="4548" ht="15" customHeight="1" x14ac:dyDescent="0.25"/>
    <row r="4550" ht="15" customHeight="1" x14ac:dyDescent="0.25"/>
    <row r="4552" ht="15" customHeight="1" x14ac:dyDescent="0.25"/>
    <row r="4554" ht="15" customHeight="1" x14ac:dyDescent="0.25"/>
    <row r="4556" ht="15" customHeight="1" x14ac:dyDescent="0.25"/>
    <row r="4558" ht="15" customHeight="1" x14ac:dyDescent="0.25"/>
    <row r="4560" ht="15" customHeight="1" x14ac:dyDescent="0.25"/>
    <row r="4562" ht="15" customHeight="1" x14ac:dyDescent="0.25"/>
    <row r="4564" ht="15" customHeight="1" x14ac:dyDescent="0.25"/>
    <row r="4566" ht="15" customHeight="1" x14ac:dyDescent="0.25"/>
    <row r="4568" ht="15" customHeight="1" x14ac:dyDescent="0.25"/>
    <row r="4570" ht="15" customHeight="1" x14ac:dyDescent="0.25"/>
    <row r="4572" ht="15" customHeight="1" x14ac:dyDescent="0.25"/>
    <row r="4574" ht="15" customHeight="1" x14ac:dyDescent="0.25"/>
    <row r="4576" ht="15" customHeight="1" x14ac:dyDescent="0.25"/>
    <row r="4578" ht="15" customHeight="1" x14ac:dyDescent="0.25"/>
    <row r="4580" ht="15" customHeight="1" x14ac:dyDescent="0.25"/>
    <row r="4582" ht="15" customHeight="1" x14ac:dyDescent="0.25"/>
    <row r="4584" ht="15" customHeight="1" x14ac:dyDescent="0.25"/>
    <row r="4586" ht="15" customHeight="1" x14ac:dyDescent="0.25"/>
    <row r="4588" ht="15" customHeight="1" x14ac:dyDescent="0.25"/>
    <row r="4590" ht="15" customHeight="1" x14ac:dyDescent="0.25"/>
    <row r="4592" ht="15" customHeight="1" x14ac:dyDescent="0.25"/>
    <row r="4594" ht="15" customHeight="1" x14ac:dyDescent="0.25"/>
    <row r="4596" ht="15" customHeight="1" x14ac:dyDescent="0.25"/>
    <row r="4598" ht="15" customHeight="1" x14ac:dyDescent="0.25"/>
    <row r="4600" ht="15" customHeight="1" x14ac:dyDescent="0.25"/>
    <row r="4602" ht="15" customHeight="1" x14ac:dyDescent="0.25"/>
    <row r="4604" ht="15" customHeight="1" x14ac:dyDescent="0.25"/>
    <row r="4606" ht="15" customHeight="1" x14ac:dyDescent="0.25"/>
    <row r="4608" ht="15" customHeight="1" x14ac:dyDescent="0.25"/>
    <row r="4610" ht="15" customHeight="1" x14ac:dyDescent="0.25"/>
    <row r="4612" ht="15" customHeight="1" x14ac:dyDescent="0.25"/>
    <row r="4614" ht="15" customHeight="1" x14ac:dyDescent="0.25"/>
    <row r="4616" ht="15" customHeight="1" x14ac:dyDescent="0.25"/>
    <row r="4618" ht="15" customHeight="1" x14ac:dyDescent="0.25"/>
    <row r="4620" ht="15" customHeight="1" x14ac:dyDescent="0.25"/>
    <row r="4622" ht="15" customHeight="1" x14ac:dyDescent="0.25"/>
    <row r="4624" ht="15" customHeight="1" x14ac:dyDescent="0.25"/>
    <row r="4626" ht="15" customHeight="1" x14ac:dyDescent="0.25"/>
    <row r="4628" ht="15" customHeight="1" x14ac:dyDescent="0.25"/>
    <row r="4630" ht="15" customHeight="1" x14ac:dyDescent="0.25"/>
    <row r="4632" ht="15" customHeight="1" x14ac:dyDescent="0.25"/>
    <row r="4634" ht="15" customHeight="1" x14ac:dyDescent="0.25"/>
    <row r="4636" ht="15" customHeight="1" x14ac:dyDescent="0.25"/>
    <row r="4638" ht="15" customHeight="1" x14ac:dyDescent="0.25"/>
    <row r="4640" ht="15" customHeight="1" x14ac:dyDescent="0.25"/>
    <row r="4642" ht="15" customHeight="1" x14ac:dyDescent="0.25"/>
    <row r="4644" ht="15" customHeight="1" x14ac:dyDescent="0.25"/>
    <row r="4646" ht="15" customHeight="1" x14ac:dyDescent="0.25"/>
    <row r="4648" ht="15" customHeight="1" x14ac:dyDescent="0.25"/>
    <row r="4650" ht="15" customHeight="1" x14ac:dyDescent="0.25"/>
    <row r="4652" ht="15" customHeight="1" x14ac:dyDescent="0.25"/>
    <row r="4654" ht="15" customHeight="1" x14ac:dyDescent="0.25"/>
    <row r="4656" ht="15" customHeight="1" x14ac:dyDescent="0.25"/>
    <row r="4658" ht="15" customHeight="1" x14ac:dyDescent="0.25"/>
    <row r="4660" ht="15" customHeight="1" x14ac:dyDescent="0.25"/>
    <row r="4662" ht="15" customHeight="1" x14ac:dyDescent="0.25"/>
    <row r="4664" ht="15" customHeight="1" x14ac:dyDescent="0.25"/>
    <row r="4666" ht="15" customHeight="1" x14ac:dyDescent="0.25"/>
    <row r="4668" ht="15" customHeight="1" x14ac:dyDescent="0.25"/>
    <row r="4670" ht="15" customHeight="1" x14ac:dyDescent="0.25"/>
    <row r="4672" ht="15" customHeight="1" x14ac:dyDescent="0.25"/>
    <row r="4674" ht="15" customHeight="1" x14ac:dyDescent="0.25"/>
    <row r="4676" ht="15" customHeight="1" x14ac:dyDescent="0.25"/>
    <row r="4678" ht="15" customHeight="1" x14ac:dyDescent="0.25"/>
    <row r="4680" ht="15" customHeight="1" x14ac:dyDescent="0.25"/>
    <row r="4682" ht="15" customHeight="1" x14ac:dyDescent="0.25"/>
    <row r="4684" ht="15" customHeight="1" x14ac:dyDescent="0.25"/>
    <row r="4686" ht="15" customHeight="1" x14ac:dyDescent="0.25"/>
    <row r="4688" ht="15" customHeight="1" x14ac:dyDescent="0.25"/>
    <row r="4690" ht="15" customHeight="1" x14ac:dyDescent="0.25"/>
    <row r="4692" ht="15" customHeight="1" x14ac:dyDescent="0.25"/>
    <row r="4694" ht="15" customHeight="1" x14ac:dyDescent="0.25"/>
    <row r="4696" ht="15" customHeight="1" x14ac:dyDescent="0.25"/>
    <row r="4698" ht="15" customHeight="1" x14ac:dyDescent="0.25"/>
    <row r="4700" ht="15" customHeight="1" x14ac:dyDescent="0.25"/>
    <row r="4702" ht="15" customHeight="1" x14ac:dyDescent="0.25"/>
    <row r="4704" ht="15" customHeight="1" x14ac:dyDescent="0.25"/>
    <row r="4706" ht="15" customHeight="1" x14ac:dyDescent="0.25"/>
    <row r="4708" ht="15" customHeight="1" x14ac:dyDescent="0.25"/>
    <row r="4710" ht="15" customHeight="1" x14ac:dyDescent="0.25"/>
    <row r="4712" ht="15" customHeight="1" x14ac:dyDescent="0.25"/>
    <row r="4714" ht="15" customHeight="1" x14ac:dyDescent="0.25"/>
    <row r="4716" ht="15" customHeight="1" x14ac:dyDescent="0.25"/>
    <row r="4718" ht="15" customHeight="1" x14ac:dyDescent="0.25"/>
    <row r="4720" ht="15" customHeight="1" x14ac:dyDescent="0.25"/>
    <row r="4722" ht="15" customHeight="1" x14ac:dyDescent="0.25"/>
    <row r="4724" ht="15" customHeight="1" x14ac:dyDescent="0.25"/>
    <row r="4726" ht="15" customHeight="1" x14ac:dyDescent="0.25"/>
    <row r="4728" ht="15" customHeight="1" x14ac:dyDescent="0.25"/>
    <row r="4730" ht="15" customHeight="1" x14ac:dyDescent="0.25"/>
    <row r="4732" ht="15" customHeight="1" x14ac:dyDescent="0.25"/>
    <row r="4734" ht="15" customHeight="1" x14ac:dyDescent="0.25"/>
    <row r="4736" ht="15" customHeight="1" x14ac:dyDescent="0.25"/>
    <row r="4738" ht="15" customHeight="1" x14ac:dyDescent="0.25"/>
    <row r="4740" ht="15" customHeight="1" x14ac:dyDescent="0.25"/>
    <row r="4742" ht="15" customHeight="1" x14ac:dyDescent="0.25"/>
    <row r="4744" ht="15" customHeight="1" x14ac:dyDescent="0.25"/>
    <row r="4746" ht="15" customHeight="1" x14ac:dyDescent="0.25"/>
    <row r="4748" ht="15" customHeight="1" x14ac:dyDescent="0.25"/>
    <row r="4750" ht="15" customHeight="1" x14ac:dyDescent="0.25"/>
    <row r="4752" ht="15" customHeight="1" x14ac:dyDescent="0.25"/>
    <row r="4754" ht="15" customHeight="1" x14ac:dyDescent="0.25"/>
    <row r="4756" ht="15" customHeight="1" x14ac:dyDescent="0.25"/>
    <row r="4758" ht="15" customHeight="1" x14ac:dyDescent="0.25"/>
    <row r="4760" ht="15" customHeight="1" x14ac:dyDescent="0.25"/>
    <row r="4762" ht="15" customHeight="1" x14ac:dyDescent="0.25"/>
    <row r="4764" ht="15" customHeight="1" x14ac:dyDescent="0.25"/>
    <row r="4766" ht="15" customHeight="1" x14ac:dyDescent="0.25"/>
    <row r="4768" ht="15" customHeight="1" x14ac:dyDescent="0.25"/>
    <row r="4770" ht="15" customHeight="1" x14ac:dyDescent="0.25"/>
    <row r="4772" ht="15" customHeight="1" x14ac:dyDescent="0.25"/>
    <row r="4774" ht="15" customHeight="1" x14ac:dyDescent="0.25"/>
    <row r="4776" ht="15" customHeight="1" x14ac:dyDescent="0.25"/>
    <row r="4778" ht="15" customHeight="1" x14ac:dyDescent="0.25"/>
    <row r="4780" ht="15" customHeight="1" x14ac:dyDescent="0.25"/>
    <row r="4782" ht="15" customHeight="1" x14ac:dyDescent="0.25"/>
    <row r="4784" ht="15" customHeight="1" x14ac:dyDescent="0.25"/>
    <row r="4786" ht="15" customHeight="1" x14ac:dyDescent="0.25"/>
    <row r="4788" ht="15" customHeight="1" x14ac:dyDescent="0.25"/>
    <row r="4790" ht="15" customHeight="1" x14ac:dyDescent="0.25"/>
    <row r="4792" ht="15" customHeight="1" x14ac:dyDescent="0.25"/>
    <row r="4794" ht="15" customHeight="1" x14ac:dyDescent="0.25"/>
    <row r="4796" ht="15" customHeight="1" x14ac:dyDescent="0.25"/>
    <row r="4798" ht="15" customHeight="1" x14ac:dyDescent="0.25"/>
    <row r="4800" ht="15" customHeight="1" x14ac:dyDescent="0.25"/>
    <row r="4802" ht="15" customHeight="1" x14ac:dyDescent="0.25"/>
    <row r="4804" ht="15" customHeight="1" x14ac:dyDescent="0.25"/>
    <row r="4806" ht="15" customHeight="1" x14ac:dyDescent="0.25"/>
    <row r="4808" ht="15" customHeight="1" x14ac:dyDescent="0.25"/>
    <row r="4810" ht="15" customHeight="1" x14ac:dyDescent="0.25"/>
    <row r="4812" ht="15" customHeight="1" x14ac:dyDescent="0.25"/>
    <row r="4814" ht="15" customHeight="1" x14ac:dyDescent="0.25"/>
    <row r="4816" ht="15" customHeight="1" x14ac:dyDescent="0.25"/>
    <row r="4818" ht="15" customHeight="1" x14ac:dyDescent="0.25"/>
    <row r="4820" ht="15" customHeight="1" x14ac:dyDescent="0.25"/>
    <row r="4822" ht="15" customHeight="1" x14ac:dyDescent="0.25"/>
    <row r="4824" ht="15" customHeight="1" x14ac:dyDescent="0.25"/>
    <row r="4826" ht="15" customHeight="1" x14ac:dyDescent="0.25"/>
    <row r="4828" ht="15" customHeight="1" x14ac:dyDescent="0.25"/>
    <row r="4830" ht="15" customHeight="1" x14ac:dyDescent="0.25"/>
    <row r="4832" ht="15" customHeight="1" x14ac:dyDescent="0.25"/>
    <row r="4834" ht="15" customHeight="1" x14ac:dyDescent="0.25"/>
    <row r="4836" ht="15" customHeight="1" x14ac:dyDescent="0.25"/>
    <row r="4838" ht="15" customHeight="1" x14ac:dyDescent="0.25"/>
    <row r="4840" ht="15" customHeight="1" x14ac:dyDescent="0.25"/>
    <row r="4842" ht="15" customHeight="1" x14ac:dyDescent="0.25"/>
    <row r="4844" ht="15" customHeight="1" x14ac:dyDescent="0.25"/>
    <row r="4846" ht="15" customHeight="1" x14ac:dyDescent="0.25"/>
    <row r="4848" ht="15" customHeight="1" x14ac:dyDescent="0.25"/>
    <row r="4850" ht="15" customHeight="1" x14ac:dyDescent="0.25"/>
    <row r="4852" ht="15" customHeight="1" x14ac:dyDescent="0.25"/>
    <row r="4854" ht="15" customHeight="1" x14ac:dyDescent="0.25"/>
    <row r="4856" ht="15" customHeight="1" x14ac:dyDescent="0.25"/>
    <row r="4858" ht="15" customHeight="1" x14ac:dyDescent="0.25"/>
    <row r="4860" ht="15" customHeight="1" x14ac:dyDescent="0.25"/>
    <row r="4862" ht="15" customHeight="1" x14ac:dyDescent="0.25"/>
    <row r="4864" ht="15" customHeight="1" x14ac:dyDescent="0.25"/>
    <row r="4866" ht="15" customHeight="1" x14ac:dyDescent="0.25"/>
    <row r="4868" ht="15" customHeight="1" x14ac:dyDescent="0.25"/>
    <row r="4870" ht="15" customHeight="1" x14ac:dyDescent="0.25"/>
    <row r="4872" ht="15" customHeight="1" x14ac:dyDescent="0.25"/>
    <row r="4874" ht="15" customHeight="1" x14ac:dyDescent="0.25"/>
    <row r="4876" ht="15" customHeight="1" x14ac:dyDescent="0.25"/>
    <row r="4878" ht="15" customHeight="1" x14ac:dyDescent="0.25"/>
    <row r="4880" ht="15" customHeight="1" x14ac:dyDescent="0.25"/>
    <row r="4882" ht="15" customHeight="1" x14ac:dyDescent="0.25"/>
    <row r="4884" ht="15" customHeight="1" x14ac:dyDescent="0.25"/>
    <row r="4886" ht="15" customHeight="1" x14ac:dyDescent="0.25"/>
    <row r="4888" ht="15" customHeight="1" x14ac:dyDescent="0.25"/>
    <row r="4890" ht="15" customHeight="1" x14ac:dyDescent="0.25"/>
    <row r="4892" ht="15" customHeight="1" x14ac:dyDescent="0.25"/>
    <row r="4894" ht="15" customHeight="1" x14ac:dyDescent="0.25"/>
    <row r="4896" ht="15" customHeight="1" x14ac:dyDescent="0.25"/>
    <row r="4898" ht="15" customHeight="1" x14ac:dyDescent="0.25"/>
    <row r="4900" ht="15" customHeight="1" x14ac:dyDescent="0.25"/>
    <row r="4902" ht="15" customHeight="1" x14ac:dyDescent="0.25"/>
    <row r="4904" ht="15" customHeight="1" x14ac:dyDescent="0.25"/>
    <row r="4906" ht="15" customHeight="1" x14ac:dyDescent="0.25"/>
    <row r="4908" ht="15" customHeight="1" x14ac:dyDescent="0.25"/>
    <row r="4910" ht="15" customHeight="1" x14ac:dyDescent="0.25"/>
    <row r="4912" ht="15" customHeight="1" x14ac:dyDescent="0.25"/>
    <row r="4914" ht="15" customHeight="1" x14ac:dyDescent="0.25"/>
    <row r="4916" ht="15" customHeight="1" x14ac:dyDescent="0.25"/>
    <row r="4918" ht="15" customHeight="1" x14ac:dyDescent="0.25"/>
    <row r="4920" ht="15" customHeight="1" x14ac:dyDescent="0.25"/>
    <row r="4922" ht="15" customHeight="1" x14ac:dyDescent="0.25"/>
    <row r="4924" ht="15" customHeight="1" x14ac:dyDescent="0.25"/>
    <row r="4926" ht="15" customHeight="1" x14ac:dyDescent="0.25"/>
    <row r="4928" ht="15" customHeight="1" x14ac:dyDescent="0.25"/>
    <row r="4930" ht="15" customHeight="1" x14ac:dyDescent="0.25"/>
    <row r="4932" ht="15" customHeight="1" x14ac:dyDescent="0.25"/>
    <row r="4934" ht="15" customHeight="1" x14ac:dyDescent="0.25"/>
    <row r="4936" ht="15" customHeight="1" x14ac:dyDescent="0.25"/>
    <row r="4938" ht="15" customHeight="1" x14ac:dyDescent="0.25"/>
    <row r="4940" ht="15" customHeight="1" x14ac:dyDescent="0.25"/>
    <row r="4942" ht="15" customHeight="1" x14ac:dyDescent="0.25"/>
    <row r="4944" ht="15" customHeight="1" x14ac:dyDescent="0.25"/>
    <row r="4946" ht="15" customHeight="1" x14ac:dyDescent="0.25"/>
    <row r="4948" ht="15" customHeight="1" x14ac:dyDescent="0.25"/>
    <row r="4950" ht="15" customHeight="1" x14ac:dyDescent="0.25"/>
    <row r="4952" ht="15" customHeight="1" x14ac:dyDescent="0.25"/>
    <row r="4954" ht="15" customHeight="1" x14ac:dyDescent="0.25"/>
    <row r="4956" ht="15" customHeight="1" x14ac:dyDescent="0.25"/>
    <row r="4958" ht="15" customHeight="1" x14ac:dyDescent="0.25"/>
    <row r="4960" ht="15" customHeight="1" x14ac:dyDescent="0.25"/>
    <row r="4962" ht="15" customHeight="1" x14ac:dyDescent="0.25"/>
    <row r="4964" ht="15" customHeight="1" x14ac:dyDescent="0.25"/>
    <row r="4966" ht="15" customHeight="1" x14ac:dyDescent="0.25"/>
    <row r="4968" ht="15" customHeight="1" x14ac:dyDescent="0.25"/>
    <row r="4970" ht="15" customHeight="1" x14ac:dyDescent="0.25"/>
    <row r="4972" ht="15" customHeight="1" x14ac:dyDescent="0.25"/>
    <row r="4974" ht="15" customHeight="1" x14ac:dyDescent="0.25"/>
    <row r="4976" ht="15" customHeight="1" x14ac:dyDescent="0.25"/>
    <row r="4978" ht="15" customHeight="1" x14ac:dyDescent="0.25"/>
    <row r="4980" ht="15" customHeight="1" x14ac:dyDescent="0.25"/>
    <row r="4982" ht="15" customHeight="1" x14ac:dyDescent="0.25"/>
    <row r="4984" ht="15" customHeight="1" x14ac:dyDescent="0.25"/>
    <row r="4986" ht="15" customHeight="1" x14ac:dyDescent="0.25"/>
    <row r="4988" ht="15" customHeight="1" x14ac:dyDescent="0.25"/>
    <row r="4990" ht="15" customHeight="1" x14ac:dyDescent="0.25"/>
    <row r="4992" ht="15" customHeight="1" x14ac:dyDescent="0.25"/>
    <row r="4994" ht="15" customHeight="1" x14ac:dyDescent="0.25"/>
    <row r="4996" ht="15" customHeight="1" x14ac:dyDescent="0.25"/>
    <row r="4998" ht="15" customHeight="1" x14ac:dyDescent="0.25"/>
    <row r="5000" ht="15" customHeight="1" x14ac:dyDescent="0.25"/>
    <row r="5002" ht="15" customHeight="1" x14ac:dyDescent="0.25"/>
    <row r="5004" ht="15" customHeight="1" x14ac:dyDescent="0.25"/>
    <row r="5006" ht="15" customHeight="1" x14ac:dyDescent="0.25"/>
    <row r="5008" ht="15" customHeight="1" x14ac:dyDescent="0.25"/>
    <row r="5010" ht="15" customHeight="1" x14ac:dyDescent="0.25"/>
    <row r="5012" ht="15" customHeight="1" x14ac:dyDescent="0.25"/>
    <row r="5014" ht="15" customHeight="1" x14ac:dyDescent="0.25"/>
    <row r="5016" ht="15" customHeight="1" x14ac:dyDescent="0.25"/>
    <row r="5018" ht="15" customHeight="1" x14ac:dyDescent="0.25"/>
    <row r="5020" ht="15" customHeight="1" x14ac:dyDescent="0.25"/>
    <row r="5022" ht="15" customHeight="1" x14ac:dyDescent="0.25"/>
    <row r="5024" ht="15" customHeight="1" x14ac:dyDescent="0.25"/>
    <row r="5026" ht="15" customHeight="1" x14ac:dyDescent="0.25"/>
    <row r="5028" ht="15" customHeight="1" x14ac:dyDescent="0.25"/>
    <row r="5030" ht="15" customHeight="1" x14ac:dyDescent="0.25"/>
    <row r="5032" ht="15" customHeight="1" x14ac:dyDescent="0.25"/>
    <row r="5034" ht="15" customHeight="1" x14ac:dyDescent="0.25"/>
    <row r="5036" ht="15" customHeight="1" x14ac:dyDescent="0.25"/>
    <row r="5038" ht="15" customHeight="1" x14ac:dyDescent="0.25"/>
    <row r="5040" ht="15" customHeight="1" x14ac:dyDescent="0.25"/>
    <row r="5042" ht="15" customHeight="1" x14ac:dyDescent="0.25"/>
    <row r="5044" ht="15" customHeight="1" x14ac:dyDescent="0.25"/>
    <row r="5046" ht="15" customHeight="1" x14ac:dyDescent="0.25"/>
    <row r="5048" ht="15" customHeight="1" x14ac:dyDescent="0.25"/>
    <row r="5050" ht="15" customHeight="1" x14ac:dyDescent="0.25"/>
    <row r="5052" ht="15" customHeight="1" x14ac:dyDescent="0.25"/>
    <row r="5054" ht="15" customHeight="1" x14ac:dyDescent="0.25"/>
    <row r="5056" ht="15" customHeight="1" x14ac:dyDescent="0.25"/>
    <row r="5058" ht="15" customHeight="1" x14ac:dyDescent="0.25"/>
    <row r="5060" ht="15" customHeight="1" x14ac:dyDescent="0.25"/>
    <row r="5062" ht="15" customHeight="1" x14ac:dyDescent="0.25"/>
    <row r="5064" ht="15" customHeight="1" x14ac:dyDescent="0.25"/>
    <row r="5066" ht="15" customHeight="1" x14ac:dyDescent="0.25"/>
    <row r="5068" ht="15" customHeight="1" x14ac:dyDescent="0.25"/>
    <row r="5070" ht="15" customHeight="1" x14ac:dyDescent="0.25"/>
    <row r="5072" ht="15" customHeight="1" x14ac:dyDescent="0.25"/>
    <row r="5074" ht="15" customHeight="1" x14ac:dyDescent="0.25"/>
    <row r="5076" ht="15" customHeight="1" x14ac:dyDescent="0.25"/>
    <row r="5078" ht="15" customHeight="1" x14ac:dyDescent="0.25"/>
    <row r="5080" ht="15" customHeight="1" x14ac:dyDescent="0.25"/>
    <row r="5082" ht="15" customHeight="1" x14ac:dyDescent="0.25"/>
    <row r="5084" ht="15" customHeight="1" x14ac:dyDescent="0.25"/>
    <row r="5086" ht="15" customHeight="1" x14ac:dyDescent="0.25"/>
    <row r="5088" ht="15" customHeight="1" x14ac:dyDescent="0.25"/>
    <row r="5090" ht="15" customHeight="1" x14ac:dyDescent="0.25"/>
    <row r="5092" ht="15" customHeight="1" x14ac:dyDescent="0.25"/>
    <row r="5094" ht="15" customHeight="1" x14ac:dyDescent="0.25"/>
    <row r="5096" ht="15" customHeight="1" x14ac:dyDescent="0.25"/>
    <row r="5098" ht="15" customHeight="1" x14ac:dyDescent="0.25"/>
    <row r="5100" ht="15" customHeight="1" x14ac:dyDescent="0.25"/>
    <row r="5102" ht="15" customHeight="1" x14ac:dyDescent="0.25"/>
    <row r="5104" ht="15" customHeight="1" x14ac:dyDescent="0.25"/>
    <row r="5106" ht="15" customHeight="1" x14ac:dyDescent="0.25"/>
    <row r="5108" ht="15" customHeight="1" x14ac:dyDescent="0.25"/>
    <row r="5110" ht="15" customHeight="1" x14ac:dyDescent="0.25"/>
    <row r="5112" ht="15" customHeight="1" x14ac:dyDescent="0.25"/>
    <row r="5114" ht="15" customHeight="1" x14ac:dyDescent="0.25"/>
    <row r="5116" ht="15" customHeight="1" x14ac:dyDescent="0.25"/>
    <row r="5118" ht="15" customHeight="1" x14ac:dyDescent="0.25"/>
    <row r="5120" ht="15" customHeight="1" x14ac:dyDescent="0.25"/>
    <row r="5122" ht="15" customHeight="1" x14ac:dyDescent="0.25"/>
    <row r="5124" ht="15" customHeight="1" x14ac:dyDescent="0.25"/>
    <row r="5126" ht="15" customHeight="1" x14ac:dyDescent="0.25"/>
    <row r="5128" ht="15" customHeight="1" x14ac:dyDescent="0.25"/>
    <row r="5130" ht="15" customHeight="1" x14ac:dyDescent="0.25"/>
    <row r="5132" ht="15" customHeight="1" x14ac:dyDescent="0.25"/>
    <row r="5134" ht="15" customHeight="1" x14ac:dyDescent="0.25"/>
    <row r="5136" ht="15" customHeight="1" x14ac:dyDescent="0.25"/>
    <row r="5138" ht="15" customHeight="1" x14ac:dyDescent="0.25"/>
    <row r="5140" ht="15" customHeight="1" x14ac:dyDescent="0.25"/>
    <row r="5142" ht="15" customHeight="1" x14ac:dyDescent="0.25"/>
    <row r="5144" ht="15" customHeight="1" x14ac:dyDescent="0.25"/>
    <row r="5146" ht="15" customHeight="1" x14ac:dyDescent="0.25"/>
    <row r="5148" ht="15" customHeight="1" x14ac:dyDescent="0.25"/>
    <row r="5150" ht="15" customHeight="1" x14ac:dyDescent="0.25"/>
    <row r="5152" ht="15" customHeight="1" x14ac:dyDescent="0.25"/>
    <row r="5154" ht="15" customHeight="1" x14ac:dyDescent="0.25"/>
    <row r="5156" ht="15" customHeight="1" x14ac:dyDescent="0.25"/>
    <row r="5158" ht="15" customHeight="1" x14ac:dyDescent="0.25"/>
    <row r="5160" ht="15" customHeight="1" x14ac:dyDescent="0.25"/>
    <row r="5162" ht="15" customHeight="1" x14ac:dyDescent="0.25"/>
    <row r="5164" ht="15" customHeight="1" x14ac:dyDescent="0.25"/>
    <row r="5166" ht="15" customHeight="1" x14ac:dyDescent="0.25"/>
    <row r="5168" ht="15" customHeight="1" x14ac:dyDescent="0.25"/>
    <row r="5170" ht="15" customHeight="1" x14ac:dyDescent="0.25"/>
    <row r="5172" ht="15" customHeight="1" x14ac:dyDescent="0.25"/>
    <row r="5174" ht="15" customHeight="1" x14ac:dyDescent="0.25"/>
    <row r="5176" ht="15" customHeight="1" x14ac:dyDescent="0.25"/>
    <row r="5178" ht="15" customHeight="1" x14ac:dyDescent="0.25"/>
    <row r="5180" ht="15" customHeight="1" x14ac:dyDescent="0.25"/>
    <row r="5182" ht="15" customHeight="1" x14ac:dyDescent="0.25"/>
    <row r="5184" ht="15" customHeight="1" x14ac:dyDescent="0.25"/>
    <row r="5186" ht="15" customHeight="1" x14ac:dyDescent="0.25"/>
    <row r="5188" ht="15" customHeight="1" x14ac:dyDescent="0.25"/>
    <row r="5190" ht="15" customHeight="1" x14ac:dyDescent="0.25"/>
    <row r="5192" ht="15" customHeight="1" x14ac:dyDescent="0.25"/>
    <row r="5194" ht="15" customHeight="1" x14ac:dyDescent="0.25"/>
    <row r="5196" ht="15" customHeight="1" x14ac:dyDescent="0.25"/>
    <row r="5198" ht="15" customHeight="1" x14ac:dyDescent="0.25"/>
    <row r="5200" ht="15" customHeight="1" x14ac:dyDescent="0.25"/>
    <row r="5202" ht="15" customHeight="1" x14ac:dyDescent="0.25"/>
    <row r="5204" ht="15" customHeight="1" x14ac:dyDescent="0.25"/>
    <row r="5206" ht="15" customHeight="1" x14ac:dyDescent="0.25"/>
    <row r="5208" ht="15" customHeight="1" x14ac:dyDescent="0.25"/>
    <row r="5210" ht="15" customHeight="1" x14ac:dyDescent="0.25"/>
    <row r="5212" ht="15" customHeight="1" x14ac:dyDescent="0.25"/>
    <row r="5214" ht="15" customHeight="1" x14ac:dyDescent="0.25"/>
    <row r="5216" ht="15" customHeight="1" x14ac:dyDescent="0.25"/>
    <row r="5218" ht="15" customHeight="1" x14ac:dyDescent="0.25"/>
    <row r="5220" ht="15" customHeight="1" x14ac:dyDescent="0.25"/>
    <row r="5222" ht="15" customHeight="1" x14ac:dyDescent="0.25"/>
    <row r="5224" ht="15" customHeight="1" x14ac:dyDescent="0.25"/>
    <row r="5226" ht="15" customHeight="1" x14ac:dyDescent="0.25"/>
    <row r="5228" ht="15" customHeight="1" x14ac:dyDescent="0.25"/>
    <row r="5230" ht="15" customHeight="1" x14ac:dyDescent="0.25"/>
    <row r="5232" ht="15" customHeight="1" x14ac:dyDescent="0.25"/>
    <row r="5234" ht="15" customHeight="1" x14ac:dyDescent="0.25"/>
    <row r="5236" ht="15" customHeight="1" x14ac:dyDescent="0.25"/>
    <row r="5238" ht="15" customHeight="1" x14ac:dyDescent="0.25"/>
    <row r="5240" ht="15" customHeight="1" x14ac:dyDescent="0.25"/>
    <row r="5242" ht="15" customHeight="1" x14ac:dyDescent="0.25"/>
    <row r="5244" ht="15" customHeight="1" x14ac:dyDescent="0.25"/>
    <row r="5246" ht="15" customHeight="1" x14ac:dyDescent="0.25"/>
    <row r="5248" ht="15" customHeight="1" x14ac:dyDescent="0.25"/>
    <row r="5250" ht="15" customHeight="1" x14ac:dyDescent="0.25"/>
    <row r="5252" ht="15" customHeight="1" x14ac:dyDescent="0.25"/>
    <row r="5254" ht="15" customHeight="1" x14ac:dyDescent="0.25"/>
    <row r="5256" ht="15" customHeight="1" x14ac:dyDescent="0.25"/>
    <row r="5258" ht="15" customHeight="1" x14ac:dyDescent="0.25"/>
    <row r="5260" ht="15" customHeight="1" x14ac:dyDescent="0.25"/>
    <row r="5262" ht="15" customHeight="1" x14ac:dyDescent="0.25"/>
    <row r="5264" ht="15" customHeight="1" x14ac:dyDescent="0.25"/>
    <row r="5266" ht="15" customHeight="1" x14ac:dyDescent="0.25"/>
    <row r="5268" ht="15" customHeight="1" x14ac:dyDescent="0.25"/>
    <row r="5270" ht="15" customHeight="1" x14ac:dyDescent="0.25"/>
    <row r="5272" ht="15" customHeight="1" x14ac:dyDescent="0.25"/>
    <row r="5274" ht="15" customHeight="1" x14ac:dyDescent="0.25"/>
    <row r="5276" ht="15" customHeight="1" x14ac:dyDescent="0.25"/>
    <row r="5278" ht="15" customHeight="1" x14ac:dyDescent="0.25"/>
    <row r="5280" ht="15" customHeight="1" x14ac:dyDescent="0.25"/>
    <row r="5282" ht="15" customHeight="1" x14ac:dyDescent="0.25"/>
    <row r="5284" ht="15" customHeight="1" x14ac:dyDescent="0.25"/>
    <row r="5286" ht="15" customHeight="1" x14ac:dyDescent="0.25"/>
    <row r="5288" ht="15" customHeight="1" x14ac:dyDescent="0.25"/>
    <row r="5290" ht="15" customHeight="1" x14ac:dyDescent="0.25"/>
    <row r="5292" ht="15" customHeight="1" x14ac:dyDescent="0.25"/>
    <row r="5294" ht="15" customHeight="1" x14ac:dyDescent="0.25"/>
    <row r="5296" ht="15" customHeight="1" x14ac:dyDescent="0.25"/>
    <row r="5298" ht="15" customHeight="1" x14ac:dyDescent="0.25"/>
    <row r="5300" ht="15" customHeight="1" x14ac:dyDescent="0.25"/>
    <row r="5302" ht="15" customHeight="1" x14ac:dyDescent="0.25"/>
    <row r="5304" ht="15" customHeight="1" x14ac:dyDescent="0.25"/>
    <row r="5306" ht="15" customHeight="1" x14ac:dyDescent="0.25"/>
    <row r="5308" ht="15" customHeight="1" x14ac:dyDescent="0.25"/>
    <row r="5310" ht="15" customHeight="1" x14ac:dyDescent="0.25"/>
    <row r="5312" ht="15" customHeight="1" x14ac:dyDescent="0.25"/>
    <row r="5314" ht="15" customHeight="1" x14ac:dyDescent="0.25"/>
    <row r="5316" ht="15" customHeight="1" x14ac:dyDescent="0.25"/>
    <row r="5318" ht="15" customHeight="1" x14ac:dyDescent="0.25"/>
    <row r="5320" ht="15" customHeight="1" x14ac:dyDescent="0.25"/>
    <row r="5322" ht="15" customHeight="1" x14ac:dyDescent="0.25"/>
    <row r="5324" ht="15" customHeight="1" x14ac:dyDescent="0.25"/>
    <row r="5326" ht="15" customHeight="1" x14ac:dyDescent="0.25"/>
    <row r="5328" ht="15" customHeight="1" x14ac:dyDescent="0.25"/>
    <row r="5330" ht="15" customHeight="1" x14ac:dyDescent="0.25"/>
    <row r="5332" ht="15" customHeight="1" x14ac:dyDescent="0.25"/>
    <row r="5334" ht="15" customHeight="1" x14ac:dyDescent="0.25"/>
    <row r="5336" ht="15" customHeight="1" x14ac:dyDescent="0.25"/>
    <row r="5338" ht="15" customHeight="1" x14ac:dyDescent="0.25"/>
    <row r="5340" ht="15" customHeight="1" x14ac:dyDescent="0.25"/>
    <row r="5342" ht="15" customHeight="1" x14ac:dyDescent="0.25"/>
    <row r="5344" ht="15" customHeight="1" x14ac:dyDescent="0.25"/>
    <row r="5346" ht="15" customHeight="1" x14ac:dyDescent="0.25"/>
    <row r="5348" ht="15" customHeight="1" x14ac:dyDescent="0.25"/>
    <row r="5350" ht="15" customHeight="1" x14ac:dyDescent="0.25"/>
    <row r="5352" ht="15" customHeight="1" x14ac:dyDescent="0.25"/>
    <row r="5354" ht="15" customHeight="1" x14ac:dyDescent="0.25"/>
    <row r="5356" ht="15" customHeight="1" x14ac:dyDescent="0.25"/>
    <row r="5358" ht="15" customHeight="1" x14ac:dyDescent="0.25"/>
    <row r="5360" ht="15" customHeight="1" x14ac:dyDescent="0.25"/>
    <row r="5362" ht="15" customHeight="1" x14ac:dyDescent="0.25"/>
    <row r="5364" ht="15" customHeight="1" x14ac:dyDescent="0.25"/>
    <row r="5366" ht="15" customHeight="1" x14ac:dyDescent="0.25"/>
    <row r="5368" ht="15" customHeight="1" x14ac:dyDescent="0.25"/>
    <row r="5370" ht="15" customHeight="1" x14ac:dyDescent="0.25"/>
    <row r="5372" ht="15" customHeight="1" x14ac:dyDescent="0.25"/>
    <row r="5374" ht="15" customHeight="1" x14ac:dyDescent="0.25"/>
    <row r="5376" ht="15" customHeight="1" x14ac:dyDescent="0.25"/>
    <row r="5378" ht="15" customHeight="1" x14ac:dyDescent="0.25"/>
    <row r="5380" ht="15" customHeight="1" x14ac:dyDescent="0.25"/>
    <row r="5382" ht="15" customHeight="1" x14ac:dyDescent="0.25"/>
    <row r="5384" ht="15" customHeight="1" x14ac:dyDescent="0.25"/>
    <row r="5386" ht="15" customHeight="1" x14ac:dyDescent="0.25"/>
    <row r="5388" ht="15" customHeight="1" x14ac:dyDescent="0.25"/>
    <row r="5390" ht="15" customHeight="1" x14ac:dyDescent="0.25"/>
    <row r="5392" ht="15" customHeight="1" x14ac:dyDescent="0.25"/>
    <row r="5394" ht="15" customHeight="1" x14ac:dyDescent="0.25"/>
    <row r="5396" ht="15" customHeight="1" x14ac:dyDescent="0.25"/>
    <row r="5398" ht="15" customHeight="1" x14ac:dyDescent="0.25"/>
    <row r="5400" ht="15" customHeight="1" x14ac:dyDescent="0.25"/>
    <row r="5402" ht="15" customHeight="1" x14ac:dyDescent="0.25"/>
    <row r="5404" ht="15" customHeight="1" x14ac:dyDescent="0.25"/>
    <row r="5406" ht="15" customHeight="1" x14ac:dyDescent="0.25"/>
    <row r="5408" ht="15" customHeight="1" x14ac:dyDescent="0.25"/>
    <row r="5410" ht="15" customHeight="1" x14ac:dyDescent="0.25"/>
    <row r="5412" ht="15" customHeight="1" x14ac:dyDescent="0.25"/>
    <row r="5414" ht="15" customHeight="1" x14ac:dyDescent="0.25"/>
    <row r="5416" ht="15" customHeight="1" x14ac:dyDescent="0.25"/>
    <row r="5418" ht="15" customHeight="1" x14ac:dyDescent="0.25"/>
    <row r="5420" ht="15" customHeight="1" x14ac:dyDescent="0.25"/>
    <row r="5422" ht="15" customHeight="1" x14ac:dyDescent="0.25"/>
    <row r="5424" ht="15" customHeight="1" x14ac:dyDescent="0.25"/>
    <row r="5426" ht="15" customHeight="1" x14ac:dyDescent="0.25"/>
    <row r="5428" ht="15" customHeight="1" x14ac:dyDescent="0.25"/>
    <row r="5430" ht="15" customHeight="1" x14ac:dyDescent="0.25"/>
    <row r="5432" ht="15" customHeight="1" x14ac:dyDescent="0.25"/>
    <row r="5434" ht="15" customHeight="1" x14ac:dyDescent="0.25"/>
    <row r="5436" ht="15" customHeight="1" x14ac:dyDescent="0.25"/>
    <row r="5438" ht="15" customHeight="1" x14ac:dyDescent="0.25"/>
    <row r="5440" ht="15" customHeight="1" x14ac:dyDescent="0.25"/>
    <row r="5442" ht="15" customHeight="1" x14ac:dyDescent="0.25"/>
    <row r="5444" ht="15" customHeight="1" x14ac:dyDescent="0.25"/>
    <row r="5446" ht="15" customHeight="1" x14ac:dyDescent="0.25"/>
    <row r="5448" ht="15" customHeight="1" x14ac:dyDescent="0.25"/>
    <row r="5450" ht="15" customHeight="1" x14ac:dyDescent="0.25"/>
    <row r="5452" ht="15" customHeight="1" x14ac:dyDescent="0.25"/>
    <row r="5454" ht="15" customHeight="1" x14ac:dyDescent="0.25"/>
    <row r="5456" ht="15" customHeight="1" x14ac:dyDescent="0.25"/>
    <row r="5458" ht="15" customHeight="1" x14ac:dyDescent="0.25"/>
    <row r="5460" ht="15" customHeight="1" x14ac:dyDescent="0.25"/>
    <row r="5462" ht="15" customHeight="1" x14ac:dyDescent="0.25"/>
    <row r="5464" ht="15" customHeight="1" x14ac:dyDescent="0.25"/>
    <row r="5466" ht="15" customHeight="1" x14ac:dyDescent="0.25"/>
    <row r="5468" ht="15" customHeight="1" x14ac:dyDescent="0.25"/>
    <row r="5470" ht="15" customHeight="1" x14ac:dyDescent="0.25"/>
    <row r="5472" ht="15" customHeight="1" x14ac:dyDescent="0.25"/>
    <row r="5474" ht="15" customHeight="1" x14ac:dyDescent="0.25"/>
    <row r="5476" ht="15" customHeight="1" x14ac:dyDescent="0.25"/>
    <row r="5478" ht="15" customHeight="1" x14ac:dyDescent="0.25"/>
    <row r="5480" ht="15" customHeight="1" x14ac:dyDescent="0.25"/>
    <row r="5482" ht="15" customHeight="1" x14ac:dyDescent="0.25"/>
    <row r="5484" ht="15" customHeight="1" x14ac:dyDescent="0.25"/>
    <row r="5486" ht="15" customHeight="1" x14ac:dyDescent="0.25"/>
    <row r="5488" ht="15" customHeight="1" x14ac:dyDescent="0.25"/>
    <row r="5490" ht="15" customHeight="1" x14ac:dyDescent="0.25"/>
    <row r="5492" ht="15" customHeight="1" x14ac:dyDescent="0.25"/>
    <row r="5494" ht="15" customHeight="1" x14ac:dyDescent="0.25"/>
    <row r="5496" ht="15" customHeight="1" x14ac:dyDescent="0.25"/>
    <row r="5498" ht="15" customHeight="1" x14ac:dyDescent="0.25"/>
    <row r="5500" ht="15" customHeight="1" x14ac:dyDescent="0.25"/>
    <row r="5502" ht="15" customHeight="1" x14ac:dyDescent="0.25"/>
    <row r="5504" ht="15" customHeight="1" x14ac:dyDescent="0.25"/>
    <row r="5506" ht="15" customHeight="1" x14ac:dyDescent="0.25"/>
    <row r="5508" ht="15" customHeight="1" x14ac:dyDescent="0.25"/>
    <row r="5510" ht="15" customHeight="1" x14ac:dyDescent="0.25"/>
    <row r="5512" ht="15" customHeight="1" x14ac:dyDescent="0.25"/>
    <row r="5514" ht="15" customHeight="1" x14ac:dyDescent="0.25"/>
    <row r="5516" ht="15" customHeight="1" x14ac:dyDescent="0.25"/>
    <row r="5518" ht="15" customHeight="1" x14ac:dyDescent="0.25"/>
    <row r="5520" ht="15" customHeight="1" x14ac:dyDescent="0.25"/>
    <row r="5522" ht="15" customHeight="1" x14ac:dyDescent="0.25"/>
    <row r="5524" ht="15" customHeight="1" x14ac:dyDescent="0.25"/>
    <row r="5526" ht="15" customHeight="1" x14ac:dyDescent="0.25"/>
    <row r="5528" ht="15" customHeight="1" x14ac:dyDescent="0.25"/>
    <row r="5530" ht="15" customHeight="1" x14ac:dyDescent="0.25"/>
    <row r="5532" ht="15" customHeight="1" x14ac:dyDescent="0.25"/>
    <row r="5534" ht="15" customHeight="1" x14ac:dyDescent="0.25"/>
    <row r="5536" ht="15" customHeight="1" x14ac:dyDescent="0.25"/>
    <row r="5538" ht="15" customHeight="1" x14ac:dyDescent="0.25"/>
    <row r="5540" ht="15" customHeight="1" x14ac:dyDescent="0.25"/>
    <row r="5542" ht="15" customHeight="1" x14ac:dyDescent="0.25"/>
    <row r="5544" ht="15" customHeight="1" x14ac:dyDescent="0.25"/>
    <row r="5546" ht="15" customHeight="1" x14ac:dyDescent="0.25"/>
    <row r="5548" ht="15" customHeight="1" x14ac:dyDescent="0.25"/>
    <row r="5550" ht="15" customHeight="1" x14ac:dyDescent="0.25"/>
    <row r="5552" ht="15" customHeight="1" x14ac:dyDescent="0.25"/>
    <row r="5554" ht="15" customHeight="1" x14ac:dyDescent="0.25"/>
    <row r="5556" ht="15" customHeight="1" x14ac:dyDescent="0.25"/>
    <row r="5558" ht="15" customHeight="1" x14ac:dyDescent="0.25"/>
    <row r="5560" ht="15" customHeight="1" x14ac:dyDescent="0.25"/>
    <row r="5562" ht="15" customHeight="1" x14ac:dyDescent="0.25"/>
    <row r="5564" ht="15" customHeight="1" x14ac:dyDescent="0.25"/>
    <row r="5566" ht="15" customHeight="1" x14ac:dyDescent="0.25"/>
    <row r="5568" ht="15" customHeight="1" x14ac:dyDescent="0.25"/>
    <row r="5570" ht="15" customHeight="1" x14ac:dyDescent="0.25"/>
    <row r="5572" ht="15" customHeight="1" x14ac:dyDescent="0.25"/>
    <row r="5574" ht="15" customHeight="1" x14ac:dyDescent="0.25"/>
    <row r="5576" ht="15" customHeight="1" x14ac:dyDescent="0.25"/>
    <row r="5578" ht="15" customHeight="1" x14ac:dyDescent="0.25"/>
    <row r="5580" ht="15" customHeight="1" x14ac:dyDescent="0.25"/>
    <row r="5582" ht="15" customHeight="1" x14ac:dyDescent="0.25"/>
    <row r="5584" ht="15" customHeight="1" x14ac:dyDescent="0.25"/>
    <row r="5586" ht="15" customHeight="1" x14ac:dyDescent="0.25"/>
    <row r="5588" ht="15" customHeight="1" x14ac:dyDescent="0.25"/>
    <row r="5590" ht="15" customHeight="1" x14ac:dyDescent="0.25"/>
    <row r="5592" ht="15" customHeight="1" x14ac:dyDescent="0.25"/>
    <row r="5594" ht="15" customHeight="1" x14ac:dyDescent="0.25"/>
    <row r="5596" ht="15" customHeight="1" x14ac:dyDescent="0.25"/>
    <row r="5598" ht="15" customHeight="1" x14ac:dyDescent="0.25"/>
    <row r="5600" ht="15" customHeight="1" x14ac:dyDescent="0.25"/>
    <row r="5602" ht="15" customHeight="1" x14ac:dyDescent="0.25"/>
    <row r="5604" ht="15" customHeight="1" x14ac:dyDescent="0.25"/>
    <row r="5606" ht="15" customHeight="1" x14ac:dyDescent="0.25"/>
    <row r="5608" ht="15" customHeight="1" x14ac:dyDescent="0.25"/>
    <row r="5610" ht="15" customHeight="1" x14ac:dyDescent="0.25"/>
    <row r="5612" ht="15" customHeight="1" x14ac:dyDescent="0.25"/>
    <row r="5614" ht="15" customHeight="1" x14ac:dyDescent="0.25"/>
    <row r="5616" ht="15" customHeight="1" x14ac:dyDescent="0.25"/>
    <row r="5618" ht="15" customHeight="1" x14ac:dyDescent="0.25"/>
    <row r="5620" ht="15" customHeight="1" x14ac:dyDescent="0.25"/>
    <row r="5622" ht="15" customHeight="1" x14ac:dyDescent="0.25"/>
    <row r="5624" ht="15" customHeight="1" x14ac:dyDescent="0.25"/>
    <row r="5626" ht="15" customHeight="1" x14ac:dyDescent="0.25"/>
    <row r="5628" ht="15" customHeight="1" x14ac:dyDescent="0.25"/>
    <row r="5630" ht="15" customHeight="1" x14ac:dyDescent="0.25"/>
    <row r="5632" ht="15" customHeight="1" x14ac:dyDescent="0.25"/>
    <row r="5634" ht="15" customHeight="1" x14ac:dyDescent="0.25"/>
    <row r="5636" ht="15" customHeight="1" x14ac:dyDescent="0.25"/>
    <row r="5638" ht="15" customHeight="1" x14ac:dyDescent="0.25"/>
    <row r="5640" ht="15" customHeight="1" x14ac:dyDescent="0.25"/>
    <row r="5642" ht="15" customHeight="1" x14ac:dyDescent="0.25"/>
    <row r="5644" ht="15" customHeight="1" x14ac:dyDescent="0.25"/>
    <row r="5646" ht="15" customHeight="1" x14ac:dyDescent="0.25"/>
    <row r="5648" ht="15" customHeight="1" x14ac:dyDescent="0.25"/>
    <row r="5650" ht="15" customHeight="1" x14ac:dyDescent="0.25"/>
    <row r="5652" ht="15" customHeight="1" x14ac:dyDescent="0.25"/>
    <row r="5654" ht="15" customHeight="1" x14ac:dyDescent="0.25"/>
    <row r="5656" ht="15" customHeight="1" x14ac:dyDescent="0.25"/>
    <row r="5658" ht="15" customHeight="1" x14ac:dyDescent="0.25"/>
    <row r="5660" ht="15" customHeight="1" x14ac:dyDescent="0.25"/>
    <row r="5662" ht="15" customHeight="1" x14ac:dyDescent="0.25"/>
    <row r="5664" ht="15" customHeight="1" x14ac:dyDescent="0.25"/>
    <row r="5666" ht="15" customHeight="1" x14ac:dyDescent="0.25"/>
    <row r="5668" ht="15" customHeight="1" x14ac:dyDescent="0.25"/>
    <row r="5670" ht="15" customHeight="1" x14ac:dyDescent="0.25"/>
    <row r="5672" ht="15" customHeight="1" x14ac:dyDescent="0.25"/>
    <row r="5674" ht="15" customHeight="1" x14ac:dyDescent="0.25"/>
    <row r="5676" ht="15" customHeight="1" x14ac:dyDescent="0.25"/>
    <row r="5678" ht="15" customHeight="1" x14ac:dyDescent="0.25"/>
    <row r="5680" ht="15" customHeight="1" x14ac:dyDescent="0.25"/>
    <row r="5682" ht="15" customHeight="1" x14ac:dyDescent="0.25"/>
    <row r="5684" ht="15" customHeight="1" x14ac:dyDescent="0.25"/>
    <row r="5686" ht="15" customHeight="1" x14ac:dyDescent="0.25"/>
    <row r="5688" ht="15" customHeight="1" x14ac:dyDescent="0.25"/>
    <row r="5690" ht="15" customHeight="1" x14ac:dyDescent="0.25"/>
    <row r="5692" ht="15" customHeight="1" x14ac:dyDescent="0.25"/>
    <row r="5694" ht="15" customHeight="1" x14ac:dyDescent="0.25"/>
    <row r="5696" ht="15" customHeight="1" x14ac:dyDescent="0.25"/>
    <row r="5698" ht="15" customHeight="1" x14ac:dyDescent="0.25"/>
    <row r="5700" ht="15" customHeight="1" x14ac:dyDescent="0.25"/>
    <row r="5702" ht="15" customHeight="1" x14ac:dyDescent="0.25"/>
    <row r="5704" ht="15" customHeight="1" x14ac:dyDescent="0.25"/>
    <row r="5706" ht="15" customHeight="1" x14ac:dyDescent="0.25"/>
    <row r="5708" ht="15" customHeight="1" x14ac:dyDescent="0.25"/>
    <row r="5710" ht="15" customHeight="1" x14ac:dyDescent="0.25"/>
    <row r="5712" ht="15" customHeight="1" x14ac:dyDescent="0.25"/>
    <row r="5714" ht="15" customHeight="1" x14ac:dyDescent="0.25"/>
    <row r="5716" ht="15" customHeight="1" x14ac:dyDescent="0.25"/>
    <row r="5718" ht="15" customHeight="1" x14ac:dyDescent="0.25"/>
    <row r="5720" ht="15" customHeight="1" x14ac:dyDescent="0.25"/>
    <row r="5722" ht="15" customHeight="1" x14ac:dyDescent="0.25"/>
    <row r="5724" ht="15" customHeight="1" x14ac:dyDescent="0.25"/>
    <row r="5726" ht="15" customHeight="1" x14ac:dyDescent="0.25"/>
    <row r="5728" ht="15" customHeight="1" x14ac:dyDescent="0.25"/>
    <row r="5730" ht="15" customHeight="1" x14ac:dyDescent="0.25"/>
    <row r="5732" ht="15" customHeight="1" x14ac:dyDescent="0.25"/>
    <row r="5734" ht="15" customHeight="1" x14ac:dyDescent="0.25"/>
    <row r="5736" ht="15" customHeight="1" x14ac:dyDescent="0.25"/>
    <row r="5738" ht="15" customHeight="1" x14ac:dyDescent="0.25"/>
    <row r="5740" ht="15" customHeight="1" x14ac:dyDescent="0.25"/>
    <row r="5742" ht="15" customHeight="1" x14ac:dyDescent="0.25"/>
    <row r="5744" ht="15" customHeight="1" x14ac:dyDescent="0.25"/>
    <row r="5746" ht="15" customHeight="1" x14ac:dyDescent="0.25"/>
    <row r="5748" ht="15" customHeight="1" x14ac:dyDescent="0.25"/>
    <row r="5750" ht="15" customHeight="1" x14ac:dyDescent="0.25"/>
    <row r="5752" ht="15" customHeight="1" x14ac:dyDescent="0.25"/>
    <row r="5754" ht="15" customHeight="1" x14ac:dyDescent="0.25"/>
    <row r="5756" ht="15" customHeight="1" x14ac:dyDescent="0.25"/>
    <row r="5758" ht="15" customHeight="1" x14ac:dyDescent="0.25"/>
    <row r="5760" ht="15" customHeight="1" x14ac:dyDescent="0.25"/>
    <row r="5762" ht="15" customHeight="1" x14ac:dyDescent="0.25"/>
    <row r="5764" ht="15" customHeight="1" x14ac:dyDescent="0.25"/>
    <row r="5766" ht="15" customHeight="1" x14ac:dyDescent="0.25"/>
    <row r="5768" ht="15" customHeight="1" x14ac:dyDescent="0.25"/>
    <row r="5770" ht="15" customHeight="1" x14ac:dyDescent="0.25"/>
    <row r="5772" ht="15" customHeight="1" x14ac:dyDescent="0.25"/>
    <row r="5774" ht="15" customHeight="1" x14ac:dyDescent="0.25"/>
    <row r="5776" ht="15" customHeight="1" x14ac:dyDescent="0.25"/>
    <row r="5778" ht="15" customHeight="1" x14ac:dyDescent="0.25"/>
    <row r="5780" ht="15" customHeight="1" x14ac:dyDescent="0.25"/>
    <row r="5782" ht="15" customHeight="1" x14ac:dyDescent="0.25"/>
    <row r="5784" ht="15" customHeight="1" x14ac:dyDescent="0.25"/>
    <row r="5786" ht="15" customHeight="1" x14ac:dyDescent="0.25"/>
    <row r="5788" ht="15" customHeight="1" x14ac:dyDescent="0.25"/>
    <row r="5790" ht="15" customHeight="1" x14ac:dyDescent="0.25"/>
    <row r="5792" ht="15" customHeight="1" x14ac:dyDescent="0.25"/>
    <row r="5794" ht="15" customHeight="1" x14ac:dyDescent="0.25"/>
    <row r="5796" ht="15" customHeight="1" x14ac:dyDescent="0.25"/>
    <row r="5798" ht="15" customHeight="1" x14ac:dyDescent="0.25"/>
    <row r="5800" ht="15" customHeight="1" x14ac:dyDescent="0.25"/>
    <row r="5802" ht="15" customHeight="1" x14ac:dyDescent="0.25"/>
    <row r="5804" ht="15" customHeight="1" x14ac:dyDescent="0.25"/>
    <row r="5806" ht="15" customHeight="1" x14ac:dyDescent="0.25"/>
    <row r="5808" ht="15" customHeight="1" x14ac:dyDescent="0.25"/>
    <row r="5810" ht="15" customHeight="1" x14ac:dyDescent="0.25"/>
    <row r="5812" ht="15" customHeight="1" x14ac:dyDescent="0.25"/>
    <row r="5814" ht="15" customHeight="1" x14ac:dyDescent="0.25"/>
    <row r="5816" ht="15" customHeight="1" x14ac:dyDescent="0.25"/>
    <row r="5818" ht="15" customHeight="1" x14ac:dyDescent="0.25"/>
    <row r="5820" ht="15" customHeight="1" x14ac:dyDescent="0.25"/>
    <row r="5822" ht="15" customHeight="1" x14ac:dyDescent="0.25"/>
    <row r="5824" ht="15" customHeight="1" x14ac:dyDescent="0.25"/>
    <row r="5826" ht="15" customHeight="1" x14ac:dyDescent="0.25"/>
    <row r="5828" ht="15" customHeight="1" x14ac:dyDescent="0.25"/>
    <row r="5830" ht="15" customHeight="1" x14ac:dyDescent="0.25"/>
    <row r="5832" ht="15" customHeight="1" x14ac:dyDescent="0.25"/>
    <row r="5834" ht="15" customHeight="1" x14ac:dyDescent="0.25"/>
    <row r="5836" ht="15" customHeight="1" x14ac:dyDescent="0.25"/>
    <row r="5838" ht="15" customHeight="1" x14ac:dyDescent="0.25"/>
    <row r="5840" ht="15" customHeight="1" x14ac:dyDescent="0.25"/>
    <row r="5842" ht="15" customHeight="1" x14ac:dyDescent="0.25"/>
    <row r="5844" ht="15" customHeight="1" x14ac:dyDescent="0.25"/>
    <row r="5846" ht="15" customHeight="1" x14ac:dyDescent="0.25"/>
    <row r="5848" ht="15" customHeight="1" x14ac:dyDescent="0.25"/>
    <row r="5850" ht="15" customHeight="1" x14ac:dyDescent="0.25"/>
    <row r="5852" ht="15" customHeight="1" x14ac:dyDescent="0.25"/>
    <row r="5854" ht="15" customHeight="1" x14ac:dyDescent="0.25"/>
    <row r="5856" ht="15" customHeight="1" x14ac:dyDescent="0.25"/>
    <row r="5858" ht="15" customHeight="1" x14ac:dyDescent="0.25"/>
    <row r="5860" ht="15" customHeight="1" x14ac:dyDescent="0.25"/>
    <row r="5862" ht="15" customHeight="1" x14ac:dyDescent="0.25"/>
    <row r="5864" ht="15" customHeight="1" x14ac:dyDescent="0.25"/>
    <row r="5866" ht="15" customHeight="1" x14ac:dyDescent="0.25"/>
    <row r="5868" ht="15" customHeight="1" x14ac:dyDescent="0.25"/>
    <row r="5870" ht="15" customHeight="1" x14ac:dyDescent="0.25"/>
    <row r="5872" ht="15" customHeight="1" x14ac:dyDescent="0.25"/>
    <row r="5874" ht="15" customHeight="1" x14ac:dyDescent="0.25"/>
    <row r="5876" ht="15" customHeight="1" x14ac:dyDescent="0.25"/>
    <row r="5878" ht="15" customHeight="1" x14ac:dyDescent="0.25"/>
    <row r="5880" ht="15" customHeight="1" x14ac:dyDescent="0.25"/>
    <row r="5882" ht="15" customHeight="1" x14ac:dyDescent="0.25"/>
    <row r="5884" ht="15" customHeight="1" x14ac:dyDescent="0.25"/>
    <row r="5886" ht="15" customHeight="1" x14ac:dyDescent="0.25"/>
    <row r="5888" ht="15" customHeight="1" x14ac:dyDescent="0.25"/>
    <row r="5890" ht="15" customHeight="1" x14ac:dyDescent="0.25"/>
    <row r="5892" ht="15" customHeight="1" x14ac:dyDescent="0.25"/>
    <row r="5894" ht="15" customHeight="1" x14ac:dyDescent="0.25"/>
    <row r="5896" ht="15" customHeight="1" x14ac:dyDescent="0.25"/>
    <row r="5898" ht="15" customHeight="1" x14ac:dyDescent="0.25"/>
    <row r="5900" ht="15" customHeight="1" x14ac:dyDescent="0.25"/>
    <row r="5902" ht="15" customHeight="1" x14ac:dyDescent="0.25"/>
    <row r="5904" ht="15" customHeight="1" x14ac:dyDescent="0.25"/>
    <row r="5906" ht="15" customHeight="1" x14ac:dyDescent="0.25"/>
    <row r="5908" ht="15" customHeight="1" x14ac:dyDescent="0.25"/>
    <row r="5910" ht="15" customHeight="1" x14ac:dyDescent="0.25"/>
    <row r="5912" ht="15" customHeight="1" x14ac:dyDescent="0.25"/>
    <row r="5914" ht="15" customHeight="1" x14ac:dyDescent="0.25"/>
    <row r="5916" ht="15" customHeight="1" x14ac:dyDescent="0.25"/>
    <row r="5918" ht="15" customHeight="1" x14ac:dyDescent="0.25"/>
    <row r="5920" ht="15" customHeight="1" x14ac:dyDescent="0.25"/>
    <row r="5922" ht="15" customHeight="1" x14ac:dyDescent="0.25"/>
    <row r="5924" ht="15" customHeight="1" x14ac:dyDescent="0.25"/>
    <row r="5926" ht="15" customHeight="1" x14ac:dyDescent="0.25"/>
    <row r="5928" ht="15" customHeight="1" x14ac:dyDescent="0.25"/>
    <row r="5930" ht="15" customHeight="1" x14ac:dyDescent="0.25"/>
    <row r="5932" ht="15" customHeight="1" x14ac:dyDescent="0.25"/>
    <row r="5934" ht="15" customHeight="1" x14ac:dyDescent="0.25"/>
    <row r="5936" ht="15" customHeight="1" x14ac:dyDescent="0.25"/>
    <row r="5938" ht="15" customHeight="1" x14ac:dyDescent="0.25"/>
    <row r="5940" ht="15" customHeight="1" x14ac:dyDescent="0.25"/>
    <row r="5942" ht="15" customHeight="1" x14ac:dyDescent="0.25"/>
    <row r="5944" ht="15" customHeight="1" x14ac:dyDescent="0.25"/>
    <row r="5946" ht="15" customHeight="1" x14ac:dyDescent="0.25"/>
    <row r="5948" ht="15" customHeight="1" x14ac:dyDescent="0.25"/>
    <row r="5950" ht="15" customHeight="1" x14ac:dyDescent="0.25"/>
    <row r="5952" ht="15" customHeight="1" x14ac:dyDescent="0.25"/>
    <row r="5954" ht="15" customHeight="1" x14ac:dyDescent="0.25"/>
    <row r="5956" ht="15" customHeight="1" x14ac:dyDescent="0.25"/>
    <row r="5958" ht="15" customHeight="1" x14ac:dyDescent="0.25"/>
    <row r="5960" ht="15" customHeight="1" x14ac:dyDescent="0.25"/>
    <row r="5962" ht="15" customHeight="1" x14ac:dyDescent="0.25"/>
    <row r="5964" ht="15" customHeight="1" x14ac:dyDescent="0.25"/>
    <row r="5966" ht="15" customHeight="1" x14ac:dyDescent="0.25"/>
    <row r="5968" ht="15" customHeight="1" x14ac:dyDescent="0.25"/>
    <row r="5970" ht="15" customHeight="1" x14ac:dyDescent="0.25"/>
    <row r="5972" ht="15" customHeight="1" x14ac:dyDescent="0.25"/>
    <row r="5974" ht="15" customHeight="1" x14ac:dyDescent="0.25"/>
    <row r="5976" ht="15" customHeight="1" x14ac:dyDescent="0.25"/>
    <row r="5978" ht="15" customHeight="1" x14ac:dyDescent="0.25"/>
    <row r="5980" ht="15" customHeight="1" x14ac:dyDescent="0.25"/>
    <row r="5982" ht="15" customHeight="1" x14ac:dyDescent="0.25"/>
    <row r="5984" ht="15" customHeight="1" x14ac:dyDescent="0.25"/>
    <row r="5986" ht="15" customHeight="1" x14ac:dyDescent="0.25"/>
    <row r="5988" ht="15" customHeight="1" x14ac:dyDescent="0.25"/>
    <row r="5990" ht="15" customHeight="1" x14ac:dyDescent="0.25"/>
    <row r="5992" ht="15" customHeight="1" x14ac:dyDescent="0.25"/>
    <row r="5994" ht="15" customHeight="1" x14ac:dyDescent="0.25"/>
    <row r="5996" ht="15" customHeight="1" x14ac:dyDescent="0.25"/>
    <row r="5998" ht="15" customHeight="1" x14ac:dyDescent="0.25"/>
    <row r="6000" ht="15" customHeight="1" x14ac:dyDescent="0.25"/>
    <row r="6002" ht="15" customHeight="1" x14ac:dyDescent="0.25"/>
    <row r="6004" ht="15" customHeight="1" x14ac:dyDescent="0.25"/>
    <row r="6006" ht="15" customHeight="1" x14ac:dyDescent="0.25"/>
    <row r="6008" ht="15" customHeight="1" x14ac:dyDescent="0.25"/>
    <row r="6010" ht="15" customHeight="1" x14ac:dyDescent="0.25"/>
    <row r="6012" ht="15" customHeight="1" x14ac:dyDescent="0.25"/>
    <row r="6014" ht="15" customHeight="1" x14ac:dyDescent="0.25"/>
    <row r="6016" ht="15" customHeight="1" x14ac:dyDescent="0.25"/>
    <row r="6018" ht="15" customHeight="1" x14ac:dyDescent="0.25"/>
    <row r="6020" ht="15" customHeight="1" x14ac:dyDescent="0.25"/>
    <row r="6022" ht="15" customHeight="1" x14ac:dyDescent="0.25"/>
    <row r="6024" ht="15" customHeight="1" x14ac:dyDescent="0.25"/>
    <row r="6026" ht="15" customHeight="1" x14ac:dyDescent="0.25"/>
    <row r="6028" ht="15" customHeight="1" x14ac:dyDescent="0.25"/>
    <row r="6030" ht="15" customHeight="1" x14ac:dyDescent="0.25"/>
    <row r="6032" ht="15" customHeight="1" x14ac:dyDescent="0.25"/>
    <row r="6034" ht="15" customHeight="1" x14ac:dyDescent="0.25"/>
    <row r="6036" ht="15" customHeight="1" x14ac:dyDescent="0.25"/>
    <row r="6038" ht="15" customHeight="1" x14ac:dyDescent="0.25"/>
    <row r="6040" ht="15" customHeight="1" x14ac:dyDescent="0.25"/>
    <row r="6042" ht="15" customHeight="1" x14ac:dyDescent="0.25"/>
    <row r="6044" ht="15" customHeight="1" x14ac:dyDescent="0.25"/>
    <row r="6046" ht="15" customHeight="1" x14ac:dyDescent="0.25"/>
    <row r="6048" ht="15" customHeight="1" x14ac:dyDescent="0.25"/>
    <row r="6050" ht="15" customHeight="1" x14ac:dyDescent="0.25"/>
    <row r="6052" ht="15" customHeight="1" x14ac:dyDescent="0.25"/>
    <row r="6054" ht="15" customHeight="1" x14ac:dyDescent="0.25"/>
    <row r="6056" ht="15" customHeight="1" x14ac:dyDescent="0.25"/>
    <row r="6058" ht="15" customHeight="1" x14ac:dyDescent="0.25"/>
    <row r="6060" ht="15" customHeight="1" x14ac:dyDescent="0.25"/>
    <row r="6062" ht="15" customHeight="1" x14ac:dyDescent="0.25"/>
    <row r="6064" ht="15" customHeight="1" x14ac:dyDescent="0.25"/>
    <row r="6066" ht="15" customHeight="1" x14ac:dyDescent="0.25"/>
    <row r="6068" ht="15" customHeight="1" x14ac:dyDescent="0.25"/>
    <row r="6070" ht="15" customHeight="1" x14ac:dyDescent="0.25"/>
    <row r="6072" ht="15" customHeight="1" x14ac:dyDescent="0.25"/>
    <row r="6074" ht="15" customHeight="1" x14ac:dyDescent="0.25"/>
    <row r="6076" ht="15" customHeight="1" x14ac:dyDescent="0.25"/>
    <row r="6078" ht="15" customHeight="1" x14ac:dyDescent="0.25"/>
    <row r="6080" ht="15" customHeight="1" x14ac:dyDescent="0.25"/>
    <row r="6082" ht="15" customHeight="1" x14ac:dyDescent="0.25"/>
    <row r="6084" ht="15" customHeight="1" x14ac:dyDescent="0.25"/>
    <row r="6086" ht="15" customHeight="1" x14ac:dyDescent="0.25"/>
    <row r="6088" ht="15" customHeight="1" x14ac:dyDescent="0.25"/>
    <row r="6090" ht="15" customHeight="1" x14ac:dyDescent="0.25"/>
    <row r="6092" ht="15" customHeight="1" x14ac:dyDescent="0.25"/>
    <row r="6094" ht="15" customHeight="1" x14ac:dyDescent="0.25"/>
    <row r="6096" ht="15" customHeight="1" x14ac:dyDescent="0.25"/>
    <row r="6098" ht="15" customHeight="1" x14ac:dyDescent="0.25"/>
    <row r="6100" ht="15" customHeight="1" x14ac:dyDescent="0.25"/>
    <row r="6102" ht="15" customHeight="1" x14ac:dyDescent="0.25"/>
    <row r="6104" ht="15" customHeight="1" x14ac:dyDescent="0.25"/>
    <row r="6106" ht="15" customHeight="1" x14ac:dyDescent="0.25"/>
    <row r="6108" ht="15" customHeight="1" x14ac:dyDescent="0.25"/>
    <row r="6110" ht="15" customHeight="1" x14ac:dyDescent="0.25"/>
    <row r="6112" ht="15" customHeight="1" x14ac:dyDescent="0.25"/>
    <row r="6114" ht="15" customHeight="1" x14ac:dyDescent="0.25"/>
    <row r="6116" ht="15" customHeight="1" x14ac:dyDescent="0.25"/>
    <row r="6118" ht="15" customHeight="1" x14ac:dyDescent="0.25"/>
    <row r="6120" ht="15" customHeight="1" x14ac:dyDescent="0.25"/>
    <row r="6122" ht="15" customHeight="1" x14ac:dyDescent="0.25"/>
    <row r="6124" ht="15" customHeight="1" x14ac:dyDescent="0.25"/>
    <row r="6126" ht="15" customHeight="1" x14ac:dyDescent="0.25"/>
    <row r="6128" ht="15" customHeight="1" x14ac:dyDescent="0.25"/>
    <row r="6130" ht="15" customHeight="1" x14ac:dyDescent="0.25"/>
    <row r="6132" ht="15" customHeight="1" x14ac:dyDescent="0.25"/>
    <row r="6134" ht="15" customHeight="1" x14ac:dyDescent="0.25"/>
    <row r="6136" ht="15" customHeight="1" x14ac:dyDescent="0.25"/>
    <row r="6138" ht="15" customHeight="1" x14ac:dyDescent="0.25"/>
    <row r="6140" ht="15" customHeight="1" x14ac:dyDescent="0.25"/>
    <row r="6142" ht="15" customHeight="1" x14ac:dyDescent="0.25"/>
    <row r="6144" ht="15" customHeight="1" x14ac:dyDescent="0.25"/>
    <row r="6146" ht="15" customHeight="1" x14ac:dyDescent="0.25"/>
    <row r="6148" ht="15" customHeight="1" x14ac:dyDescent="0.25"/>
    <row r="6150" ht="15" customHeight="1" x14ac:dyDescent="0.25"/>
    <row r="6152" ht="15" customHeight="1" x14ac:dyDescent="0.25"/>
    <row r="6154" ht="15" customHeight="1" x14ac:dyDescent="0.25"/>
    <row r="6156" ht="15" customHeight="1" x14ac:dyDescent="0.25"/>
    <row r="6158" ht="15" customHeight="1" x14ac:dyDescent="0.25"/>
    <row r="6160" ht="15" customHeight="1" x14ac:dyDescent="0.25"/>
    <row r="6162" ht="15" customHeight="1" x14ac:dyDescent="0.25"/>
    <row r="6164" ht="15" customHeight="1" x14ac:dyDescent="0.25"/>
    <row r="6166" ht="15" customHeight="1" x14ac:dyDescent="0.25"/>
    <row r="6168" ht="15" customHeight="1" x14ac:dyDescent="0.25"/>
    <row r="6170" ht="15" customHeight="1" x14ac:dyDescent="0.25"/>
    <row r="6172" ht="15" customHeight="1" x14ac:dyDescent="0.25"/>
    <row r="6174" ht="15" customHeight="1" x14ac:dyDescent="0.25"/>
    <row r="6176" ht="15" customHeight="1" x14ac:dyDescent="0.25"/>
    <row r="6178" ht="15" customHeight="1" x14ac:dyDescent="0.25"/>
    <row r="6180" ht="15" customHeight="1" x14ac:dyDescent="0.25"/>
    <row r="6182" ht="15" customHeight="1" x14ac:dyDescent="0.25"/>
    <row r="6184" ht="15" customHeight="1" x14ac:dyDescent="0.25"/>
    <row r="6186" ht="15" customHeight="1" x14ac:dyDescent="0.25"/>
    <row r="6188" ht="15" customHeight="1" x14ac:dyDescent="0.25"/>
    <row r="6190" ht="15" customHeight="1" x14ac:dyDescent="0.25"/>
    <row r="6192" ht="15" customHeight="1" x14ac:dyDescent="0.25"/>
    <row r="6194" ht="15" customHeight="1" x14ac:dyDescent="0.25"/>
    <row r="6196" ht="15" customHeight="1" x14ac:dyDescent="0.25"/>
    <row r="6198" ht="15" customHeight="1" x14ac:dyDescent="0.25"/>
    <row r="6200" ht="15" customHeight="1" x14ac:dyDescent="0.25"/>
    <row r="6202" ht="15" customHeight="1" x14ac:dyDescent="0.25"/>
    <row r="6204" ht="15" customHeight="1" x14ac:dyDescent="0.25"/>
    <row r="6206" ht="15" customHeight="1" x14ac:dyDescent="0.25"/>
    <row r="6208" ht="15" customHeight="1" x14ac:dyDescent="0.25"/>
    <row r="6210" ht="15" customHeight="1" x14ac:dyDescent="0.25"/>
    <row r="6212" ht="15" customHeight="1" x14ac:dyDescent="0.25"/>
    <row r="6214" ht="15" customHeight="1" x14ac:dyDescent="0.25"/>
    <row r="6216" ht="15" customHeight="1" x14ac:dyDescent="0.25"/>
    <row r="6218" ht="15" customHeight="1" x14ac:dyDescent="0.25"/>
    <row r="6220" ht="15" customHeight="1" x14ac:dyDescent="0.25"/>
    <row r="6222" ht="15" customHeight="1" x14ac:dyDescent="0.25"/>
    <row r="6224" ht="15" customHeight="1" x14ac:dyDescent="0.25"/>
    <row r="6226" ht="15" customHeight="1" x14ac:dyDescent="0.25"/>
    <row r="6228" ht="15" customHeight="1" x14ac:dyDescent="0.25"/>
    <row r="6230" ht="15" customHeight="1" x14ac:dyDescent="0.25"/>
    <row r="6232" ht="15" customHeight="1" x14ac:dyDescent="0.25"/>
    <row r="6234" ht="15" customHeight="1" x14ac:dyDescent="0.25"/>
    <row r="6236" ht="15" customHeight="1" x14ac:dyDescent="0.25"/>
    <row r="6238" ht="15" customHeight="1" x14ac:dyDescent="0.25"/>
    <row r="6240" ht="15" customHeight="1" x14ac:dyDescent="0.25"/>
    <row r="6242" ht="15" customHeight="1" x14ac:dyDescent="0.25"/>
    <row r="6244" ht="15" customHeight="1" x14ac:dyDescent="0.25"/>
    <row r="6246" ht="15" customHeight="1" x14ac:dyDescent="0.25"/>
    <row r="6248" ht="15" customHeight="1" x14ac:dyDescent="0.25"/>
    <row r="6250" ht="15" customHeight="1" x14ac:dyDescent="0.25"/>
    <row r="6252" ht="15" customHeight="1" x14ac:dyDescent="0.25"/>
    <row r="6254" ht="15" customHeight="1" x14ac:dyDescent="0.25"/>
    <row r="6256" ht="15" customHeight="1" x14ac:dyDescent="0.25"/>
    <row r="6258" ht="15" customHeight="1" x14ac:dyDescent="0.25"/>
    <row r="6260" ht="15" customHeight="1" x14ac:dyDescent="0.25"/>
    <row r="6262" ht="15" customHeight="1" x14ac:dyDescent="0.25"/>
    <row r="6264" ht="15" customHeight="1" x14ac:dyDescent="0.25"/>
    <row r="6266" ht="15" customHeight="1" x14ac:dyDescent="0.25"/>
    <row r="6268" ht="15" customHeight="1" x14ac:dyDescent="0.25"/>
    <row r="6270" ht="15" customHeight="1" x14ac:dyDescent="0.25"/>
    <row r="6272" ht="15" customHeight="1" x14ac:dyDescent="0.25"/>
    <row r="6274" ht="15" customHeight="1" x14ac:dyDescent="0.25"/>
    <row r="6276" ht="15" customHeight="1" x14ac:dyDescent="0.25"/>
    <row r="6278" ht="15" customHeight="1" x14ac:dyDescent="0.25"/>
    <row r="6280" ht="15" customHeight="1" x14ac:dyDescent="0.25"/>
    <row r="6282" ht="15" customHeight="1" x14ac:dyDescent="0.25"/>
    <row r="6284" ht="15" customHeight="1" x14ac:dyDescent="0.25"/>
    <row r="6286" ht="15" customHeight="1" x14ac:dyDescent="0.25"/>
    <row r="6288" ht="15" customHeight="1" x14ac:dyDescent="0.25"/>
    <row r="6290" ht="15" customHeight="1" x14ac:dyDescent="0.25"/>
    <row r="6292" ht="15" customHeight="1" x14ac:dyDescent="0.25"/>
    <row r="6294" ht="15" customHeight="1" x14ac:dyDescent="0.25"/>
    <row r="6296" ht="15" customHeight="1" x14ac:dyDescent="0.25"/>
    <row r="6298" ht="15" customHeight="1" x14ac:dyDescent="0.25"/>
    <row r="6300" ht="15" customHeight="1" x14ac:dyDescent="0.25"/>
    <row r="6302" ht="15" customHeight="1" x14ac:dyDescent="0.25"/>
    <row r="6304" ht="15" customHeight="1" x14ac:dyDescent="0.25"/>
    <row r="6306" ht="15" customHeight="1" x14ac:dyDescent="0.25"/>
    <row r="6308" ht="15" customHeight="1" x14ac:dyDescent="0.25"/>
    <row r="6310" ht="15" customHeight="1" x14ac:dyDescent="0.25"/>
    <row r="6312" ht="15" customHeight="1" x14ac:dyDescent="0.25"/>
    <row r="6314" ht="15" customHeight="1" x14ac:dyDescent="0.25"/>
    <row r="6316" ht="15" customHeight="1" x14ac:dyDescent="0.25"/>
    <row r="6318" ht="15" customHeight="1" x14ac:dyDescent="0.25"/>
    <row r="6320" ht="15" customHeight="1" x14ac:dyDescent="0.25"/>
    <row r="6322" ht="15" customHeight="1" x14ac:dyDescent="0.25"/>
    <row r="6324" ht="15" customHeight="1" x14ac:dyDescent="0.25"/>
    <row r="6326" ht="15" customHeight="1" x14ac:dyDescent="0.25"/>
    <row r="6328" ht="15" customHeight="1" x14ac:dyDescent="0.25"/>
    <row r="6330" ht="15" customHeight="1" x14ac:dyDescent="0.25"/>
    <row r="6332" ht="15" customHeight="1" x14ac:dyDescent="0.25"/>
    <row r="6334" ht="15" customHeight="1" x14ac:dyDescent="0.25"/>
    <row r="6336" ht="15" customHeight="1" x14ac:dyDescent="0.25"/>
    <row r="6338" ht="15" customHeight="1" x14ac:dyDescent="0.25"/>
    <row r="6340" ht="15" customHeight="1" x14ac:dyDescent="0.25"/>
    <row r="6342" ht="15" customHeight="1" x14ac:dyDescent="0.25"/>
    <row r="6344" ht="15" customHeight="1" x14ac:dyDescent="0.25"/>
    <row r="6346" ht="15" customHeight="1" x14ac:dyDescent="0.25"/>
    <row r="6348" ht="15" customHeight="1" x14ac:dyDescent="0.25"/>
    <row r="6350" ht="15" customHeight="1" x14ac:dyDescent="0.25"/>
    <row r="6352" ht="15" customHeight="1" x14ac:dyDescent="0.25"/>
    <row r="6354" ht="15" customHeight="1" x14ac:dyDescent="0.25"/>
    <row r="6356" ht="15" customHeight="1" x14ac:dyDescent="0.25"/>
    <row r="6358" ht="15" customHeight="1" x14ac:dyDescent="0.25"/>
    <row r="6360" ht="15" customHeight="1" x14ac:dyDescent="0.25"/>
    <row r="6362" ht="15" customHeight="1" x14ac:dyDescent="0.25"/>
    <row r="6364" ht="15" customHeight="1" x14ac:dyDescent="0.25"/>
    <row r="6366" ht="15" customHeight="1" x14ac:dyDescent="0.25"/>
    <row r="6368" ht="15" customHeight="1" x14ac:dyDescent="0.25"/>
    <row r="6370" ht="15" customHeight="1" x14ac:dyDescent="0.25"/>
    <row r="6372" ht="15" customHeight="1" x14ac:dyDescent="0.25"/>
    <row r="6374" ht="15" customHeight="1" x14ac:dyDescent="0.25"/>
    <row r="6376" ht="15" customHeight="1" x14ac:dyDescent="0.25"/>
    <row r="6378" ht="15" customHeight="1" x14ac:dyDescent="0.25"/>
    <row r="6380" ht="15" customHeight="1" x14ac:dyDescent="0.25"/>
    <row r="6382" ht="15" customHeight="1" x14ac:dyDescent="0.25"/>
    <row r="6384" ht="15" customHeight="1" x14ac:dyDescent="0.25"/>
    <row r="6386" ht="15" customHeight="1" x14ac:dyDescent="0.25"/>
    <row r="6388" ht="15" customHeight="1" x14ac:dyDescent="0.25"/>
    <row r="6390" ht="15" customHeight="1" x14ac:dyDescent="0.25"/>
    <row r="6392" ht="15" customHeight="1" x14ac:dyDescent="0.25"/>
    <row r="6394" ht="15" customHeight="1" x14ac:dyDescent="0.25"/>
    <row r="6396" ht="15" customHeight="1" x14ac:dyDescent="0.25"/>
    <row r="6398" ht="15" customHeight="1" x14ac:dyDescent="0.25"/>
    <row r="6400" ht="15" customHeight="1" x14ac:dyDescent="0.25"/>
    <row r="6402" ht="15" customHeight="1" x14ac:dyDescent="0.25"/>
    <row r="6404" ht="15" customHeight="1" x14ac:dyDescent="0.25"/>
    <row r="6406" ht="15" customHeight="1" x14ac:dyDescent="0.25"/>
    <row r="6408" ht="15" customHeight="1" x14ac:dyDescent="0.25"/>
    <row r="6410" ht="15" customHeight="1" x14ac:dyDescent="0.25"/>
    <row r="6412" ht="15" customHeight="1" x14ac:dyDescent="0.25"/>
    <row r="6414" ht="15" customHeight="1" x14ac:dyDescent="0.25"/>
    <row r="6416" ht="15" customHeight="1" x14ac:dyDescent="0.25"/>
    <row r="6418" ht="15" customHeight="1" x14ac:dyDescent="0.25"/>
    <row r="6420" ht="15" customHeight="1" x14ac:dyDescent="0.25"/>
    <row r="6422" ht="15" customHeight="1" x14ac:dyDescent="0.25"/>
    <row r="6424" ht="15" customHeight="1" x14ac:dyDescent="0.25"/>
    <row r="6426" ht="15" customHeight="1" x14ac:dyDescent="0.25"/>
    <row r="6428" ht="15" customHeight="1" x14ac:dyDescent="0.25"/>
    <row r="6430" ht="15" customHeight="1" x14ac:dyDescent="0.25"/>
    <row r="6432" ht="15" customHeight="1" x14ac:dyDescent="0.25"/>
    <row r="6434" ht="15" customHeight="1" x14ac:dyDescent="0.25"/>
    <row r="6436" ht="15" customHeight="1" x14ac:dyDescent="0.25"/>
    <row r="6438" ht="15" customHeight="1" x14ac:dyDescent="0.25"/>
    <row r="6440" ht="15" customHeight="1" x14ac:dyDescent="0.25"/>
    <row r="6442" ht="15" customHeight="1" x14ac:dyDescent="0.25"/>
    <row r="6444" ht="15" customHeight="1" x14ac:dyDescent="0.25"/>
    <row r="6446" ht="15" customHeight="1" x14ac:dyDescent="0.25"/>
    <row r="6448" ht="15" customHeight="1" x14ac:dyDescent="0.25"/>
    <row r="6450" ht="15" customHeight="1" x14ac:dyDescent="0.25"/>
    <row r="6452" ht="15" customHeight="1" x14ac:dyDescent="0.25"/>
    <row r="6454" ht="15" customHeight="1" x14ac:dyDescent="0.25"/>
    <row r="6456" ht="15" customHeight="1" x14ac:dyDescent="0.25"/>
    <row r="6458" ht="15" customHeight="1" x14ac:dyDescent="0.25"/>
    <row r="6460" ht="15" customHeight="1" x14ac:dyDescent="0.25"/>
    <row r="6462" ht="15" customHeight="1" x14ac:dyDescent="0.25"/>
    <row r="6464" ht="15" customHeight="1" x14ac:dyDescent="0.25"/>
    <row r="6466" ht="15" customHeight="1" x14ac:dyDescent="0.25"/>
    <row r="6468" ht="15" customHeight="1" x14ac:dyDescent="0.25"/>
    <row r="6470" ht="15" customHeight="1" x14ac:dyDescent="0.25"/>
    <row r="6472" ht="15" customHeight="1" x14ac:dyDescent="0.25"/>
    <row r="6474" ht="15" customHeight="1" x14ac:dyDescent="0.25"/>
    <row r="6476" ht="15" customHeight="1" x14ac:dyDescent="0.25"/>
    <row r="6478" ht="15" customHeight="1" x14ac:dyDescent="0.25"/>
    <row r="6480" ht="15" customHeight="1" x14ac:dyDescent="0.25"/>
    <row r="6482" ht="15" customHeight="1" x14ac:dyDescent="0.25"/>
    <row r="6484" ht="15" customHeight="1" x14ac:dyDescent="0.25"/>
    <row r="6486" ht="15" customHeight="1" x14ac:dyDescent="0.25"/>
    <row r="6488" ht="15" customHeight="1" x14ac:dyDescent="0.25"/>
    <row r="6490" ht="15" customHeight="1" x14ac:dyDescent="0.25"/>
    <row r="6492" ht="15" customHeight="1" x14ac:dyDescent="0.25"/>
    <row r="6494" ht="15" customHeight="1" x14ac:dyDescent="0.25"/>
    <row r="6496" ht="15" customHeight="1" x14ac:dyDescent="0.25"/>
    <row r="6498" ht="15" customHeight="1" x14ac:dyDescent="0.25"/>
    <row r="6500" ht="15" customHeight="1" x14ac:dyDescent="0.25"/>
    <row r="6502" ht="15" customHeight="1" x14ac:dyDescent="0.25"/>
    <row r="6504" ht="15" customHeight="1" x14ac:dyDescent="0.25"/>
    <row r="6506" ht="15" customHeight="1" x14ac:dyDescent="0.25"/>
    <row r="6508" ht="15" customHeight="1" x14ac:dyDescent="0.25"/>
    <row r="6510" ht="15" customHeight="1" x14ac:dyDescent="0.25"/>
    <row r="6512" ht="15" customHeight="1" x14ac:dyDescent="0.25"/>
    <row r="6514" ht="15" customHeight="1" x14ac:dyDescent="0.25"/>
    <row r="6516" ht="15" customHeight="1" x14ac:dyDescent="0.25"/>
    <row r="6518" ht="15" customHeight="1" x14ac:dyDescent="0.25"/>
    <row r="6520" ht="15" customHeight="1" x14ac:dyDescent="0.25"/>
    <row r="6522" ht="15" customHeight="1" x14ac:dyDescent="0.25"/>
    <row r="6524" ht="15" customHeight="1" x14ac:dyDescent="0.25"/>
    <row r="6526" ht="15" customHeight="1" x14ac:dyDescent="0.25"/>
    <row r="6528" ht="15" customHeight="1" x14ac:dyDescent="0.25"/>
    <row r="6530" ht="15" customHeight="1" x14ac:dyDescent="0.25"/>
    <row r="6532" ht="15" customHeight="1" x14ac:dyDescent="0.25"/>
    <row r="6534" ht="15" customHeight="1" x14ac:dyDescent="0.25"/>
    <row r="6536" ht="15" customHeight="1" x14ac:dyDescent="0.25"/>
    <row r="6538" ht="15" customHeight="1" x14ac:dyDescent="0.25"/>
    <row r="6540" ht="15" customHeight="1" x14ac:dyDescent="0.25"/>
    <row r="6542" ht="15" customHeight="1" x14ac:dyDescent="0.25"/>
    <row r="6544" ht="15" customHeight="1" x14ac:dyDescent="0.25"/>
    <row r="6546" ht="15" customHeight="1" x14ac:dyDescent="0.25"/>
    <row r="6548" ht="15" customHeight="1" x14ac:dyDescent="0.25"/>
    <row r="6550" ht="15" customHeight="1" x14ac:dyDescent="0.25"/>
    <row r="6552" ht="15" customHeight="1" x14ac:dyDescent="0.25"/>
    <row r="6554" ht="15" customHeight="1" x14ac:dyDescent="0.25"/>
    <row r="6556" ht="15" customHeight="1" x14ac:dyDescent="0.25"/>
    <row r="6558" ht="15" customHeight="1" x14ac:dyDescent="0.25"/>
    <row r="6560" ht="15" customHeight="1" x14ac:dyDescent="0.25"/>
    <row r="6562" ht="15" customHeight="1" x14ac:dyDescent="0.25"/>
    <row r="6564" ht="15" customHeight="1" x14ac:dyDescent="0.25"/>
    <row r="6566" ht="15" customHeight="1" x14ac:dyDescent="0.25"/>
    <row r="6568" ht="15" customHeight="1" x14ac:dyDescent="0.25"/>
    <row r="6570" ht="15" customHeight="1" x14ac:dyDescent="0.25"/>
    <row r="6572" ht="15" customHeight="1" x14ac:dyDescent="0.25"/>
    <row r="6574" ht="15" customHeight="1" x14ac:dyDescent="0.25"/>
    <row r="6576" ht="15" customHeight="1" x14ac:dyDescent="0.25"/>
    <row r="6578" ht="15" customHeight="1" x14ac:dyDescent="0.25"/>
    <row r="6580" ht="15" customHeight="1" x14ac:dyDescent="0.25"/>
    <row r="6582" ht="15" customHeight="1" x14ac:dyDescent="0.25"/>
    <row r="6584" ht="15" customHeight="1" x14ac:dyDescent="0.25"/>
    <row r="6586" ht="15" customHeight="1" x14ac:dyDescent="0.25"/>
    <row r="6588" ht="15" customHeight="1" x14ac:dyDescent="0.25"/>
    <row r="6590" ht="15" customHeight="1" x14ac:dyDescent="0.25"/>
    <row r="6592" ht="15" customHeight="1" x14ac:dyDescent="0.25"/>
    <row r="6594" ht="15" customHeight="1" x14ac:dyDescent="0.25"/>
    <row r="6596" ht="15" customHeight="1" x14ac:dyDescent="0.25"/>
    <row r="6598" ht="15" customHeight="1" x14ac:dyDescent="0.25"/>
    <row r="6600" ht="15" customHeight="1" x14ac:dyDescent="0.25"/>
    <row r="6602" ht="15" customHeight="1" x14ac:dyDescent="0.25"/>
    <row r="6604" ht="15" customHeight="1" x14ac:dyDescent="0.25"/>
    <row r="6606" ht="15" customHeight="1" x14ac:dyDescent="0.25"/>
    <row r="6608" ht="15" customHeight="1" x14ac:dyDescent="0.25"/>
    <row r="6610" ht="15" customHeight="1" x14ac:dyDescent="0.25"/>
    <row r="6612" ht="15" customHeight="1" x14ac:dyDescent="0.25"/>
    <row r="6614" ht="15" customHeight="1" x14ac:dyDescent="0.25"/>
    <row r="6616" ht="15" customHeight="1" x14ac:dyDescent="0.25"/>
    <row r="6618" ht="15" customHeight="1" x14ac:dyDescent="0.25"/>
    <row r="6620" ht="15" customHeight="1" x14ac:dyDescent="0.25"/>
    <row r="6622" ht="15" customHeight="1" x14ac:dyDescent="0.25"/>
    <row r="6624" ht="15" customHeight="1" x14ac:dyDescent="0.25"/>
    <row r="6626" ht="15" customHeight="1" x14ac:dyDescent="0.25"/>
    <row r="6628" ht="15" customHeight="1" x14ac:dyDescent="0.25"/>
    <row r="6630" ht="15" customHeight="1" x14ac:dyDescent="0.25"/>
    <row r="6632" ht="15" customHeight="1" x14ac:dyDescent="0.25"/>
    <row r="6634" ht="15" customHeight="1" x14ac:dyDescent="0.25"/>
    <row r="6636" ht="15" customHeight="1" x14ac:dyDescent="0.25"/>
    <row r="6638" ht="15" customHeight="1" x14ac:dyDescent="0.25"/>
    <row r="6640" ht="15" customHeight="1" x14ac:dyDescent="0.25"/>
    <row r="6642" ht="15" customHeight="1" x14ac:dyDescent="0.25"/>
    <row r="6644" ht="15" customHeight="1" x14ac:dyDescent="0.25"/>
    <row r="6646" ht="15" customHeight="1" x14ac:dyDescent="0.25"/>
    <row r="6648" ht="15" customHeight="1" x14ac:dyDescent="0.25"/>
    <row r="6650" ht="15" customHeight="1" x14ac:dyDescent="0.25"/>
    <row r="6652" ht="15" customHeight="1" x14ac:dyDescent="0.25"/>
    <row r="6654" ht="15" customHeight="1" x14ac:dyDescent="0.25"/>
    <row r="6656" ht="15" customHeight="1" x14ac:dyDescent="0.25"/>
    <row r="6658" ht="15" customHeight="1" x14ac:dyDescent="0.25"/>
    <row r="6660" ht="15" customHeight="1" x14ac:dyDescent="0.25"/>
    <row r="6662" ht="15" customHeight="1" x14ac:dyDescent="0.25"/>
    <row r="6664" ht="15" customHeight="1" x14ac:dyDescent="0.25"/>
    <row r="6666" ht="15" customHeight="1" x14ac:dyDescent="0.25"/>
    <row r="6668" ht="15" customHeight="1" x14ac:dyDescent="0.25"/>
    <row r="6670" ht="15" customHeight="1" x14ac:dyDescent="0.25"/>
    <row r="6672" ht="15" customHeight="1" x14ac:dyDescent="0.25"/>
    <row r="6674" ht="15" customHeight="1" x14ac:dyDescent="0.25"/>
    <row r="6676" ht="15" customHeight="1" x14ac:dyDescent="0.25"/>
    <row r="6678" ht="15" customHeight="1" x14ac:dyDescent="0.25"/>
    <row r="6680" ht="15" customHeight="1" x14ac:dyDescent="0.25"/>
    <row r="6682" ht="15" customHeight="1" x14ac:dyDescent="0.25"/>
    <row r="6684" ht="15" customHeight="1" x14ac:dyDescent="0.25"/>
    <row r="6686" ht="15" customHeight="1" x14ac:dyDescent="0.25"/>
    <row r="6688" ht="15" customHeight="1" x14ac:dyDescent="0.25"/>
    <row r="6690" ht="15" customHeight="1" x14ac:dyDescent="0.25"/>
    <row r="6692" ht="15" customHeight="1" x14ac:dyDescent="0.25"/>
    <row r="6694" ht="15" customHeight="1" x14ac:dyDescent="0.25"/>
    <row r="6696" ht="15" customHeight="1" x14ac:dyDescent="0.25"/>
    <row r="6698" ht="15" customHeight="1" x14ac:dyDescent="0.25"/>
    <row r="6700" ht="15" customHeight="1" x14ac:dyDescent="0.25"/>
    <row r="6702" ht="15" customHeight="1" x14ac:dyDescent="0.25"/>
    <row r="6704" ht="15" customHeight="1" x14ac:dyDescent="0.25"/>
    <row r="6706" ht="15" customHeight="1" x14ac:dyDescent="0.25"/>
    <row r="6708" ht="15" customHeight="1" x14ac:dyDescent="0.25"/>
    <row r="6710" ht="15" customHeight="1" x14ac:dyDescent="0.25"/>
    <row r="6712" ht="15" customHeight="1" x14ac:dyDescent="0.25"/>
    <row r="6714" ht="15" customHeight="1" x14ac:dyDescent="0.25"/>
    <row r="6716" ht="15" customHeight="1" x14ac:dyDescent="0.25"/>
    <row r="6718" ht="15" customHeight="1" x14ac:dyDescent="0.25"/>
    <row r="6720" ht="15" customHeight="1" x14ac:dyDescent="0.25"/>
    <row r="6722" ht="15" customHeight="1" x14ac:dyDescent="0.25"/>
    <row r="6724" ht="15" customHeight="1" x14ac:dyDescent="0.25"/>
    <row r="6726" ht="15" customHeight="1" x14ac:dyDescent="0.25"/>
    <row r="6728" ht="15" customHeight="1" x14ac:dyDescent="0.25"/>
    <row r="6730" ht="15" customHeight="1" x14ac:dyDescent="0.25"/>
    <row r="6732" ht="15" customHeight="1" x14ac:dyDescent="0.25"/>
    <row r="6734" ht="15" customHeight="1" x14ac:dyDescent="0.25"/>
    <row r="6736" ht="15" customHeight="1" x14ac:dyDescent="0.25"/>
    <row r="6738" ht="15" customHeight="1" x14ac:dyDescent="0.25"/>
    <row r="6740" ht="15" customHeight="1" x14ac:dyDescent="0.25"/>
    <row r="6742" ht="15" customHeight="1" x14ac:dyDescent="0.25"/>
    <row r="6744" ht="15" customHeight="1" x14ac:dyDescent="0.25"/>
    <row r="6746" ht="15" customHeight="1" x14ac:dyDescent="0.25"/>
    <row r="6748" ht="15" customHeight="1" x14ac:dyDescent="0.25"/>
    <row r="6750" ht="15" customHeight="1" x14ac:dyDescent="0.25"/>
    <row r="6752" ht="15" customHeight="1" x14ac:dyDescent="0.25"/>
    <row r="6754" ht="15" customHeight="1" x14ac:dyDescent="0.25"/>
    <row r="6756" ht="15" customHeight="1" x14ac:dyDescent="0.25"/>
    <row r="6758" ht="15" customHeight="1" x14ac:dyDescent="0.25"/>
    <row r="6760" ht="15" customHeight="1" x14ac:dyDescent="0.25"/>
    <row r="6762" ht="15" customHeight="1" x14ac:dyDescent="0.25"/>
    <row r="6764" ht="15" customHeight="1" x14ac:dyDescent="0.25"/>
    <row r="6766" ht="15" customHeight="1" x14ac:dyDescent="0.25"/>
    <row r="6768" ht="15" customHeight="1" x14ac:dyDescent="0.25"/>
    <row r="6770" ht="15" customHeight="1" x14ac:dyDescent="0.25"/>
    <row r="6772" ht="15" customHeight="1" x14ac:dyDescent="0.25"/>
    <row r="6774" ht="15" customHeight="1" x14ac:dyDescent="0.25"/>
    <row r="6776" ht="15" customHeight="1" x14ac:dyDescent="0.25"/>
    <row r="6778" ht="15" customHeight="1" x14ac:dyDescent="0.25"/>
    <row r="6780" ht="15" customHeight="1" x14ac:dyDescent="0.25"/>
    <row r="6782" ht="15" customHeight="1" x14ac:dyDescent="0.25"/>
    <row r="6784" ht="15" customHeight="1" x14ac:dyDescent="0.25"/>
    <row r="6786" ht="15" customHeight="1" x14ac:dyDescent="0.25"/>
    <row r="6788" ht="15" customHeight="1" x14ac:dyDescent="0.25"/>
    <row r="6790" ht="15" customHeight="1" x14ac:dyDescent="0.25"/>
    <row r="6792" ht="15" customHeight="1" x14ac:dyDescent="0.25"/>
    <row r="6794" ht="15" customHeight="1" x14ac:dyDescent="0.25"/>
    <row r="6796" ht="15" customHeight="1" x14ac:dyDescent="0.25"/>
    <row r="6798" ht="15" customHeight="1" x14ac:dyDescent="0.25"/>
    <row r="6800" ht="15" customHeight="1" x14ac:dyDescent="0.25"/>
    <row r="6802" ht="15" customHeight="1" x14ac:dyDescent="0.25"/>
    <row r="6804" ht="15" customHeight="1" x14ac:dyDescent="0.25"/>
    <row r="6806" ht="15" customHeight="1" x14ac:dyDescent="0.25"/>
    <row r="6808" ht="15" customHeight="1" x14ac:dyDescent="0.25"/>
    <row r="6810" ht="15" customHeight="1" x14ac:dyDescent="0.25"/>
    <row r="6812" ht="15" customHeight="1" x14ac:dyDescent="0.25"/>
    <row r="6814" ht="15" customHeight="1" x14ac:dyDescent="0.25"/>
    <row r="6816" ht="15" customHeight="1" x14ac:dyDescent="0.25"/>
    <row r="6818" ht="15" customHeight="1" x14ac:dyDescent="0.25"/>
    <row r="6820" ht="15" customHeight="1" x14ac:dyDescent="0.25"/>
    <row r="6822" ht="15" customHeight="1" x14ac:dyDescent="0.25"/>
    <row r="6824" ht="15" customHeight="1" x14ac:dyDescent="0.25"/>
    <row r="6826" ht="15" customHeight="1" x14ac:dyDescent="0.25"/>
    <row r="6828" ht="15" customHeight="1" x14ac:dyDescent="0.25"/>
    <row r="6830" ht="15" customHeight="1" x14ac:dyDescent="0.25"/>
    <row r="6832" ht="15" customHeight="1" x14ac:dyDescent="0.25"/>
    <row r="6834" ht="15" customHeight="1" x14ac:dyDescent="0.25"/>
    <row r="6836" ht="15" customHeight="1" x14ac:dyDescent="0.25"/>
    <row r="6838" ht="15" customHeight="1" x14ac:dyDescent="0.25"/>
    <row r="6840" ht="15" customHeight="1" x14ac:dyDescent="0.25"/>
    <row r="6842" ht="15" customHeight="1" x14ac:dyDescent="0.25"/>
    <row r="6844" ht="15" customHeight="1" x14ac:dyDescent="0.25"/>
    <row r="6846" ht="15" customHeight="1" x14ac:dyDescent="0.25"/>
    <row r="6848" ht="15" customHeight="1" x14ac:dyDescent="0.25"/>
    <row r="6850" ht="15" customHeight="1" x14ac:dyDescent="0.25"/>
    <row r="6852" ht="15" customHeight="1" x14ac:dyDescent="0.25"/>
    <row r="6854" ht="15" customHeight="1" x14ac:dyDescent="0.25"/>
    <row r="6856" ht="15" customHeight="1" x14ac:dyDescent="0.25"/>
    <row r="6858" ht="15" customHeight="1" x14ac:dyDescent="0.25"/>
    <row r="6860" ht="15" customHeight="1" x14ac:dyDescent="0.25"/>
    <row r="6862" ht="15" customHeight="1" x14ac:dyDescent="0.25"/>
    <row r="6864" ht="15" customHeight="1" x14ac:dyDescent="0.25"/>
    <row r="6866" ht="15" customHeight="1" x14ac:dyDescent="0.25"/>
    <row r="6868" ht="15" customHeight="1" x14ac:dyDescent="0.25"/>
    <row r="6870" ht="15" customHeight="1" x14ac:dyDescent="0.25"/>
    <row r="6872" ht="15" customHeight="1" x14ac:dyDescent="0.25"/>
    <row r="6874" ht="15" customHeight="1" x14ac:dyDescent="0.25"/>
    <row r="6876" ht="15" customHeight="1" x14ac:dyDescent="0.25"/>
    <row r="6878" ht="15" customHeight="1" x14ac:dyDescent="0.25"/>
    <row r="6880" ht="15" customHeight="1" x14ac:dyDescent="0.25"/>
    <row r="6882" ht="15" customHeight="1" x14ac:dyDescent="0.25"/>
    <row r="6884" ht="15" customHeight="1" x14ac:dyDescent="0.25"/>
    <row r="6886" ht="15" customHeight="1" x14ac:dyDescent="0.25"/>
    <row r="6888" ht="15" customHeight="1" x14ac:dyDescent="0.25"/>
    <row r="6890" ht="15" customHeight="1" x14ac:dyDescent="0.25"/>
    <row r="6892" ht="15" customHeight="1" x14ac:dyDescent="0.25"/>
    <row r="6894" ht="15" customHeight="1" x14ac:dyDescent="0.25"/>
    <row r="6896" ht="15" customHeight="1" x14ac:dyDescent="0.25"/>
    <row r="6898" ht="15" customHeight="1" x14ac:dyDescent="0.25"/>
    <row r="6900" ht="15" customHeight="1" x14ac:dyDescent="0.25"/>
    <row r="6902" ht="15" customHeight="1" x14ac:dyDescent="0.25"/>
    <row r="6904" ht="15" customHeight="1" x14ac:dyDescent="0.25"/>
    <row r="6906" ht="15" customHeight="1" x14ac:dyDescent="0.25"/>
    <row r="6908" ht="15" customHeight="1" x14ac:dyDescent="0.25"/>
    <row r="6910" ht="15" customHeight="1" x14ac:dyDescent="0.25"/>
    <row r="6912" ht="15" customHeight="1" x14ac:dyDescent="0.25"/>
    <row r="6914" ht="15" customHeight="1" x14ac:dyDescent="0.25"/>
    <row r="6916" ht="15" customHeight="1" x14ac:dyDescent="0.25"/>
    <row r="6918" ht="15" customHeight="1" x14ac:dyDescent="0.25"/>
    <row r="6920" ht="15" customHeight="1" x14ac:dyDescent="0.25"/>
    <row r="6922" ht="15" customHeight="1" x14ac:dyDescent="0.25"/>
    <row r="6924" ht="15" customHeight="1" x14ac:dyDescent="0.25"/>
    <row r="6926" ht="15" customHeight="1" x14ac:dyDescent="0.25"/>
    <row r="6928" ht="15" customHeight="1" x14ac:dyDescent="0.25"/>
    <row r="6930" ht="15" customHeight="1" x14ac:dyDescent="0.25"/>
    <row r="6932" ht="15" customHeight="1" x14ac:dyDescent="0.25"/>
    <row r="6934" ht="15" customHeight="1" x14ac:dyDescent="0.25"/>
    <row r="6936" ht="15" customHeight="1" x14ac:dyDescent="0.25"/>
    <row r="6938" ht="15" customHeight="1" x14ac:dyDescent="0.25"/>
    <row r="6940" ht="15" customHeight="1" x14ac:dyDescent="0.25"/>
    <row r="6942" ht="15" customHeight="1" x14ac:dyDescent="0.25"/>
    <row r="6944" ht="15" customHeight="1" x14ac:dyDescent="0.25"/>
    <row r="6946" ht="15" customHeight="1" x14ac:dyDescent="0.25"/>
    <row r="6948" ht="15" customHeight="1" x14ac:dyDescent="0.25"/>
    <row r="6950" ht="15" customHeight="1" x14ac:dyDescent="0.25"/>
    <row r="6952" ht="15" customHeight="1" x14ac:dyDescent="0.25"/>
    <row r="6954" ht="15" customHeight="1" x14ac:dyDescent="0.25"/>
    <row r="6956" ht="15" customHeight="1" x14ac:dyDescent="0.25"/>
    <row r="6958" ht="15" customHeight="1" x14ac:dyDescent="0.25"/>
    <row r="6960" ht="15" customHeight="1" x14ac:dyDescent="0.25"/>
    <row r="6962" ht="15" customHeight="1" x14ac:dyDescent="0.25"/>
    <row r="6964" ht="15" customHeight="1" x14ac:dyDescent="0.25"/>
    <row r="6966" ht="15" customHeight="1" x14ac:dyDescent="0.25"/>
    <row r="6968" ht="15" customHeight="1" x14ac:dyDescent="0.25"/>
    <row r="6970" ht="15" customHeight="1" x14ac:dyDescent="0.25"/>
    <row r="6972" ht="15" customHeight="1" x14ac:dyDescent="0.25"/>
    <row r="6974" ht="15" customHeight="1" x14ac:dyDescent="0.25"/>
    <row r="6976" ht="15" customHeight="1" x14ac:dyDescent="0.25"/>
    <row r="6978" ht="15" customHeight="1" x14ac:dyDescent="0.25"/>
    <row r="6980" ht="15" customHeight="1" x14ac:dyDescent="0.25"/>
    <row r="6982" ht="15" customHeight="1" x14ac:dyDescent="0.25"/>
    <row r="6984" ht="15" customHeight="1" x14ac:dyDescent="0.25"/>
    <row r="6986" ht="15" customHeight="1" x14ac:dyDescent="0.25"/>
    <row r="6988" ht="15" customHeight="1" x14ac:dyDescent="0.25"/>
    <row r="6990" ht="15" customHeight="1" x14ac:dyDescent="0.25"/>
    <row r="6992" ht="15" customHeight="1" x14ac:dyDescent="0.25"/>
    <row r="6994" ht="15" customHeight="1" x14ac:dyDescent="0.25"/>
    <row r="6996" ht="15" customHeight="1" x14ac:dyDescent="0.25"/>
    <row r="6998" ht="15" customHeight="1" x14ac:dyDescent="0.25"/>
    <row r="7000" ht="15" customHeight="1" x14ac:dyDescent="0.25"/>
    <row r="7002" ht="15" customHeight="1" x14ac:dyDescent="0.25"/>
    <row r="7004" ht="15" customHeight="1" x14ac:dyDescent="0.25"/>
    <row r="7006" ht="15" customHeight="1" x14ac:dyDescent="0.25"/>
    <row r="7008" ht="15" customHeight="1" x14ac:dyDescent="0.25"/>
    <row r="7010" ht="15" customHeight="1" x14ac:dyDescent="0.25"/>
    <row r="7012" ht="15" customHeight="1" x14ac:dyDescent="0.25"/>
    <row r="7014" ht="15" customHeight="1" x14ac:dyDescent="0.25"/>
    <row r="7016" ht="15" customHeight="1" x14ac:dyDescent="0.25"/>
    <row r="7018" ht="15" customHeight="1" x14ac:dyDescent="0.25"/>
    <row r="7020" ht="15" customHeight="1" x14ac:dyDescent="0.25"/>
    <row r="7022" ht="15" customHeight="1" x14ac:dyDescent="0.25"/>
    <row r="7024" ht="15" customHeight="1" x14ac:dyDescent="0.25"/>
    <row r="7026" ht="15" customHeight="1" x14ac:dyDescent="0.25"/>
    <row r="7028" ht="15" customHeight="1" x14ac:dyDescent="0.25"/>
    <row r="7030" ht="15" customHeight="1" x14ac:dyDescent="0.25"/>
    <row r="7032" ht="15" customHeight="1" x14ac:dyDescent="0.25"/>
    <row r="7034" ht="15" customHeight="1" x14ac:dyDescent="0.25"/>
    <row r="7036" ht="15" customHeight="1" x14ac:dyDescent="0.25"/>
    <row r="7038" ht="15" customHeight="1" x14ac:dyDescent="0.25"/>
    <row r="7040" ht="15" customHeight="1" x14ac:dyDescent="0.25"/>
    <row r="7042" ht="15" customHeight="1" x14ac:dyDescent="0.25"/>
    <row r="7044" ht="15" customHeight="1" x14ac:dyDescent="0.25"/>
    <row r="7046" ht="15" customHeight="1" x14ac:dyDescent="0.25"/>
    <row r="7048" ht="15" customHeight="1" x14ac:dyDescent="0.25"/>
    <row r="7050" ht="15" customHeight="1" x14ac:dyDescent="0.25"/>
    <row r="7052" ht="15" customHeight="1" x14ac:dyDescent="0.25"/>
    <row r="7054" ht="15" customHeight="1" x14ac:dyDescent="0.25"/>
    <row r="7056" ht="15" customHeight="1" x14ac:dyDescent="0.25"/>
    <row r="7058" ht="15" customHeight="1" x14ac:dyDescent="0.25"/>
    <row r="7060" ht="15" customHeight="1" x14ac:dyDescent="0.25"/>
    <row r="7062" ht="15" customHeight="1" x14ac:dyDescent="0.25"/>
    <row r="7064" ht="15" customHeight="1" x14ac:dyDescent="0.25"/>
    <row r="7066" ht="15" customHeight="1" x14ac:dyDescent="0.25"/>
    <row r="7068" ht="15" customHeight="1" x14ac:dyDescent="0.25"/>
    <row r="7070" ht="15" customHeight="1" x14ac:dyDescent="0.25"/>
    <row r="7072" ht="15" customHeight="1" x14ac:dyDescent="0.25"/>
    <row r="7074" ht="15" customHeight="1" x14ac:dyDescent="0.25"/>
    <row r="7076" ht="15" customHeight="1" x14ac:dyDescent="0.25"/>
    <row r="7078" ht="15" customHeight="1" x14ac:dyDescent="0.25"/>
    <row r="7080" ht="15" customHeight="1" x14ac:dyDescent="0.25"/>
    <row r="7082" ht="15" customHeight="1" x14ac:dyDescent="0.25"/>
    <row r="7084" ht="15" customHeight="1" x14ac:dyDescent="0.25"/>
    <row r="7086" ht="15" customHeight="1" x14ac:dyDescent="0.25"/>
    <row r="7088" ht="15" customHeight="1" x14ac:dyDescent="0.25"/>
    <row r="7090" ht="15" customHeight="1" x14ac:dyDescent="0.25"/>
    <row r="7092" ht="15" customHeight="1" x14ac:dyDescent="0.25"/>
    <row r="7094" ht="15" customHeight="1" x14ac:dyDescent="0.25"/>
    <row r="7096" ht="15" customHeight="1" x14ac:dyDescent="0.25"/>
    <row r="7098" ht="15" customHeight="1" x14ac:dyDescent="0.25"/>
    <row r="7100" ht="15" customHeight="1" x14ac:dyDescent="0.25"/>
    <row r="7102" ht="15" customHeight="1" x14ac:dyDescent="0.25"/>
    <row r="7104" ht="15" customHeight="1" x14ac:dyDescent="0.25"/>
    <row r="7106" ht="15" customHeight="1" x14ac:dyDescent="0.25"/>
    <row r="7108" ht="15" customHeight="1" x14ac:dyDescent="0.25"/>
    <row r="7110" ht="15" customHeight="1" x14ac:dyDescent="0.25"/>
    <row r="7112" ht="15" customHeight="1" x14ac:dyDescent="0.25"/>
    <row r="7114" ht="15" customHeight="1" x14ac:dyDescent="0.25"/>
    <row r="7116" ht="15" customHeight="1" x14ac:dyDescent="0.25"/>
    <row r="7118" ht="15" customHeight="1" x14ac:dyDescent="0.25"/>
    <row r="7120" ht="15" customHeight="1" x14ac:dyDescent="0.25"/>
    <row r="7122" ht="15" customHeight="1" x14ac:dyDescent="0.25"/>
    <row r="7124" ht="15" customHeight="1" x14ac:dyDescent="0.25"/>
    <row r="7126" ht="15" customHeight="1" x14ac:dyDescent="0.25"/>
    <row r="7128" ht="15" customHeight="1" x14ac:dyDescent="0.25"/>
    <row r="7130" ht="15" customHeight="1" x14ac:dyDescent="0.25"/>
    <row r="7132" ht="15" customHeight="1" x14ac:dyDescent="0.25"/>
    <row r="7134" ht="15" customHeight="1" x14ac:dyDescent="0.25"/>
    <row r="7136" ht="15" customHeight="1" x14ac:dyDescent="0.25"/>
    <row r="7138" ht="15" customHeight="1" x14ac:dyDescent="0.25"/>
    <row r="7140" ht="15" customHeight="1" x14ac:dyDescent="0.25"/>
    <row r="7142" ht="15" customHeight="1" x14ac:dyDescent="0.25"/>
    <row r="7144" ht="15" customHeight="1" x14ac:dyDescent="0.25"/>
    <row r="7146" ht="15" customHeight="1" x14ac:dyDescent="0.25"/>
    <row r="7148" ht="15" customHeight="1" x14ac:dyDescent="0.25"/>
    <row r="7150" ht="15" customHeight="1" x14ac:dyDescent="0.25"/>
    <row r="7152" ht="15" customHeight="1" x14ac:dyDescent="0.25"/>
    <row r="7154" ht="15" customHeight="1" x14ac:dyDescent="0.25"/>
    <row r="7156" ht="15" customHeight="1" x14ac:dyDescent="0.25"/>
    <row r="7158" ht="15" customHeight="1" x14ac:dyDescent="0.25"/>
    <row r="7160" ht="15" customHeight="1" x14ac:dyDescent="0.25"/>
    <row r="7162" ht="15" customHeight="1" x14ac:dyDescent="0.25"/>
    <row r="7164" ht="15" customHeight="1" x14ac:dyDescent="0.25"/>
    <row r="7166" ht="15" customHeight="1" x14ac:dyDescent="0.25"/>
    <row r="7168" ht="15" customHeight="1" x14ac:dyDescent="0.25"/>
    <row r="7170" ht="15" customHeight="1" x14ac:dyDescent="0.25"/>
    <row r="7172" ht="15" customHeight="1" x14ac:dyDescent="0.25"/>
    <row r="7174" ht="15" customHeight="1" x14ac:dyDescent="0.25"/>
    <row r="7176" ht="15" customHeight="1" x14ac:dyDescent="0.25"/>
    <row r="7178" ht="15" customHeight="1" x14ac:dyDescent="0.25"/>
    <row r="7180" ht="15" customHeight="1" x14ac:dyDescent="0.25"/>
    <row r="7182" ht="15" customHeight="1" x14ac:dyDescent="0.25"/>
    <row r="7184" ht="15" customHeight="1" x14ac:dyDescent="0.25"/>
    <row r="7186" ht="15" customHeight="1" x14ac:dyDescent="0.25"/>
    <row r="7188" ht="15" customHeight="1" x14ac:dyDescent="0.25"/>
    <row r="7190" ht="15" customHeight="1" x14ac:dyDescent="0.25"/>
    <row r="7192" ht="15" customHeight="1" x14ac:dyDescent="0.25"/>
    <row r="7194" ht="15" customHeight="1" x14ac:dyDescent="0.25"/>
    <row r="7196" ht="15" customHeight="1" x14ac:dyDescent="0.25"/>
    <row r="7198" ht="15" customHeight="1" x14ac:dyDescent="0.25"/>
    <row r="7200" ht="15" customHeight="1" x14ac:dyDescent="0.25"/>
    <row r="7202" ht="15" customHeight="1" x14ac:dyDescent="0.25"/>
    <row r="7204" ht="15" customHeight="1" x14ac:dyDescent="0.25"/>
    <row r="7206" ht="15" customHeight="1" x14ac:dyDescent="0.25"/>
    <row r="7208" ht="15" customHeight="1" x14ac:dyDescent="0.25"/>
    <row r="7210" ht="15" customHeight="1" x14ac:dyDescent="0.25"/>
    <row r="7212" ht="15" customHeight="1" x14ac:dyDescent="0.25"/>
    <row r="7214" ht="15" customHeight="1" x14ac:dyDescent="0.25"/>
    <row r="7216" ht="15" customHeight="1" x14ac:dyDescent="0.25"/>
    <row r="7218" ht="15" customHeight="1" x14ac:dyDescent="0.25"/>
    <row r="7220" ht="15" customHeight="1" x14ac:dyDescent="0.25"/>
    <row r="7222" ht="15" customHeight="1" x14ac:dyDescent="0.25"/>
    <row r="7224" ht="15" customHeight="1" x14ac:dyDescent="0.25"/>
    <row r="7226" ht="15" customHeight="1" x14ac:dyDescent="0.25"/>
    <row r="7228" ht="15" customHeight="1" x14ac:dyDescent="0.25"/>
    <row r="7230" ht="15" customHeight="1" x14ac:dyDescent="0.25"/>
    <row r="7232" ht="15" customHeight="1" x14ac:dyDescent="0.25"/>
    <row r="7234" ht="15" customHeight="1" x14ac:dyDescent="0.25"/>
    <row r="7236" ht="15" customHeight="1" x14ac:dyDescent="0.25"/>
    <row r="7238" ht="15" customHeight="1" x14ac:dyDescent="0.25"/>
    <row r="7240" ht="15" customHeight="1" x14ac:dyDescent="0.25"/>
    <row r="7242" ht="15" customHeight="1" x14ac:dyDescent="0.25"/>
    <row r="7244" ht="15" customHeight="1" x14ac:dyDescent="0.25"/>
    <row r="7246" ht="15" customHeight="1" x14ac:dyDescent="0.25"/>
    <row r="7248" ht="15" customHeight="1" x14ac:dyDescent="0.25"/>
    <row r="7250" ht="15" customHeight="1" x14ac:dyDescent="0.25"/>
    <row r="7252" ht="15" customHeight="1" x14ac:dyDescent="0.25"/>
    <row r="7254" ht="15" customHeight="1" x14ac:dyDescent="0.25"/>
    <row r="7256" ht="15" customHeight="1" x14ac:dyDescent="0.25"/>
    <row r="7258" ht="15" customHeight="1" x14ac:dyDescent="0.25"/>
    <row r="7260" ht="15" customHeight="1" x14ac:dyDescent="0.25"/>
    <row r="7262" ht="15" customHeight="1" x14ac:dyDescent="0.25"/>
    <row r="7264" ht="15" customHeight="1" x14ac:dyDescent="0.25"/>
    <row r="7266" ht="15" customHeight="1" x14ac:dyDescent="0.25"/>
    <row r="7268" ht="15" customHeight="1" x14ac:dyDescent="0.25"/>
    <row r="7270" ht="15" customHeight="1" x14ac:dyDescent="0.25"/>
    <row r="7272" ht="15" customHeight="1" x14ac:dyDescent="0.25"/>
    <row r="7274" ht="15" customHeight="1" x14ac:dyDescent="0.25"/>
    <row r="7276" ht="15" customHeight="1" x14ac:dyDescent="0.25"/>
    <row r="7278" ht="15" customHeight="1" x14ac:dyDescent="0.25"/>
    <row r="7280" ht="15" customHeight="1" x14ac:dyDescent="0.25"/>
    <row r="7282" ht="15" customHeight="1" x14ac:dyDescent="0.25"/>
    <row r="7284" ht="15" customHeight="1" x14ac:dyDescent="0.25"/>
    <row r="7286" ht="15" customHeight="1" x14ac:dyDescent="0.25"/>
    <row r="7288" ht="15" customHeight="1" x14ac:dyDescent="0.25"/>
    <row r="7290" ht="15" customHeight="1" x14ac:dyDescent="0.25"/>
    <row r="7292" ht="15" customHeight="1" x14ac:dyDescent="0.25"/>
    <row r="7294" ht="15" customHeight="1" x14ac:dyDescent="0.25"/>
    <row r="7296" ht="15" customHeight="1" x14ac:dyDescent="0.25"/>
    <row r="7298" ht="15" customHeight="1" x14ac:dyDescent="0.25"/>
    <row r="7300" ht="15" customHeight="1" x14ac:dyDescent="0.25"/>
    <row r="7302" ht="15" customHeight="1" x14ac:dyDescent="0.25"/>
    <row r="7304" ht="15" customHeight="1" x14ac:dyDescent="0.25"/>
    <row r="7306" ht="15" customHeight="1" x14ac:dyDescent="0.25"/>
    <row r="7308" ht="15" customHeight="1" x14ac:dyDescent="0.25"/>
    <row r="7310" ht="15" customHeight="1" x14ac:dyDescent="0.25"/>
    <row r="7312" ht="15" customHeight="1" x14ac:dyDescent="0.25"/>
    <row r="7314" ht="15" customHeight="1" x14ac:dyDescent="0.25"/>
    <row r="7316" ht="15" customHeight="1" x14ac:dyDescent="0.25"/>
    <row r="7318" ht="15" customHeight="1" x14ac:dyDescent="0.25"/>
    <row r="7320" ht="15" customHeight="1" x14ac:dyDescent="0.25"/>
    <row r="7322" ht="15" customHeight="1" x14ac:dyDescent="0.25"/>
    <row r="7324" ht="15" customHeight="1" x14ac:dyDescent="0.25"/>
    <row r="7326" ht="15" customHeight="1" x14ac:dyDescent="0.25"/>
    <row r="7328" ht="15" customHeight="1" x14ac:dyDescent="0.25"/>
    <row r="7330" ht="15" customHeight="1" x14ac:dyDescent="0.25"/>
    <row r="7332" ht="15" customHeight="1" x14ac:dyDescent="0.25"/>
    <row r="7334" ht="15" customHeight="1" x14ac:dyDescent="0.25"/>
    <row r="7336" ht="15" customHeight="1" x14ac:dyDescent="0.25"/>
    <row r="7338" ht="15" customHeight="1" x14ac:dyDescent="0.25"/>
    <row r="7340" ht="15" customHeight="1" x14ac:dyDescent="0.25"/>
    <row r="7342" ht="15" customHeight="1" x14ac:dyDescent="0.25"/>
    <row r="7344" ht="15" customHeight="1" x14ac:dyDescent="0.25"/>
    <row r="7346" ht="15" customHeight="1" x14ac:dyDescent="0.25"/>
    <row r="7348" ht="15" customHeight="1" x14ac:dyDescent="0.25"/>
    <row r="7350" ht="15" customHeight="1" x14ac:dyDescent="0.25"/>
    <row r="7352" ht="15" customHeight="1" x14ac:dyDescent="0.25"/>
    <row r="7354" ht="15" customHeight="1" x14ac:dyDescent="0.25"/>
    <row r="7356" ht="15" customHeight="1" x14ac:dyDescent="0.25"/>
    <row r="7358" ht="15" customHeight="1" x14ac:dyDescent="0.25"/>
    <row r="7360" ht="15" customHeight="1" x14ac:dyDescent="0.25"/>
    <row r="7362" ht="15" customHeight="1" x14ac:dyDescent="0.25"/>
    <row r="7364" ht="15" customHeight="1" x14ac:dyDescent="0.25"/>
    <row r="7366" ht="15" customHeight="1" x14ac:dyDescent="0.25"/>
    <row r="7368" ht="15" customHeight="1" x14ac:dyDescent="0.25"/>
    <row r="7370" ht="15" customHeight="1" x14ac:dyDescent="0.25"/>
    <row r="7372" ht="15" customHeight="1" x14ac:dyDescent="0.25"/>
    <row r="7374" ht="15" customHeight="1" x14ac:dyDescent="0.25"/>
    <row r="7376" ht="15" customHeight="1" x14ac:dyDescent="0.25"/>
    <row r="7378" ht="15" customHeight="1" x14ac:dyDescent="0.25"/>
    <row r="7380" ht="15" customHeight="1" x14ac:dyDescent="0.25"/>
    <row r="7382" ht="15" customHeight="1" x14ac:dyDescent="0.25"/>
    <row r="7384" ht="15" customHeight="1" x14ac:dyDescent="0.25"/>
    <row r="7386" ht="15" customHeight="1" x14ac:dyDescent="0.25"/>
    <row r="7388" ht="15" customHeight="1" x14ac:dyDescent="0.25"/>
    <row r="7390" ht="15" customHeight="1" x14ac:dyDescent="0.25"/>
    <row r="7392" ht="15" customHeight="1" x14ac:dyDescent="0.25"/>
    <row r="7394" ht="15" customHeight="1" x14ac:dyDescent="0.25"/>
    <row r="7396" ht="15" customHeight="1" x14ac:dyDescent="0.25"/>
    <row r="7398" ht="15" customHeight="1" x14ac:dyDescent="0.25"/>
    <row r="7400" ht="15" customHeight="1" x14ac:dyDescent="0.25"/>
    <row r="7402" ht="15" customHeight="1" x14ac:dyDescent="0.25"/>
    <row r="7404" ht="15" customHeight="1" x14ac:dyDescent="0.25"/>
    <row r="7406" ht="15" customHeight="1" x14ac:dyDescent="0.25"/>
    <row r="7408" ht="15" customHeight="1" x14ac:dyDescent="0.25"/>
    <row r="7410" ht="15" customHeight="1" x14ac:dyDescent="0.25"/>
    <row r="7412" ht="15" customHeight="1" x14ac:dyDescent="0.25"/>
    <row r="7414" ht="15" customHeight="1" x14ac:dyDescent="0.25"/>
    <row r="7416" ht="15" customHeight="1" x14ac:dyDescent="0.25"/>
    <row r="7418" ht="15" customHeight="1" x14ac:dyDescent="0.25"/>
    <row r="7420" ht="15" customHeight="1" x14ac:dyDescent="0.25"/>
    <row r="7422" ht="15" customHeight="1" x14ac:dyDescent="0.25"/>
    <row r="7424" ht="15" customHeight="1" x14ac:dyDescent="0.25"/>
    <row r="7426" ht="15" customHeight="1" x14ac:dyDescent="0.25"/>
    <row r="7428" ht="15" customHeight="1" x14ac:dyDescent="0.25"/>
    <row r="7430" ht="15" customHeight="1" x14ac:dyDescent="0.25"/>
    <row r="7432" ht="15" customHeight="1" x14ac:dyDescent="0.25"/>
    <row r="7434" ht="15" customHeight="1" x14ac:dyDescent="0.25"/>
    <row r="7436" ht="15" customHeight="1" x14ac:dyDescent="0.25"/>
    <row r="7438" ht="15" customHeight="1" x14ac:dyDescent="0.25"/>
    <row r="7440" ht="15" customHeight="1" x14ac:dyDescent="0.25"/>
    <row r="7442" ht="15" customHeight="1" x14ac:dyDescent="0.25"/>
    <row r="7444" ht="15" customHeight="1" x14ac:dyDescent="0.25"/>
    <row r="7446" ht="15" customHeight="1" x14ac:dyDescent="0.25"/>
    <row r="7448" ht="15" customHeight="1" x14ac:dyDescent="0.25"/>
    <row r="7450" ht="15" customHeight="1" x14ac:dyDescent="0.25"/>
    <row r="7452" ht="15" customHeight="1" x14ac:dyDescent="0.25"/>
    <row r="7454" ht="15" customHeight="1" x14ac:dyDescent="0.25"/>
    <row r="7456" ht="15" customHeight="1" x14ac:dyDescent="0.25"/>
    <row r="7458" ht="15" customHeight="1" x14ac:dyDescent="0.25"/>
    <row r="7460" ht="15" customHeight="1" x14ac:dyDescent="0.25"/>
    <row r="7462" ht="15" customHeight="1" x14ac:dyDescent="0.25"/>
    <row r="7464" ht="15" customHeight="1" x14ac:dyDescent="0.25"/>
    <row r="7466" ht="15" customHeight="1" x14ac:dyDescent="0.25"/>
    <row r="7468" ht="15" customHeight="1" x14ac:dyDescent="0.25"/>
    <row r="7470" ht="15" customHeight="1" x14ac:dyDescent="0.25"/>
    <row r="7472" ht="15" customHeight="1" x14ac:dyDescent="0.25"/>
    <row r="7474" ht="15" customHeight="1" x14ac:dyDescent="0.25"/>
    <row r="7476" ht="15" customHeight="1" x14ac:dyDescent="0.25"/>
    <row r="7478" ht="15" customHeight="1" x14ac:dyDescent="0.25"/>
    <row r="7480" ht="15" customHeight="1" x14ac:dyDescent="0.25"/>
    <row r="7482" ht="15" customHeight="1" x14ac:dyDescent="0.25"/>
    <row r="7484" ht="15" customHeight="1" x14ac:dyDescent="0.25"/>
    <row r="7486" ht="15" customHeight="1" x14ac:dyDescent="0.25"/>
    <row r="7488" ht="15" customHeight="1" x14ac:dyDescent="0.25"/>
    <row r="7490" ht="15" customHeight="1" x14ac:dyDescent="0.25"/>
    <row r="7492" ht="15" customHeight="1" x14ac:dyDescent="0.25"/>
    <row r="7494" ht="15" customHeight="1" x14ac:dyDescent="0.25"/>
    <row r="7496" ht="15" customHeight="1" x14ac:dyDescent="0.25"/>
    <row r="7498" ht="15" customHeight="1" x14ac:dyDescent="0.25"/>
    <row r="7500" ht="15" customHeight="1" x14ac:dyDescent="0.25"/>
    <row r="7502" ht="15" customHeight="1" x14ac:dyDescent="0.25"/>
    <row r="7504" ht="15" customHeight="1" x14ac:dyDescent="0.25"/>
    <row r="7506" ht="15" customHeight="1" x14ac:dyDescent="0.25"/>
    <row r="7508" ht="15" customHeight="1" x14ac:dyDescent="0.25"/>
    <row r="7510" ht="15" customHeight="1" x14ac:dyDescent="0.25"/>
    <row r="7512" ht="15" customHeight="1" x14ac:dyDescent="0.25"/>
    <row r="7514" ht="15" customHeight="1" x14ac:dyDescent="0.25"/>
    <row r="7516" ht="15" customHeight="1" x14ac:dyDescent="0.25"/>
    <row r="7518" ht="15" customHeight="1" x14ac:dyDescent="0.25"/>
    <row r="7520" ht="15" customHeight="1" x14ac:dyDescent="0.25"/>
    <row r="7522" ht="15" customHeight="1" x14ac:dyDescent="0.25"/>
    <row r="7524" ht="15" customHeight="1" x14ac:dyDescent="0.25"/>
    <row r="7526" ht="15" customHeight="1" x14ac:dyDescent="0.25"/>
    <row r="7528" ht="15" customHeight="1" x14ac:dyDescent="0.25"/>
    <row r="7530" ht="15" customHeight="1" x14ac:dyDescent="0.25"/>
    <row r="7532" ht="15" customHeight="1" x14ac:dyDescent="0.25"/>
    <row r="7534" ht="15" customHeight="1" x14ac:dyDescent="0.25"/>
    <row r="7536" ht="15" customHeight="1" x14ac:dyDescent="0.25"/>
    <row r="7538" ht="15" customHeight="1" x14ac:dyDescent="0.25"/>
    <row r="7540" ht="15" customHeight="1" x14ac:dyDescent="0.25"/>
    <row r="7542" ht="15" customHeight="1" x14ac:dyDescent="0.25"/>
    <row r="7544" ht="15" customHeight="1" x14ac:dyDescent="0.25"/>
    <row r="7546" ht="15" customHeight="1" x14ac:dyDescent="0.25"/>
    <row r="7548" ht="15" customHeight="1" x14ac:dyDescent="0.25"/>
    <row r="7550" ht="15" customHeight="1" x14ac:dyDescent="0.25"/>
    <row r="7552" ht="15" customHeight="1" x14ac:dyDescent="0.25"/>
    <row r="7554" ht="15" customHeight="1" x14ac:dyDescent="0.25"/>
    <row r="7556" ht="15" customHeight="1" x14ac:dyDescent="0.25"/>
    <row r="7558" ht="15" customHeight="1" x14ac:dyDescent="0.25"/>
    <row r="7560" ht="15" customHeight="1" x14ac:dyDescent="0.25"/>
    <row r="7562" ht="15" customHeight="1" x14ac:dyDescent="0.25"/>
    <row r="7564" ht="15" customHeight="1" x14ac:dyDescent="0.25"/>
    <row r="7566" ht="15" customHeight="1" x14ac:dyDescent="0.25"/>
    <row r="7568" ht="15" customHeight="1" x14ac:dyDescent="0.25"/>
    <row r="7570" ht="15" customHeight="1" x14ac:dyDescent="0.25"/>
    <row r="7572" ht="15" customHeight="1" x14ac:dyDescent="0.25"/>
    <row r="7574" ht="15" customHeight="1" x14ac:dyDescent="0.25"/>
    <row r="7576" ht="15" customHeight="1" x14ac:dyDescent="0.25"/>
    <row r="7578" ht="15" customHeight="1" x14ac:dyDescent="0.25"/>
    <row r="7580" ht="15" customHeight="1" x14ac:dyDescent="0.25"/>
    <row r="7582" ht="15" customHeight="1" x14ac:dyDescent="0.25"/>
    <row r="7584" ht="15" customHeight="1" x14ac:dyDescent="0.25"/>
    <row r="7586" ht="15" customHeight="1" x14ac:dyDescent="0.25"/>
    <row r="7588" ht="15" customHeight="1" x14ac:dyDescent="0.25"/>
    <row r="7590" ht="15" customHeight="1" x14ac:dyDescent="0.25"/>
    <row r="7592" ht="15" customHeight="1" x14ac:dyDescent="0.25"/>
    <row r="7594" ht="15" customHeight="1" x14ac:dyDescent="0.25"/>
    <row r="7596" ht="15" customHeight="1" x14ac:dyDescent="0.25"/>
    <row r="7598" ht="15" customHeight="1" x14ac:dyDescent="0.25"/>
    <row r="7600" ht="15" customHeight="1" x14ac:dyDescent="0.25"/>
    <row r="7602" ht="15" customHeight="1" x14ac:dyDescent="0.25"/>
    <row r="7604" ht="15" customHeight="1" x14ac:dyDescent="0.25"/>
    <row r="7606" ht="15" customHeight="1" x14ac:dyDescent="0.25"/>
    <row r="7608" ht="15" customHeight="1" x14ac:dyDescent="0.25"/>
    <row r="7610" ht="15" customHeight="1" x14ac:dyDescent="0.25"/>
    <row r="7612" ht="15" customHeight="1" x14ac:dyDescent="0.25"/>
    <row r="7614" ht="15" customHeight="1" x14ac:dyDescent="0.25"/>
    <row r="7616" ht="15" customHeight="1" x14ac:dyDescent="0.25"/>
    <row r="7618" ht="15" customHeight="1" x14ac:dyDescent="0.25"/>
    <row r="7620" ht="15" customHeight="1" x14ac:dyDescent="0.25"/>
    <row r="7622" ht="15" customHeight="1" x14ac:dyDescent="0.25"/>
    <row r="7624" ht="15" customHeight="1" x14ac:dyDescent="0.25"/>
    <row r="7626" ht="15" customHeight="1" x14ac:dyDescent="0.25"/>
    <row r="7628" ht="15" customHeight="1" x14ac:dyDescent="0.25"/>
    <row r="7630" ht="15" customHeight="1" x14ac:dyDescent="0.25"/>
    <row r="7632" ht="15" customHeight="1" x14ac:dyDescent="0.25"/>
    <row r="7634" ht="15" customHeight="1" x14ac:dyDescent="0.25"/>
    <row r="7636" ht="15" customHeight="1" x14ac:dyDescent="0.25"/>
    <row r="7638" ht="15" customHeight="1" x14ac:dyDescent="0.25"/>
    <row r="7640" ht="15" customHeight="1" x14ac:dyDescent="0.25"/>
    <row r="7642" ht="15" customHeight="1" x14ac:dyDescent="0.25"/>
    <row r="7644" ht="15" customHeight="1" x14ac:dyDescent="0.25"/>
    <row r="7646" ht="15" customHeight="1" x14ac:dyDescent="0.25"/>
    <row r="7648" ht="15" customHeight="1" x14ac:dyDescent="0.25"/>
    <row r="7650" ht="15" customHeight="1" x14ac:dyDescent="0.25"/>
    <row r="7652" ht="15" customHeight="1" x14ac:dyDescent="0.25"/>
    <row r="7654" ht="15" customHeight="1" x14ac:dyDescent="0.25"/>
    <row r="7656" ht="15" customHeight="1" x14ac:dyDescent="0.25"/>
    <row r="7658" ht="15" customHeight="1" x14ac:dyDescent="0.25"/>
    <row r="7660" ht="15" customHeight="1" x14ac:dyDescent="0.25"/>
    <row r="7662" ht="15" customHeight="1" x14ac:dyDescent="0.25"/>
    <row r="7664" ht="15" customHeight="1" x14ac:dyDescent="0.25"/>
    <row r="7666" ht="15" customHeight="1" x14ac:dyDescent="0.25"/>
    <row r="7668" ht="15" customHeight="1" x14ac:dyDescent="0.25"/>
    <row r="7670" ht="15" customHeight="1" x14ac:dyDescent="0.25"/>
    <row r="7672" ht="15" customHeight="1" x14ac:dyDescent="0.25"/>
    <row r="7674" ht="15" customHeight="1" x14ac:dyDescent="0.25"/>
    <row r="7676" ht="15" customHeight="1" x14ac:dyDescent="0.25"/>
    <row r="7678" ht="15" customHeight="1" x14ac:dyDescent="0.25"/>
    <row r="7680" ht="15" customHeight="1" x14ac:dyDescent="0.25"/>
    <row r="7682" ht="15" customHeight="1" x14ac:dyDescent="0.25"/>
    <row r="7684" ht="15" customHeight="1" x14ac:dyDescent="0.25"/>
    <row r="7686" ht="15" customHeight="1" x14ac:dyDescent="0.25"/>
    <row r="7688" ht="15" customHeight="1" x14ac:dyDescent="0.25"/>
    <row r="7690" ht="15" customHeight="1" x14ac:dyDescent="0.25"/>
    <row r="7692" ht="15" customHeight="1" x14ac:dyDescent="0.25"/>
    <row r="7694" ht="15" customHeight="1" x14ac:dyDescent="0.25"/>
    <row r="7696" ht="15" customHeight="1" x14ac:dyDescent="0.25"/>
    <row r="7698" ht="15" customHeight="1" x14ac:dyDescent="0.25"/>
    <row r="7700" ht="15" customHeight="1" x14ac:dyDescent="0.25"/>
    <row r="7702" ht="15" customHeight="1" x14ac:dyDescent="0.25"/>
    <row r="7704" ht="15" customHeight="1" x14ac:dyDescent="0.25"/>
    <row r="7706" ht="15" customHeight="1" x14ac:dyDescent="0.25"/>
    <row r="7708" ht="15" customHeight="1" x14ac:dyDescent="0.25"/>
    <row r="7710" ht="15" customHeight="1" x14ac:dyDescent="0.25"/>
    <row r="7712" ht="15" customHeight="1" x14ac:dyDescent="0.25"/>
    <row r="7714" ht="15" customHeight="1" x14ac:dyDescent="0.25"/>
    <row r="7716" ht="15" customHeight="1" x14ac:dyDescent="0.25"/>
    <row r="7718" ht="15" customHeight="1" x14ac:dyDescent="0.25"/>
    <row r="7720" ht="15" customHeight="1" x14ac:dyDescent="0.25"/>
    <row r="7722" ht="15" customHeight="1" x14ac:dyDescent="0.25"/>
    <row r="7724" ht="15" customHeight="1" x14ac:dyDescent="0.25"/>
    <row r="7726" ht="15" customHeight="1" x14ac:dyDescent="0.25"/>
    <row r="7728" ht="15" customHeight="1" x14ac:dyDescent="0.25"/>
    <row r="7730" ht="15" customHeight="1" x14ac:dyDescent="0.25"/>
    <row r="7732" ht="15" customHeight="1" x14ac:dyDescent="0.25"/>
    <row r="7734" ht="15" customHeight="1" x14ac:dyDescent="0.25"/>
    <row r="7736" ht="15" customHeight="1" x14ac:dyDescent="0.25"/>
    <row r="7738" ht="15" customHeight="1" x14ac:dyDescent="0.25"/>
    <row r="7740" ht="15" customHeight="1" x14ac:dyDescent="0.25"/>
    <row r="7742" ht="15" customHeight="1" x14ac:dyDescent="0.25"/>
    <row r="7744" ht="15" customHeight="1" x14ac:dyDescent="0.25"/>
    <row r="7746" ht="15" customHeight="1" x14ac:dyDescent="0.25"/>
    <row r="7748" ht="15" customHeight="1" x14ac:dyDescent="0.25"/>
    <row r="7750" ht="15" customHeight="1" x14ac:dyDescent="0.25"/>
    <row r="7752" ht="15" customHeight="1" x14ac:dyDescent="0.25"/>
    <row r="7754" ht="15" customHeight="1" x14ac:dyDescent="0.25"/>
    <row r="7756" ht="15" customHeight="1" x14ac:dyDescent="0.25"/>
    <row r="7758" ht="15" customHeight="1" x14ac:dyDescent="0.25"/>
    <row r="7760" ht="15" customHeight="1" x14ac:dyDescent="0.25"/>
    <row r="7762" ht="15" customHeight="1" x14ac:dyDescent="0.25"/>
    <row r="7764" ht="15" customHeight="1" x14ac:dyDescent="0.25"/>
    <row r="7766" ht="15" customHeight="1" x14ac:dyDescent="0.25"/>
    <row r="7768" ht="15" customHeight="1" x14ac:dyDescent="0.25"/>
    <row r="7770" ht="15" customHeight="1" x14ac:dyDescent="0.25"/>
    <row r="7772" ht="15" customHeight="1" x14ac:dyDescent="0.25"/>
    <row r="7774" ht="15" customHeight="1" x14ac:dyDescent="0.25"/>
    <row r="7776" ht="15" customHeight="1" x14ac:dyDescent="0.25"/>
    <row r="7778" ht="15" customHeight="1" x14ac:dyDescent="0.25"/>
    <row r="7780" ht="15" customHeight="1" x14ac:dyDescent="0.25"/>
    <row r="7782" ht="15" customHeight="1" x14ac:dyDescent="0.25"/>
    <row r="7784" ht="15" customHeight="1" x14ac:dyDescent="0.25"/>
    <row r="7786" ht="15" customHeight="1" x14ac:dyDescent="0.25"/>
    <row r="7788" ht="15" customHeight="1" x14ac:dyDescent="0.25"/>
    <row r="7790" ht="15" customHeight="1" x14ac:dyDescent="0.25"/>
    <row r="7792" ht="15" customHeight="1" x14ac:dyDescent="0.25"/>
    <row r="7794" ht="15" customHeight="1" x14ac:dyDescent="0.25"/>
    <row r="7796" ht="15" customHeight="1" x14ac:dyDescent="0.25"/>
    <row r="7798" ht="15" customHeight="1" x14ac:dyDescent="0.25"/>
    <row r="7800" ht="15" customHeight="1" x14ac:dyDescent="0.25"/>
    <row r="7802" ht="15" customHeight="1" x14ac:dyDescent="0.25"/>
    <row r="7804" ht="15" customHeight="1" x14ac:dyDescent="0.25"/>
    <row r="7806" ht="15" customHeight="1" x14ac:dyDescent="0.25"/>
    <row r="7808" ht="15" customHeight="1" x14ac:dyDescent="0.25"/>
    <row r="7810" ht="15" customHeight="1" x14ac:dyDescent="0.25"/>
    <row r="7812" ht="15" customHeight="1" x14ac:dyDescent="0.25"/>
    <row r="7814" ht="15" customHeight="1" x14ac:dyDescent="0.25"/>
    <row r="7816" ht="15" customHeight="1" x14ac:dyDescent="0.25"/>
    <row r="7818" ht="15" customHeight="1" x14ac:dyDescent="0.25"/>
    <row r="7820" ht="15" customHeight="1" x14ac:dyDescent="0.25"/>
    <row r="7822" ht="15" customHeight="1" x14ac:dyDescent="0.25"/>
    <row r="7824" ht="15" customHeight="1" x14ac:dyDescent="0.25"/>
    <row r="7826" ht="15" customHeight="1" x14ac:dyDescent="0.25"/>
    <row r="7828" ht="15" customHeight="1" x14ac:dyDescent="0.25"/>
    <row r="7830" ht="15" customHeight="1" x14ac:dyDescent="0.25"/>
    <row r="7832" ht="15" customHeight="1" x14ac:dyDescent="0.25"/>
    <row r="7834" ht="15" customHeight="1" x14ac:dyDescent="0.25"/>
    <row r="7836" ht="15" customHeight="1" x14ac:dyDescent="0.25"/>
    <row r="7838" ht="15" customHeight="1" x14ac:dyDescent="0.25"/>
    <row r="7840" ht="15" customHeight="1" x14ac:dyDescent="0.25"/>
    <row r="7842" ht="15" customHeight="1" x14ac:dyDescent="0.25"/>
    <row r="7844" ht="15" customHeight="1" x14ac:dyDescent="0.25"/>
    <row r="7846" ht="15" customHeight="1" x14ac:dyDescent="0.25"/>
    <row r="7848" ht="15" customHeight="1" x14ac:dyDescent="0.25"/>
    <row r="7850" ht="15" customHeight="1" x14ac:dyDescent="0.25"/>
    <row r="7852" ht="15" customHeight="1" x14ac:dyDescent="0.25"/>
    <row r="7854" ht="15" customHeight="1" x14ac:dyDescent="0.25"/>
    <row r="7856" ht="15" customHeight="1" x14ac:dyDescent="0.25"/>
    <row r="7858" ht="15" customHeight="1" x14ac:dyDescent="0.25"/>
    <row r="7860" ht="15" customHeight="1" x14ac:dyDescent="0.25"/>
    <row r="7862" ht="15" customHeight="1" x14ac:dyDescent="0.25"/>
    <row r="7864" ht="15" customHeight="1" x14ac:dyDescent="0.25"/>
    <row r="7866" ht="15" customHeight="1" x14ac:dyDescent="0.25"/>
    <row r="7868" ht="15" customHeight="1" x14ac:dyDescent="0.25"/>
    <row r="7870" ht="15" customHeight="1" x14ac:dyDescent="0.25"/>
    <row r="7872" ht="15" customHeight="1" x14ac:dyDescent="0.25"/>
    <row r="7874" ht="15" customHeight="1" x14ac:dyDescent="0.25"/>
    <row r="7876" ht="15" customHeight="1" x14ac:dyDescent="0.25"/>
    <row r="7878" ht="15" customHeight="1" x14ac:dyDescent="0.25"/>
    <row r="7880" ht="15" customHeight="1" x14ac:dyDescent="0.25"/>
    <row r="7882" ht="15" customHeight="1" x14ac:dyDescent="0.25"/>
    <row r="7884" ht="15" customHeight="1" x14ac:dyDescent="0.25"/>
    <row r="7886" ht="15" customHeight="1" x14ac:dyDescent="0.25"/>
    <row r="7888" ht="15" customHeight="1" x14ac:dyDescent="0.25"/>
    <row r="7890" ht="15" customHeight="1" x14ac:dyDescent="0.25"/>
    <row r="7892" ht="15" customHeight="1" x14ac:dyDescent="0.25"/>
    <row r="7894" ht="15" customHeight="1" x14ac:dyDescent="0.25"/>
    <row r="7896" ht="15" customHeight="1" x14ac:dyDescent="0.25"/>
    <row r="7898" ht="15" customHeight="1" x14ac:dyDescent="0.25"/>
    <row r="7900" ht="15" customHeight="1" x14ac:dyDescent="0.25"/>
    <row r="7902" ht="15" customHeight="1" x14ac:dyDescent="0.25"/>
    <row r="7904" ht="15" customHeight="1" x14ac:dyDescent="0.25"/>
    <row r="7906" ht="15" customHeight="1" x14ac:dyDescent="0.25"/>
    <row r="7908" ht="15" customHeight="1" x14ac:dyDescent="0.25"/>
    <row r="7910" ht="15" customHeight="1" x14ac:dyDescent="0.25"/>
    <row r="7912" ht="15" customHeight="1" x14ac:dyDescent="0.25"/>
    <row r="7914" ht="15" customHeight="1" x14ac:dyDescent="0.25"/>
    <row r="7916" ht="15" customHeight="1" x14ac:dyDescent="0.25"/>
    <row r="7918" ht="15" customHeight="1" x14ac:dyDescent="0.25"/>
    <row r="7920" ht="15" customHeight="1" x14ac:dyDescent="0.25"/>
    <row r="7922" ht="15" customHeight="1" x14ac:dyDescent="0.25"/>
    <row r="7924" ht="15" customHeight="1" x14ac:dyDescent="0.25"/>
    <row r="7926" ht="15" customHeight="1" x14ac:dyDescent="0.25"/>
    <row r="7928" ht="15" customHeight="1" x14ac:dyDescent="0.25"/>
    <row r="7930" ht="15" customHeight="1" x14ac:dyDescent="0.25"/>
    <row r="7932" ht="15" customHeight="1" x14ac:dyDescent="0.25"/>
    <row r="7934" ht="15" customHeight="1" x14ac:dyDescent="0.25"/>
    <row r="7936" ht="15" customHeight="1" x14ac:dyDescent="0.25"/>
    <row r="7938" ht="15" customHeight="1" x14ac:dyDescent="0.25"/>
    <row r="7940" ht="15" customHeight="1" x14ac:dyDescent="0.25"/>
    <row r="7942" ht="15" customHeight="1" x14ac:dyDescent="0.25"/>
    <row r="7944" ht="15" customHeight="1" x14ac:dyDescent="0.25"/>
    <row r="7946" ht="15" customHeight="1" x14ac:dyDescent="0.25"/>
    <row r="7948" ht="15" customHeight="1" x14ac:dyDescent="0.25"/>
    <row r="7950" ht="15" customHeight="1" x14ac:dyDescent="0.25"/>
    <row r="7952" ht="15" customHeight="1" x14ac:dyDescent="0.25"/>
    <row r="7954" ht="15" customHeight="1" x14ac:dyDescent="0.25"/>
    <row r="7956" ht="15" customHeight="1" x14ac:dyDescent="0.25"/>
    <row r="7958" ht="15" customHeight="1" x14ac:dyDescent="0.25"/>
    <row r="7960" ht="15" customHeight="1" x14ac:dyDescent="0.25"/>
    <row r="7962" ht="15" customHeight="1" x14ac:dyDescent="0.25"/>
    <row r="7964" ht="15" customHeight="1" x14ac:dyDescent="0.25"/>
    <row r="7966" ht="15" customHeight="1" x14ac:dyDescent="0.25"/>
    <row r="7968" ht="15" customHeight="1" x14ac:dyDescent="0.25"/>
    <row r="7970" ht="15" customHeight="1" x14ac:dyDescent="0.25"/>
    <row r="7972" ht="15" customHeight="1" x14ac:dyDescent="0.25"/>
    <row r="7974" ht="15" customHeight="1" x14ac:dyDescent="0.25"/>
    <row r="7976" ht="15" customHeight="1" x14ac:dyDescent="0.25"/>
    <row r="7978" ht="15" customHeight="1" x14ac:dyDescent="0.25"/>
    <row r="7980" ht="15" customHeight="1" x14ac:dyDescent="0.25"/>
    <row r="7982" ht="15" customHeight="1" x14ac:dyDescent="0.25"/>
    <row r="7984" ht="15" customHeight="1" x14ac:dyDescent="0.25"/>
    <row r="7986" ht="15" customHeight="1" x14ac:dyDescent="0.25"/>
    <row r="7988" ht="15" customHeight="1" x14ac:dyDescent="0.25"/>
    <row r="7990" ht="15" customHeight="1" x14ac:dyDescent="0.25"/>
    <row r="7992" ht="15" customHeight="1" x14ac:dyDescent="0.25"/>
    <row r="7994" ht="15" customHeight="1" x14ac:dyDescent="0.25"/>
    <row r="7996" ht="15" customHeight="1" x14ac:dyDescent="0.25"/>
    <row r="7998" ht="15" customHeight="1" x14ac:dyDescent="0.25"/>
    <row r="8000" ht="15" customHeight="1" x14ac:dyDescent="0.25"/>
    <row r="8002" ht="15" customHeight="1" x14ac:dyDescent="0.25"/>
    <row r="8004" ht="15" customHeight="1" x14ac:dyDescent="0.25"/>
    <row r="8006" ht="15" customHeight="1" x14ac:dyDescent="0.25"/>
    <row r="8008" ht="15" customHeight="1" x14ac:dyDescent="0.25"/>
    <row r="8010" ht="15" customHeight="1" x14ac:dyDescent="0.25"/>
    <row r="8012" ht="15" customHeight="1" x14ac:dyDescent="0.25"/>
    <row r="8014" ht="15" customHeight="1" x14ac:dyDescent="0.25"/>
    <row r="8016" ht="15" customHeight="1" x14ac:dyDescent="0.25"/>
    <row r="8018" ht="15" customHeight="1" x14ac:dyDescent="0.25"/>
    <row r="8020" ht="15" customHeight="1" x14ac:dyDescent="0.25"/>
    <row r="8022" ht="15" customHeight="1" x14ac:dyDescent="0.25"/>
    <row r="8024" ht="15" customHeight="1" x14ac:dyDescent="0.25"/>
    <row r="8026" ht="15" customHeight="1" x14ac:dyDescent="0.25"/>
    <row r="8028" ht="15" customHeight="1" x14ac:dyDescent="0.25"/>
    <row r="8030" ht="15" customHeight="1" x14ac:dyDescent="0.25"/>
    <row r="8032" ht="15" customHeight="1" x14ac:dyDescent="0.25"/>
    <row r="8034" ht="15" customHeight="1" x14ac:dyDescent="0.25"/>
    <row r="8036" ht="15" customHeight="1" x14ac:dyDescent="0.25"/>
    <row r="8038" ht="15" customHeight="1" x14ac:dyDescent="0.25"/>
    <row r="8040" ht="15" customHeight="1" x14ac:dyDescent="0.25"/>
    <row r="8042" ht="15" customHeight="1" x14ac:dyDescent="0.25"/>
    <row r="8044" ht="15" customHeight="1" x14ac:dyDescent="0.25"/>
    <row r="8046" ht="15" customHeight="1" x14ac:dyDescent="0.25"/>
    <row r="8048" ht="15" customHeight="1" x14ac:dyDescent="0.25"/>
    <row r="8050" ht="15" customHeight="1" x14ac:dyDescent="0.25"/>
    <row r="8052" ht="15" customHeight="1" x14ac:dyDescent="0.25"/>
    <row r="8054" ht="15" customHeight="1" x14ac:dyDescent="0.25"/>
    <row r="8056" ht="15" customHeight="1" x14ac:dyDescent="0.25"/>
    <row r="8058" ht="15" customHeight="1" x14ac:dyDescent="0.25"/>
    <row r="8060" ht="15" customHeight="1" x14ac:dyDescent="0.25"/>
    <row r="8062" ht="15" customHeight="1" x14ac:dyDescent="0.25"/>
    <row r="8064" ht="15" customHeight="1" x14ac:dyDescent="0.25"/>
    <row r="8066" ht="15" customHeight="1" x14ac:dyDescent="0.25"/>
    <row r="8068" ht="15" customHeight="1" x14ac:dyDescent="0.25"/>
    <row r="8070" ht="15" customHeight="1" x14ac:dyDescent="0.25"/>
    <row r="8072" ht="15" customHeight="1" x14ac:dyDescent="0.25"/>
    <row r="8074" ht="15" customHeight="1" x14ac:dyDescent="0.25"/>
    <row r="8076" ht="15" customHeight="1" x14ac:dyDescent="0.25"/>
    <row r="8078" ht="15" customHeight="1" x14ac:dyDescent="0.25"/>
    <row r="8080" ht="15" customHeight="1" x14ac:dyDescent="0.25"/>
    <row r="8082" ht="15" customHeight="1" x14ac:dyDescent="0.25"/>
    <row r="8084" ht="15" customHeight="1" x14ac:dyDescent="0.25"/>
    <row r="8086" ht="15" customHeight="1" x14ac:dyDescent="0.25"/>
    <row r="8088" ht="15" customHeight="1" x14ac:dyDescent="0.25"/>
    <row r="8090" ht="15" customHeight="1" x14ac:dyDescent="0.25"/>
    <row r="8092" ht="15" customHeight="1" x14ac:dyDescent="0.25"/>
    <row r="8094" ht="15" customHeight="1" x14ac:dyDescent="0.25"/>
    <row r="8096" ht="15" customHeight="1" x14ac:dyDescent="0.25"/>
    <row r="8098" ht="15" customHeight="1" x14ac:dyDescent="0.25"/>
    <row r="8100" ht="15" customHeight="1" x14ac:dyDescent="0.25"/>
    <row r="8102" ht="15" customHeight="1" x14ac:dyDescent="0.25"/>
    <row r="8104" ht="15" customHeight="1" x14ac:dyDescent="0.25"/>
    <row r="8106" ht="15" customHeight="1" x14ac:dyDescent="0.25"/>
    <row r="8108" ht="15" customHeight="1" x14ac:dyDescent="0.25"/>
    <row r="8110" ht="15" customHeight="1" x14ac:dyDescent="0.25"/>
    <row r="8112" ht="15" customHeight="1" x14ac:dyDescent="0.25"/>
    <row r="8114" ht="15" customHeight="1" x14ac:dyDescent="0.25"/>
    <row r="8116" ht="15" customHeight="1" x14ac:dyDescent="0.25"/>
    <row r="8118" ht="15" customHeight="1" x14ac:dyDescent="0.25"/>
    <row r="8120" ht="15" customHeight="1" x14ac:dyDescent="0.25"/>
    <row r="8122" ht="15" customHeight="1" x14ac:dyDescent="0.25"/>
    <row r="8124" ht="15" customHeight="1" x14ac:dyDescent="0.25"/>
    <row r="8126" ht="15" customHeight="1" x14ac:dyDescent="0.25"/>
    <row r="8128" ht="15" customHeight="1" x14ac:dyDescent="0.25"/>
    <row r="8130" ht="15" customHeight="1" x14ac:dyDescent="0.25"/>
    <row r="8132" ht="15" customHeight="1" x14ac:dyDescent="0.25"/>
    <row r="8134" ht="15" customHeight="1" x14ac:dyDescent="0.25"/>
    <row r="8136" ht="15" customHeight="1" x14ac:dyDescent="0.25"/>
    <row r="8138" ht="15" customHeight="1" x14ac:dyDescent="0.25"/>
    <row r="8140" ht="15" customHeight="1" x14ac:dyDescent="0.25"/>
    <row r="8142" ht="15" customHeight="1" x14ac:dyDescent="0.25"/>
    <row r="8144" ht="15" customHeight="1" x14ac:dyDescent="0.25"/>
    <row r="8146" ht="15" customHeight="1" x14ac:dyDescent="0.25"/>
    <row r="8148" ht="15" customHeight="1" x14ac:dyDescent="0.25"/>
    <row r="8150" ht="15" customHeight="1" x14ac:dyDescent="0.25"/>
    <row r="8152" ht="15" customHeight="1" x14ac:dyDescent="0.25"/>
    <row r="8154" ht="15" customHeight="1" x14ac:dyDescent="0.25"/>
    <row r="8156" ht="15" customHeight="1" x14ac:dyDescent="0.25"/>
    <row r="8158" ht="15" customHeight="1" x14ac:dyDescent="0.25"/>
    <row r="8160" ht="15" customHeight="1" x14ac:dyDescent="0.25"/>
    <row r="8162" ht="15" customHeight="1" x14ac:dyDescent="0.25"/>
    <row r="8164" ht="15" customHeight="1" x14ac:dyDescent="0.25"/>
    <row r="8166" ht="15" customHeight="1" x14ac:dyDescent="0.25"/>
    <row r="8168" ht="15" customHeight="1" x14ac:dyDescent="0.25"/>
    <row r="8170" ht="15" customHeight="1" x14ac:dyDescent="0.25"/>
    <row r="8172" ht="15" customHeight="1" x14ac:dyDescent="0.25"/>
    <row r="8174" ht="15" customHeight="1" x14ac:dyDescent="0.25"/>
    <row r="8176" ht="15" customHeight="1" x14ac:dyDescent="0.25"/>
    <row r="8178" ht="15" customHeight="1" x14ac:dyDescent="0.25"/>
    <row r="8180" ht="15" customHeight="1" x14ac:dyDescent="0.25"/>
    <row r="8182" ht="15" customHeight="1" x14ac:dyDescent="0.25"/>
    <row r="8184" ht="15" customHeight="1" x14ac:dyDescent="0.25"/>
    <row r="8186" ht="15" customHeight="1" x14ac:dyDescent="0.25"/>
    <row r="8188" ht="15" customHeight="1" x14ac:dyDescent="0.25"/>
    <row r="8190" ht="15" customHeight="1" x14ac:dyDescent="0.25"/>
    <row r="8192" ht="15" customHeight="1" x14ac:dyDescent="0.25"/>
    <row r="8194" ht="15" customHeight="1" x14ac:dyDescent="0.25"/>
    <row r="8196" ht="15" customHeight="1" x14ac:dyDescent="0.25"/>
    <row r="8198" ht="15" customHeight="1" x14ac:dyDescent="0.25"/>
    <row r="8200" ht="15" customHeight="1" x14ac:dyDescent="0.25"/>
    <row r="8202" ht="15" customHeight="1" x14ac:dyDescent="0.25"/>
    <row r="8204" ht="15" customHeight="1" x14ac:dyDescent="0.25"/>
    <row r="8206" ht="15" customHeight="1" x14ac:dyDescent="0.25"/>
    <row r="8208" ht="15" customHeight="1" x14ac:dyDescent="0.25"/>
    <row r="8210" ht="15" customHeight="1" x14ac:dyDescent="0.25"/>
    <row r="8212" ht="15" customHeight="1" x14ac:dyDescent="0.25"/>
    <row r="8214" ht="15" customHeight="1" x14ac:dyDescent="0.25"/>
    <row r="8216" ht="15" customHeight="1" x14ac:dyDescent="0.25"/>
    <row r="8218" ht="15" customHeight="1" x14ac:dyDescent="0.25"/>
    <row r="8220" ht="15" customHeight="1" x14ac:dyDescent="0.25"/>
    <row r="8222" ht="15" customHeight="1" x14ac:dyDescent="0.25"/>
    <row r="8224" ht="15" customHeight="1" x14ac:dyDescent="0.25"/>
    <row r="8226" ht="15" customHeight="1" x14ac:dyDescent="0.25"/>
    <row r="8228" ht="15" customHeight="1" x14ac:dyDescent="0.25"/>
    <row r="8230" ht="15" customHeight="1" x14ac:dyDescent="0.25"/>
    <row r="8232" ht="15" customHeight="1" x14ac:dyDescent="0.25"/>
    <row r="8234" ht="15" customHeight="1" x14ac:dyDescent="0.25"/>
    <row r="8236" ht="15" customHeight="1" x14ac:dyDescent="0.25"/>
    <row r="8238" ht="15" customHeight="1" x14ac:dyDescent="0.25"/>
    <row r="8240" ht="15" customHeight="1" x14ac:dyDescent="0.25"/>
    <row r="8242" ht="15" customHeight="1" x14ac:dyDescent="0.25"/>
    <row r="8244" ht="15" customHeight="1" x14ac:dyDescent="0.25"/>
    <row r="8246" ht="15" customHeight="1" x14ac:dyDescent="0.25"/>
    <row r="8248" ht="15" customHeight="1" x14ac:dyDescent="0.25"/>
    <row r="8250" ht="15" customHeight="1" x14ac:dyDescent="0.25"/>
    <row r="8252" ht="15" customHeight="1" x14ac:dyDescent="0.25"/>
    <row r="8254" ht="15" customHeight="1" x14ac:dyDescent="0.25"/>
    <row r="8256" ht="15" customHeight="1" x14ac:dyDescent="0.25"/>
    <row r="8258" ht="15" customHeight="1" x14ac:dyDescent="0.25"/>
    <row r="8260" ht="15" customHeight="1" x14ac:dyDescent="0.25"/>
    <row r="8262" ht="15" customHeight="1" x14ac:dyDescent="0.25"/>
    <row r="8264" ht="15" customHeight="1" x14ac:dyDescent="0.25"/>
    <row r="8266" ht="15" customHeight="1" x14ac:dyDescent="0.25"/>
    <row r="8268" ht="15" customHeight="1" x14ac:dyDescent="0.25"/>
    <row r="8270" ht="15" customHeight="1" x14ac:dyDescent="0.25"/>
    <row r="8272" ht="15" customHeight="1" x14ac:dyDescent="0.25"/>
    <row r="8274" ht="15" customHeight="1" x14ac:dyDescent="0.25"/>
    <row r="8276" ht="15" customHeight="1" x14ac:dyDescent="0.25"/>
    <row r="8278" ht="15" customHeight="1" x14ac:dyDescent="0.25"/>
    <row r="8280" ht="15" customHeight="1" x14ac:dyDescent="0.25"/>
    <row r="8282" ht="15" customHeight="1" x14ac:dyDescent="0.25"/>
    <row r="8284" ht="15" customHeight="1" x14ac:dyDescent="0.25"/>
    <row r="8286" ht="15" customHeight="1" x14ac:dyDescent="0.25"/>
    <row r="8288" ht="15" customHeight="1" x14ac:dyDescent="0.25"/>
    <row r="8290" ht="15" customHeight="1" x14ac:dyDescent="0.25"/>
    <row r="8292" ht="15" customHeight="1" x14ac:dyDescent="0.25"/>
    <row r="8294" ht="15" customHeight="1" x14ac:dyDescent="0.25"/>
    <row r="8296" ht="15" customHeight="1" x14ac:dyDescent="0.25"/>
    <row r="8298" ht="15" customHeight="1" x14ac:dyDescent="0.25"/>
    <row r="8300" ht="15" customHeight="1" x14ac:dyDescent="0.25"/>
    <row r="8302" ht="15" customHeight="1" x14ac:dyDescent="0.25"/>
    <row r="8304" ht="15" customHeight="1" x14ac:dyDescent="0.25"/>
    <row r="8306" ht="15" customHeight="1" x14ac:dyDescent="0.25"/>
    <row r="8308" ht="15" customHeight="1" x14ac:dyDescent="0.25"/>
    <row r="8310" ht="15" customHeight="1" x14ac:dyDescent="0.25"/>
    <row r="8312" ht="15" customHeight="1" x14ac:dyDescent="0.25"/>
    <row r="8314" ht="15" customHeight="1" x14ac:dyDescent="0.25"/>
    <row r="8316" ht="15" customHeight="1" x14ac:dyDescent="0.25"/>
    <row r="8318" ht="15" customHeight="1" x14ac:dyDescent="0.25"/>
    <row r="8320" ht="15" customHeight="1" x14ac:dyDescent="0.25"/>
    <row r="8322" ht="15" customHeight="1" x14ac:dyDescent="0.25"/>
    <row r="8324" ht="15" customHeight="1" x14ac:dyDescent="0.25"/>
    <row r="8326" ht="15" customHeight="1" x14ac:dyDescent="0.25"/>
    <row r="8328" ht="15" customHeight="1" x14ac:dyDescent="0.25"/>
    <row r="8330" ht="15" customHeight="1" x14ac:dyDescent="0.25"/>
    <row r="8332" ht="15" customHeight="1" x14ac:dyDescent="0.25"/>
    <row r="8334" ht="15" customHeight="1" x14ac:dyDescent="0.25"/>
    <row r="8336" ht="15" customHeight="1" x14ac:dyDescent="0.25"/>
    <row r="8338" ht="15" customHeight="1" x14ac:dyDescent="0.25"/>
    <row r="8340" ht="15" customHeight="1" x14ac:dyDescent="0.25"/>
    <row r="8342" ht="15" customHeight="1" x14ac:dyDescent="0.25"/>
    <row r="8344" ht="15" customHeight="1" x14ac:dyDescent="0.25"/>
    <row r="8346" ht="15" customHeight="1" x14ac:dyDescent="0.25"/>
    <row r="8348" ht="15" customHeight="1" x14ac:dyDescent="0.25"/>
    <row r="8350" ht="15" customHeight="1" x14ac:dyDescent="0.25"/>
    <row r="8352" ht="15" customHeight="1" x14ac:dyDescent="0.25"/>
    <row r="8354" ht="15" customHeight="1" x14ac:dyDescent="0.25"/>
    <row r="8356" ht="15" customHeight="1" x14ac:dyDescent="0.25"/>
    <row r="8358" ht="15" customHeight="1" x14ac:dyDescent="0.25"/>
    <row r="8360" ht="15" customHeight="1" x14ac:dyDescent="0.25"/>
    <row r="8362" ht="15" customHeight="1" x14ac:dyDescent="0.25"/>
    <row r="8364" ht="15" customHeight="1" x14ac:dyDescent="0.25"/>
    <row r="8366" ht="15" customHeight="1" x14ac:dyDescent="0.25"/>
    <row r="8368" ht="15" customHeight="1" x14ac:dyDescent="0.25"/>
    <row r="8370" ht="15" customHeight="1" x14ac:dyDescent="0.25"/>
    <row r="8372" ht="15" customHeight="1" x14ac:dyDescent="0.25"/>
    <row r="8374" ht="15" customHeight="1" x14ac:dyDescent="0.25"/>
    <row r="8376" ht="15" customHeight="1" x14ac:dyDescent="0.25"/>
    <row r="8378" ht="15" customHeight="1" x14ac:dyDescent="0.25"/>
    <row r="8380" ht="15" customHeight="1" x14ac:dyDescent="0.25"/>
    <row r="8382" ht="15" customHeight="1" x14ac:dyDescent="0.25"/>
    <row r="8384" ht="15" customHeight="1" x14ac:dyDescent="0.25"/>
    <row r="8386" ht="15" customHeight="1" x14ac:dyDescent="0.25"/>
    <row r="8388" ht="15" customHeight="1" x14ac:dyDescent="0.25"/>
    <row r="8390" ht="15" customHeight="1" x14ac:dyDescent="0.25"/>
    <row r="8392" ht="15" customHeight="1" x14ac:dyDescent="0.25"/>
    <row r="8394" ht="15" customHeight="1" x14ac:dyDescent="0.25"/>
    <row r="8396" ht="15" customHeight="1" x14ac:dyDescent="0.25"/>
    <row r="8398" ht="15" customHeight="1" x14ac:dyDescent="0.25"/>
    <row r="8400" ht="15" customHeight="1" x14ac:dyDescent="0.25"/>
    <row r="8402" ht="15" customHeight="1" x14ac:dyDescent="0.25"/>
    <row r="8404" ht="15" customHeight="1" x14ac:dyDescent="0.25"/>
    <row r="8406" ht="15" customHeight="1" x14ac:dyDescent="0.25"/>
    <row r="8408" ht="15" customHeight="1" x14ac:dyDescent="0.25"/>
    <row r="8410" ht="15" customHeight="1" x14ac:dyDescent="0.25"/>
    <row r="8412" ht="15" customHeight="1" x14ac:dyDescent="0.25"/>
    <row r="8414" ht="15" customHeight="1" x14ac:dyDescent="0.25"/>
    <row r="8416" ht="15" customHeight="1" x14ac:dyDescent="0.25"/>
    <row r="8418" ht="15" customHeight="1" x14ac:dyDescent="0.25"/>
    <row r="8420" ht="15" customHeight="1" x14ac:dyDescent="0.25"/>
    <row r="8422" ht="15" customHeight="1" x14ac:dyDescent="0.25"/>
    <row r="8424" ht="15" customHeight="1" x14ac:dyDescent="0.25"/>
    <row r="8426" ht="15" customHeight="1" x14ac:dyDescent="0.25"/>
    <row r="8428" ht="15" customHeight="1" x14ac:dyDescent="0.25"/>
    <row r="8430" ht="15" customHeight="1" x14ac:dyDescent="0.25"/>
    <row r="8432" ht="15" customHeight="1" x14ac:dyDescent="0.25"/>
    <row r="8434" ht="15" customHeight="1" x14ac:dyDescent="0.25"/>
    <row r="8436" ht="15" customHeight="1" x14ac:dyDescent="0.25"/>
    <row r="8438" ht="15" customHeight="1" x14ac:dyDescent="0.25"/>
    <row r="8440" ht="15" customHeight="1" x14ac:dyDescent="0.25"/>
    <row r="8442" ht="15" customHeight="1" x14ac:dyDescent="0.25"/>
    <row r="8444" ht="15" customHeight="1" x14ac:dyDescent="0.25"/>
    <row r="8446" ht="15" customHeight="1" x14ac:dyDescent="0.25"/>
    <row r="8448" ht="15" customHeight="1" x14ac:dyDescent="0.25"/>
    <row r="8450" ht="15" customHeight="1" x14ac:dyDescent="0.25"/>
    <row r="8452" ht="15" customHeight="1" x14ac:dyDescent="0.25"/>
    <row r="8454" ht="15" customHeight="1" x14ac:dyDescent="0.25"/>
    <row r="8456" ht="15" customHeight="1" x14ac:dyDescent="0.25"/>
    <row r="8458" ht="15" customHeight="1" x14ac:dyDescent="0.25"/>
    <row r="8460" ht="15" customHeight="1" x14ac:dyDescent="0.25"/>
    <row r="8462" ht="15" customHeight="1" x14ac:dyDescent="0.25"/>
    <row r="8464" ht="15" customHeight="1" x14ac:dyDescent="0.25"/>
    <row r="8466" ht="15" customHeight="1" x14ac:dyDescent="0.25"/>
    <row r="8468" ht="15" customHeight="1" x14ac:dyDescent="0.25"/>
    <row r="8470" ht="15" customHeight="1" x14ac:dyDescent="0.25"/>
    <row r="8472" ht="15" customHeight="1" x14ac:dyDescent="0.25"/>
    <row r="8474" ht="15" customHeight="1" x14ac:dyDescent="0.25"/>
    <row r="8476" ht="15" customHeight="1" x14ac:dyDescent="0.25"/>
    <row r="8478" ht="15" customHeight="1" x14ac:dyDescent="0.25"/>
    <row r="8480" ht="15" customHeight="1" x14ac:dyDescent="0.25"/>
    <row r="8482" ht="15" customHeight="1" x14ac:dyDescent="0.25"/>
    <row r="8484" ht="15" customHeight="1" x14ac:dyDescent="0.25"/>
    <row r="8486" ht="15" customHeight="1" x14ac:dyDescent="0.25"/>
    <row r="8488" ht="15" customHeight="1" x14ac:dyDescent="0.25"/>
    <row r="8490" ht="15" customHeight="1" x14ac:dyDescent="0.25"/>
    <row r="8492" ht="15" customHeight="1" x14ac:dyDescent="0.25"/>
    <row r="8494" ht="15" customHeight="1" x14ac:dyDescent="0.25"/>
    <row r="8496" ht="15" customHeight="1" x14ac:dyDescent="0.25"/>
    <row r="8498" ht="15" customHeight="1" x14ac:dyDescent="0.25"/>
    <row r="8500" ht="15" customHeight="1" x14ac:dyDescent="0.25"/>
    <row r="8502" ht="15" customHeight="1" x14ac:dyDescent="0.25"/>
    <row r="8504" ht="15" customHeight="1" x14ac:dyDescent="0.25"/>
    <row r="8506" ht="15" customHeight="1" x14ac:dyDescent="0.25"/>
    <row r="8508" ht="15" customHeight="1" x14ac:dyDescent="0.25"/>
    <row r="8510" ht="15" customHeight="1" x14ac:dyDescent="0.25"/>
    <row r="8512" ht="15" customHeight="1" x14ac:dyDescent="0.25"/>
    <row r="8514" ht="15" customHeight="1" x14ac:dyDescent="0.25"/>
    <row r="8516" ht="15" customHeight="1" x14ac:dyDescent="0.25"/>
    <row r="8518" ht="15" customHeight="1" x14ac:dyDescent="0.25"/>
    <row r="8520" ht="15" customHeight="1" x14ac:dyDescent="0.25"/>
    <row r="8522" ht="15" customHeight="1" x14ac:dyDescent="0.25"/>
    <row r="8524" ht="15" customHeight="1" x14ac:dyDescent="0.25"/>
    <row r="8526" ht="15" customHeight="1" x14ac:dyDescent="0.25"/>
    <row r="8528" ht="15" customHeight="1" x14ac:dyDescent="0.25"/>
    <row r="8530" ht="15" customHeight="1" x14ac:dyDescent="0.25"/>
    <row r="8532" ht="15" customHeight="1" x14ac:dyDescent="0.25"/>
    <row r="8534" ht="15" customHeight="1" x14ac:dyDescent="0.25"/>
    <row r="8536" ht="15" customHeight="1" x14ac:dyDescent="0.25"/>
    <row r="8538" ht="15" customHeight="1" x14ac:dyDescent="0.25"/>
    <row r="8540" ht="15" customHeight="1" x14ac:dyDescent="0.25"/>
    <row r="8542" ht="15" customHeight="1" x14ac:dyDescent="0.25"/>
    <row r="8544" ht="15" customHeight="1" x14ac:dyDescent="0.25"/>
    <row r="8546" ht="15" customHeight="1" x14ac:dyDescent="0.25"/>
    <row r="8548" ht="15" customHeight="1" x14ac:dyDescent="0.25"/>
    <row r="8550" ht="15" customHeight="1" x14ac:dyDescent="0.25"/>
    <row r="8552" ht="15" customHeight="1" x14ac:dyDescent="0.25"/>
    <row r="8554" ht="15" customHeight="1" x14ac:dyDescent="0.25"/>
    <row r="8556" ht="15" customHeight="1" x14ac:dyDescent="0.25"/>
    <row r="8558" ht="15" customHeight="1" x14ac:dyDescent="0.25"/>
    <row r="8560" ht="15" customHeight="1" x14ac:dyDescent="0.25"/>
    <row r="8562" ht="15" customHeight="1" x14ac:dyDescent="0.25"/>
    <row r="8564" ht="15" customHeight="1" x14ac:dyDescent="0.25"/>
    <row r="8566" ht="15" customHeight="1" x14ac:dyDescent="0.25"/>
    <row r="8568" ht="15" customHeight="1" x14ac:dyDescent="0.25"/>
    <row r="8570" ht="15" customHeight="1" x14ac:dyDescent="0.25"/>
    <row r="8572" ht="15" customHeight="1" x14ac:dyDescent="0.25"/>
    <row r="8574" ht="15" customHeight="1" x14ac:dyDescent="0.25"/>
    <row r="8576" ht="15" customHeight="1" x14ac:dyDescent="0.25"/>
    <row r="8578" ht="15" customHeight="1" x14ac:dyDescent="0.25"/>
    <row r="8580" ht="15" customHeight="1" x14ac:dyDescent="0.25"/>
    <row r="8582" ht="15" customHeight="1" x14ac:dyDescent="0.25"/>
    <row r="8584" ht="15" customHeight="1" x14ac:dyDescent="0.25"/>
    <row r="8586" ht="15" customHeight="1" x14ac:dyDescent="0.25"/>
    <row r="8588" ht="15" customHeight="1" x14ac:dyDescent="0.25"/>
    <row r="8590" ht="15" customHeight="1" x14ac:dyDescent="0.25"/>
    <row r="8592" ht="15" customHeight="1" x14ac:dyDescent="0.25"/>
    <row r="8594" ht="15" customHeight="1" x14ac:dyDescent="0.25"/>
    <row r="8596" ht="15" customHeight="1" x14ac:dyDescent="0.25"/>
    <row r="8598" ht="15" customHeight="1" x14ac:dyDescent="0.25"/>
    <row r="8600" ht="15" customHeight="1" x14ac:dyDescent="0.25"/>
    <row r="8602" ht="15" customHeight="1" x14ac:dyDescent="0.25"/>
    <row r="8604" ht="15" customHeight="1" x14ac:dyDescent="0.25"/>
    <row r="8606" ht="15" customHeight="1" x14ac:dyDescent="0.25"/>
    <row r="8608" ht="15" customHeight="1" x14ac:dyDescent="0.25"/>
    <row r="8610" ht="15" customHeight="1" x14ac:dyDescent="0.25"/>
    <row r="8612" ht="15" customHeight="1" x14ac:dyDescent="0.25"/>
    <row r="8614" ht="15" customHeight="1" x14ac:dyDescent="0.25"/>
    <row r="8616" ht="15" customHeight="1" x14ac:dyDescent="0.25"/>
    <row r="8618" ht="15" customHeight="1" x14ac:dyDescent="0.25"/>
    <row r="8620" ht="15" customHeight="1" x14ac:dyDescent="0.25"/>
    <row r="8622" ht="15" customHeight="1" x14ac:dyDescent="0.25"/>
    <row r="8624" ht="15" customHeight="1" x14ac:dyDescent="0.25"/>
    <row r="8626" ht="15" customHeight="1" x14ac:dyDescent="0.25"/>
    <row r="8628" ht="15" customHeight="1" x14ac:dyDescent="0.25"/>
    <row r="8630" ht="15" customHeight="1" x14ac:dyDescent="0.25"/>
    <row r="8632" ht="15" customHeight="1" x14ac:dyDescent="0.25"/>
    <row r="8634" ht="15" customHeight="1" x14ac:dyDescent="0.25"/>
    <row r="8636" ht="15" customHeight="1" x14ac:dyDescent="0.25"/>
    <row r="8638" ht="15" customHeight="1" x14ac:dyDescent="0.25"/>
    <row r="8640" ht="15" customHeight="1" x14ac:dyDescent="0.25"/>
    <row r="8642" ht="15" customHeight="1" x14ac:dyDescent="0.25"/>
    <row r="8644" ht="15" customHeight="1" x14ac:dyDescent="0.25"/>
    <row r="8646" ht="15" customHeight="1" x14ac:dyDescent="0.25"/>
    <row r="8648" ht="15" customHeight="1" x14ac:dyDescent="0.25"/>
    <row r="8650" ht="15" customHeight="1" x14ac:dyDescent="0.25"/>
    <row r="8652" ht="15" customHeight="1" x14ac:dyDescent="0.25"/>
    <row r="8654" ht="15" customHeight="1" x14ac:dyDescent="0.25"/>
    <row r="8656" ht="15" customHeight="1" x14ac:dyDescent="0.25"/>
    <row r="8658" ht="15" customHeight="1" x14ac:dyDescent="0.25"/>
    <row r="8660" ht="15" customHeight="1" x14ac:dyDescent="0.25"/>
    <row r="8662" ht="15" customHeight="1" x14ac:dyDescent="0.25"/>
    <row r="8664" ht="15" customHeight="1" x14ac:dyDescent="0.25"/>
    <row r="8666" ht="15" customHeight="1" x14ac:dyDescent="0.25"/>
    <row r="8668" ht="15" customHeight="1" x14ac:dyDescent="0.25"/>
    <row r="8670" ht="15" customHeight="1" x14ac:dyDescent="0.25"/>
    <row r="8672" ht="15" customHeight="1" x14ac:dyDescent="0.25"/>
    <row r="8674" ht="15" customHeight="1" x14ac:dyDescent="0.25"/>
    <row r="8676" ht="15" customHeight="1" x14ac:dyDescent="0.25"/>
    <row r="8678" ht="15" customHeight="1" x14ac:dyDescent="0.25"/>
    <row r="8680" ht="15" customHeight="1" x14ac:dyDescent="0.25"/>
    <row r="8682" ht="15" customHeight="1" x14ac:dyDescent="0.25"/>
    <row r="8684" ht="15" customHeight="1" x14ac:dyDescent="0.25"/>
    <row r="8686" ht="15" customHeight="1" x14ac:dyDescent="0.25"/>
    <row r="8688" ht="15" customHeight="1" x14ac:dyDescent="0.25"/>
    <row r="8690" ht="15" customHeight="1" x14ac:dyDescent="0.25"/>
    <row r="8692" ht="15" customHeight="1" x14ac:dyDescent="0.25"/>
    <row r="8694" ht="15" customHeight="1" x14ac:dyDescent="0.25"/>
    <row r="8696" ht="15" customHeight="1" x14ac:dyDescent="0.25"/>
    <row r="8698" ht="15" customHeight="1" x14ac:dyDescent="0.25"/>
    <row r="8700" ht="15" customHeight="1" x14ac:dyDescent="0.25"/>
    <row r="8702" ht="15" customHeight="1" x14ac:dyDescent="0.25"/>
    <row r="8704" ht="15" customHeight="1" x14ac:dyDescent="0.25"/>
    <row r="8706" ht="15" customHeight="1" x14ac:dyDescent="0.25"/>
    <row r="8708" ht="15" customHeight="1" x14ac:dyDescent="0.25"/>
    <row r="8710" ht="15" customHeight="1" x14ac:dyDescent="0.25"/>
    <row r="8712" ht="15" customHeight="1" x14ac:dyDescent="0.25"/>
    <row r="8714" ht="15" customHeight="1" x14ac:dyDescent="0.25"/>
    <row r="8716" ht="15" customHeight="1" x14ac:dyDescent="0.25"/>
    <row r="8718" ht="15" customHeight="1" x14ac:dyDescent="0.25"/>
    <row r="8720" ht="15" customHeight="1" x14ac:dyDescent="0.25"/>
    <row r="8722" ht="15" customHeight="1" x14ac:dyDescent="0.25"/>
    <row r="8724" ht="15" customHeight="1" x14ac:dyDescent="0.25"/>
    <row r="8726" ht="15" customHeight="1" x14ac:dyDescent="0.25"/>
    <row r="8728" ht="15" customHeight="1" x14ac:dyDescent="0.25"/>
    <row r="8730" ht="15" customHeight="1" x14ac:dyDescent="0.25"/>
    <row r="8732" ht="15" customHeight="1" x14ac:dyDescent="0.25"/>
    <row r="8734" ht="15" customHeight="1" x14ac:dyDescent="0.25"/>
    <row r="8736" ht="15" customHeight="1" x14ac:dyDescent="0.25"/>
    <row r="8738" ht="15" customHeight="1" x14ac:dyDescent="0.25"/>
    <row r="8740" ht="15" customHeight="1" x14ac:dyDescent="0.25"/>
    <row r="8742" ht="15" customHeight="1" x14ac:dyDescent="0.25"/>
    <row r="8744" ht="15" customHeight="1" x14ac:dyDescent="0.25"/>
    <row r="8746" ht="15" customHeight="1" x14ac:dyDescent="0.25"/>
    <row r="8748" ht="15" customHeight="1" x14ac:dyDescent="0.25"/>
    <row r="8750" ht="15" customHeight="1" x14ac:dyDescent="0.25"/>
    <row r="8752" ht="15" customHeight="1" x14ac:dyDescent="0.25"/>
    <row r="8754" ht="15" customHeight="1" x14ac:dyDescent="0.25"/>
    <row r="8756" ht="15" customHeight="1" x14ac:dyDescent="0.25"/>
    <row r="8758" ht="15" customHeight="1" x14ac:dyDescent="0.25"/>
    <row r="8760" ht="15" customHeight="1" x14ac:dyDescent="0.25"/>
    <row r="8762" ht="15" customHeight="1" x14ac:dyDescent="0.25"/>
    <row r="8764" ht="15" customHeight="1" x14ac:dyDescent="0.25"/>
    <row r="8766" ht="15" customHeight="1" x14ac:dyDescent="0.25"/>
    <row r="8768" ht="15" customHeight="1" x14ac:dyDescent="0.25"/>
    <row r="8770" ht="15" customHeight="1" x14ac:dyDescent="0.25"/>
    <row r="8772" ht="15" customHeight="1" x14ac:dyDescent="0.25"/>
    <row r="8774" ht="15" customHeight="1" x14ac:dyDescent="0.25"/>
    <row r="8776" ht="15" customHeight="1" x14ac:dyDescent="0.25"/>
    <row r="8778" ht="15" customHeight="1" x14ac:dyDescent="0.25"/>
    <row r="8780" ht="15" customHeight="1" x14ac:dyDescent="0.25"/>
    <row r="8782" ht="15" customHeight="1" x14ac:dyDescent="0.25"/>
    <row r="8784" ht="15" customHeight="1" x14ac:dyDescent="0.25"/>
    <row r="8786" ht="15" customHeight="1" x14ac:dyDescent="0.25"/>
    <row r="8788" ht="15" customHeight="1" x14ac:dyDescent="0.25"/>
    <row r="8790" ht="15" customHeight="1" x14ac:dyDescent="0.25"/>
    <row r="8792" ht="15" customHeight="1" x14ac:dyDescent="0.25"/>
    <row r="8794" ht="15" customHeight="1" x14ac:dyDescent="0.25"/>
    <row r="8796" ht="15" customHeight="1" x14ac:dyDescent="0.25"/>
    <row r="8798" ht="15" customHeight="1" x14ac:dyDescent="0.25"/>
    <row r="8800" ht="15" customHeight="1" x14ac:dyDescent="0.25"/>
    <row r="8802" ht="15" customHeight="1" x14ac:dyDescent="0.25"/>
    <row r="8804" ht="15" customHeight="1" x14ac:dyDescent="0.25"/>
    <row r="8806" ht="15" customHeight="1" x14ac:dyDescent="0.25"/>
    <row r="8808" ht="15" customHeight="1" x14ac:dyDescent="0.25"/>
    <row r="8810" ht="15" customHeight="1" x14ac:dyDescent="0.25"/>
    <row r="8812" ht="15" customHeight="1" x14ac:dyDescent="0.25"/>
    <row r="8814" ht="15" customHeight="1" x14ac:dyDescent="0.25"/>
    <row r="8816" ht="15" customHeight="1" x14ac:dyDescent="0.25"/>
    <row r="8818" ht="15" customHeight="1" x14ac:dyDescent="0.25"/>
    <row r="8820" ht="15" customHeight="1" x14ac:dyDescent="0.25"/>
    <row r="8822" ht="15" customHeight="1" x14ac:dyDescent="0.25"/>
    <row r="8824" ht="15" customHeight="1" x14ac:dyDescent="0.25"/>
    <row r="8826" ht="15" customHeight="1" x14ac:dyDescent="0.25"/>
    <row r="8828" ht="15" customHeight="1" x14ac:dyDescent="0.25"/>
    <row r="8830" ht="15" customHeight="1" x14ac:dyDescent="0.25"/>
    <row r="8832" ht="15" customHeight="1" x14ac:dyDescent="0.25"/>
    <row r="8834" ht="15" customHeight="1" x14ac:dyDescent="0.25"/>
    <row r="8836" ht="15" customHeight="1" x14ac:dyDescent="0.25"/>
    <row r="8838" ht="15" customHeight="1" x14ac:dyDescent="0.25"/>
    <row r="8840" ht="15" customHeight="1" x14ac:dyDescent="0.25"/>
    <row r="8842" ht="15" customHeight="1" x14ac:dyDescent="0.25"/>
    <row r="8844" ht="15" customHeight="1" x14ac:dyDescent="0.25"/>
    <row r="8846" ht="15" customHeight="1" x14ac:dyDescent="0.25"/>
    <row r="8848" ht="15" customHeight="1" x14ac:dyDescent="0.25"/>
    <row r="8850" ht="15" customHeight="1" x14ac:dyDescent="0.25"/>
    <row r="8852" ht="15" customHeight="1" x14ac:dyDescent="0.25"/>
    <row r="8854" ht="15" customHeight="1" x14ac:dyDescent="0.25"/>
    <row r="8856" ht="15" customHeight="1" x14ac:dyDescent="0.25"/>
    <row r="8858" ht="15" customHeight="1" x14ac:dyDescent="0.25"/>
    <row r="8860" ht="15" customHeight="1" x14ac:dyDescent="0.25"/>
    <row r="8862" ht="15" customHeight="1" x14ac:dyDescent="0.25"/>
    <row r="8864" ht="15" customHeight="1" x14ac:dyDescent="0.25"/>
    <row r="8866" ht="15" customHeight="1" x14ac:dyDescent="0.25"/>
    <row r="8868" ht="15" customHeight="1" x14ac:dyDescent="0.25"/>
    <row r="8870" ht="15" customHeight="1" x14ac:dyDescent="0.25"/>
    <row r="8872" ht="15" customHeight="1" x14ac:dyDescent="0.25"/>
    <row r="8874" ht="15" customHeight="1" x14ac:dyDescent="0.25"/>
    <row r="8876" ht="15" customHeight="1" x14ac:dyDescent="0.25"/>
    <row r="8878" ht="15" customHeight="1" x14ac:dyDescent="0.25"/>
    <row r="8880" ht="15" customHeight="1" x14ac:dyDescent="0.25"/>
    <row r="8882" ht="15" customHeight="1" x14ac:dyDescent="0.25"/>
    <row r="8884" ht="15" customHeight="1" x14ac:dyDescent="0.25"/>
    <row r="8886" ht="15" customHeight="1" x14ac:dyDescent="0.25"/>
    <row r="8888" ht="15" customHeight="1" x14ac:dyDescent="0.25"/>
    <row r="8890" ht="15" customHeight="1" x14ac:dyDescent="0.25"/>
    <row r="8892" ht="15" customHeight="1" x14ac:dyDescent="0.25"/>
    <row r="8894" ht="15" customHeight="1" x14ac:dyDescent="0.25"/>
    <row r="8896" ht="15" customHeight="1" x14ac:dyDescent="0.25"/>
    <row r="8898" ht="15" customHeight="1" x14ac:dyDescent="0.25"/>
    <row r="8900" ht="15" customHeight="1" x14ac:dyDescent="0.25"/>
    <row r="8902" ht="15" customHeight="1" x14ac:dyDescent="0.25"/>
    <row r="8904" ht="15" customHeight="1" x14ac:dyDescent="0.25"/>
    <row r="8906" ht="15" customHeight="1" x14ac:dyDescent="0.25"/>
    <row r="8908" ht="15" customHeight="1" x14ac:dyDescent="0.25"/>
    <row r="8910" ht="15" customHeight="1" x14ac:dyDescent="0.25"/>
    <row r="8912" ht="15" customHeight="1" x14ac:dyDescent="0.25"/>
    <row r="8914" ht="15" customHeight="1" x14ac:dyDescent="0.25"/>
    <row r="8916" ht="15" customHeight="1" x14ac:dyDescent="0.25"/>
    <row r="8918" ht="15" customHeight="1" x14ac:dyDescent="0.25"/>
    <row r="8920" ht="15" customHeight="1" x14ac:dyDescent="0.25"/>
    <row r="8922" ht="15" customHeight="1" x14ac:dyDescent="0.25"/>
    <row r="8924" ht="15" customHeight="1" x14ac:dyDescent="0.25"/>
    <row r="8926" ht="15" customHeight="1" x14ac:dyDescent="0.25"/>
    <row r="8928" ht="15" customHeight="1" x14ac:dyDescent="0.25"/>
    <row r="8930" ht="15" customHeight="1" x14ac:dyDescent="0.25"/>
    <row r="8932" ht="15" customHeight="1" x14ac:dyDescent="0.25"/>
    <row r="8934" ht="15" customHeight="1" x14ac:dyDescent="0.25"/>
    <row r="8936" ht="15" customHeight="1" x14ac:dyDescent="0.25"/>
    <row r="8938" ht="15" customHeight="1" x14ac:dyDescent="0.25"/>
    <row r="8940" ht="15" customHeight="1" x14ac:dyDescent="0.25"/>
    <row r="8942" ht="15" customHeight="1" x14ac:dyDescent="0.25"/>
    <row r="8944" ht="15" customHeight="1" x14ac:dyDescent="0.25"/>
    <row r="8946" ht="15" customHeight="1" x14ac:dyDescent="0.25"/>
    <row r="8948" ht="15" customHeight="1" x14ac:dyDescent="0.25"/>
    <row r="8950" ht="15" customHeight="1" x14ac:dyDescent="0.25"/>
    <row r="8952" ht="15" customHeight="1" x14ac:dyDescent="0.25"/>
    <row r="8954" ht="15" customHeight="1" x14ac:dyDescent="0.25"/>
    <row r="8956" ht="15" customHeight="1" x14ac:dyDescent="0.25"/>
    <row r="8958" ht="15" customHeight="1" x14ac:dyDescent="0.25"/>
    <row r="8960" ht="15" customHeight="1" x14ac:dyDescent="0.25"/>
    <row r="8962" ht="15" customHeight="1" x14ac:dyDescent="0.25"/>
    <row r="8964" ht="15" customHeight="1" x14ac:dyDescent="0.25"/>
    <row r="8966" ht="15" customHeight="1" x14ac:dyDescent="0.25"/>
    <row r="8968" ht="15" customHeight="1" x14ac:dyDescent="0.25"/>
    <row r="8970" ht="15" customHeight="1" x14ac:dyDescent="0.25"/>
    <row r="8972" ht="15" customHeight="1" x14ac:dyDescent="0.25"/>
    <row r="8974" ht="15" customHeight="1" x14ac:dyDescent="0.25"/>
    <row r="8976" ht="15" customHeight="1" x14ac:dyDescent="0.25"/>
    <row r="8978" ht="15" customHeight="1" x14ac:dyDescent="0.25"/>
    <row r="8980" ht="15" customHeight="1" x14ac:dyDescent="0.25"/>
    <row r="8982" ht="15" customHeight="1" x14ac:dyDescent="0.25"/>
    <row r="8984" ht="15" customHeight="1" x14ac:dyDescent="0.25"/>
    <row r="8986" ht="15" customHeight="1" x14ac:dyDescent="0.25"/>
    <row r="8988" ht="15" customHeight="1" x14ac:dyDescent="0.25"/>
    <row r="8990" ht="15" customHeight="1" x14ac:dyDescent="0.25"/>
    <row r="8992" ht="15" customHeight="1" x14ac:dyDescent="0.25"/>
    <row r="8994" ht="15" customHeight="1" x14ac:dyDescent="0.25"/>
    <row r="8996" ht="15" customHeight="1" x14ac:dyDescent="0.25"/>
    <row r="8998" ht="15" customHeight="1" x14ac:dyDescent="0.25"/>
    <row r="9000" ht="15" customHeight="1" x14ac:dyDescent="0.25"/>
    <row r="9002" ht="15" customHeight="1" x14ac:dyDescent="0.25"/>
    <row r="9004" ht="15" customHeight="1" x14ac:dyDescent="0.25"/>
    <row r="9006" ht="15" customHeight="1" x14ac:dyDescent="0.25"/>
    <row r="9008" ht="15" customHeight="1" x14ac:dyDescent="0.25"/>
    <row r="9010" ht="15" customHeight="1" x14ac:dyDescent="0.25"/>
    <row r="9012" ht="15" customHeight="1" x14ac:dyDescent="0.25"/>
    <row r="9014" ht="15" customHeight="1" x14ac:dyDescent="0.25"/>
    <row r="9016" ht="15" customHeight="1" x14ac:dyDescent="0.25"/>
    <row r="9018" ht="15" customHeight="1" x14ac:dyDescent="0.25"/>
    <row r="9020" ht="15" customHeight="1" x14ac:dyDescent="0.25"/>
    <row r="9022" ht="15" customHeight="1" x14ac:dyDescent="0.25"/>
    <row r="9024" ht="15" customHeight="1" x14ac:dyDescent="0.25"/>
    <row r="9026" ht="15" customHeight="1" x14ac:dyDescent="0.25"/>
    <row r="9028" ht="15" customHeight="1" x14ac:dyDescent="0.25"/>
    <row r="9030" ht="15" customHeight="1" x14ac:dyDescent="0.25"/>
    <row r="9032" ht="15" customHeight="1" x14ac:dyDescent="0.25"/>
    <row r="9034" ht="15" customHeight="1" x14ac:dyDescent="0.25"/>
    <row r="9036" ht="15" customHeight="1" x14ac:dyDescent="0.25"/>
    <row r="9038" ht="15" customHeight="1" x14ac:dyDescent="0.25"/>
    <row r="9040" ht="15" customHeight="1" x14ac:dyDescent="0.25"/>
    <row r="9042" ht="15" customHeight="1" x14ac:dyDescent="0.25"/>
    <row r="9044" ht="15" customHeight="1" x14ac:dyDescent="0.25"/>
    <row r="9046" ht="15" customHeight="1" x14ac:dyDescent="0.25"/>
    <row r="9048" ht="15" customHeight="1" x14ac:dyDescent="0.25"/>
    <row r="9050" ht="15" customHeight="1" x14ac:dyDescent="0.25"/>
    <row r="9052" ht="15" customHeight="1" x14ac:dyDescent="0.25"/>
    <row r="9054" ht="15" customHeight="1" x14ac:dyDescent="0.25"/>
    <row r="9056" ht="15" customHeight="1" x14ac:dyDescent="0.25"/>
    <row r="9058" ht="15" customHeight="1" x14ac:dyDescent="0.25"/>
    <row r="9060" ht="15" customHeight="1" x14ac:dyDescent="0.25"/>
    <row r="9062" ht="15" customHeight="1" x14ac:dyDescent="0.25"/>
    <row r="9064" ht="15" customHeight="1" x14ac:dyDescent="0.25"/>
    <row r="9066" ht="15" customHeight="1" x14ac:dyDescent="0.25"/>
    <row r="9068" ht="15" customHeight="1" x14ac:dyDescent="0.25"/>
    <row r="9070" ht="15" customHeight="1" x14ac:dyDescent="0.25"/>
    <row r="9072" ht="15" customHeight="1" x14ac:dyDescent="0.25"/>
    <row r="9074" ht="15" customHeight="1" x14ac:dyDescent="0.25"/>
    <row r="9076" ht="15" customHeight="1" x14ac:dyDescent="0.25"/>
    <row r="9078" ht="15" customHeight="1" x14ac:dyDescent="0.25"/>
    <row r="9080" ht="15" customHeight="1" x14ac:dyDescent="0.25"/>
    <row r="9082" ht="15" customHeight="1" x14ac:dyDescent="0.25"/>
    <row r="9084" ht="15" customHeight="1" x14ac:dyDescent="0.25"/>
    <row r="9086" ht="15" customHeight="1" x14ac:dyDescent="0.25"/>
    <row r="9088" ht="15" customHeight="1" x14ac:dyDescent="0.25"/>
    <row r="9090" ht="15" customHeight="1" x14ac:dyDescent="0.25"/>
    <row r="9092" ht="15" customHeight="1" x14ac:dyDescent="0.25"/>
    <row r="9094" ht="15" customHeight="1" x14ac:dyDescent="0.25"/>
    <row r="9096" ht="15" customHeight="1" x14ac:dyDescent="0.25"/>
    <row r="9098" ht="15" customHeight="1" x14ac:dyDescent="0.25"/>
    <row r="9100" ht="15" customHeight="1" x14ac:dyDescent="0.25"/>
    <row r="9102" ht="15" customHeight="1" x14ac:dyDescent="0.25"/>
    <row r="9104" ht="15" customHeight="1" x14ac:dyDescent="0.25"/>
    <row r="9106" ht="15" customHeight="1" x14ac:dyDescent="0.25"/>
    <row r="9108" ht="15" customHeight="1" x14ac:dyDescent="0.25"/>
    <row r="9110" ht="15" customHeight="1" x14ac:dyDescent="0.25"/>
    <row r="9112" ht="15" customHeight="1" x14ac:dyDescent="0.25"/>
    <row r="9114" ht="15" customHeight="1" x14ac:dyDescent="0.25"/>
    <row r="9116" ht="15" customHeight="1" x14ac:dyDescent="0.25"/>
    <row r="9118" ht="15" customHeight="1" x14ac:dyDescent="0.25"/>
    <row r="9120" ht="15" customHeight="1" x14ac:dyDescent="0.25"/>
    <row r="9122" ht="15" customHeight="1" x14ac:dyDescent="0.25"/>
    <row r="9124" ht="15" customHeight="1" x14ac:dyDescent="0.25"/>
    <row r="9126" ht="15" customHeight="1" x14ac:dyDescent="0.25"/>
    <row r="9128" ht="15" customHeight="1" x14ac:dyDescent="0.25"/>
    <row r="9130" ht="15" customHeight="1" x14ac:dyDescent="0.25"/>
    <row r="9132" ht="15" customHeight="1" x14ac:dyDescent="0.25"/>
    <row r="9134" ht="15" customHeight="1" x14ac:dyDescent="0.25"/>
    <row r="9136" ht="15" customHeight="1" x14ac:dyDescent="0.25"/>
    <row r="9138" ht="15" customHeight="1" x14ac:dyDescent="0.25"/>
    <row r="9140" ht="15" customHeight="1" x14ac:dyDescent="0.25"/>
    <row r="9142" ht="15" customHeight="1" x14ac:dyDescent="0.25"/>
    <row r="9144" ht="15" customHeight="1" x14ac:dyDescent="0.25"/>
    <row r="9146" ht="15" customHeight="1" x14ac:dyDescent="0.25"/>
    <row r="9148" ht="15" customHeight="1" x14ac:dyDescent="0.25"/>
    <row r="9150" ht="15" customHeight="1" x14ac:dyDescent="0.25"/>
    <row r="9152" ht="15" customHeight="1" x14ac:dyDescent="0.25"/>
    <row r="9154" ht="15" customHeight="1" x14ac:dyDescent="0.25"/>
    <row r="9156" ht="15" customHeight="1" x14ac:dyDescent="0.25"/>
    <row r="9158" ht="15" customHeight="1" x14ac:dyDescent="0.25"/>
    <row r="9160" ht="15" customHeight="1" x14ac:dyDescent="0.25"/>
    <row r="9162" ht="15" customHeight="1" x14ac:dyDescent="0.25"/>
    <row r="9164" ht="15" customHeight="1" x14ac:dyDescent="0.25"/>
    <row r="9166" ht="15" customHeight="1" x14ac:dyDescent="0.25"/>
    <row r="9168" ht="15" customHeight="1" x14ac:dyDescent="0.25"/>
    <row r="9170" ht="15" customHeight="1" x14ac:dyDescent="0.25"/>
    <row r="9172" ht="15" customHeight="1" x14ac:dyDescent="0.25"/>
    <row r="9174" ht="15" customHeight="1" x14ac:dyDescent="0.25"/>
    <row r="9176" ht="15" customHeight="1" x14ac:dyDescent="0.25"/>
    <row r="9178" ht="15" customHeight="1" x14ac:dyDescent="0.25"/>
    <row r="9180" ht="15" customHeight="1" x14ac:dyDescent="0.25"/>
    <row r="9182" ht="15" customHeight="1" x14ac:dyDescent="0.25"/>
    <row r="9184" ht="15" customHeight="1" x14ac:dyDescent="0.25"/>
    <row r="9186" ht="15" customHeight="1" x14ac:dyDescent="0.25"/>
    <row r="9188" ht="15" customHeight="1" x14ac:dyDescent="0.25"/>
    <row r="9190" ht="15" customHeight="1" x14ac:dyDescent="0.25"/>
    <row r="9192" ht="15" customHeight="1" x14ac:dyDescent="0.25"/>
    <row r="9194" ht="15" customHeight="1" x14ac:dyDescent="0.25"/>
    <row r="9196" ht="15" customHeight="1" x14ac:dyDescent="0.25"/>
    <row r="9198" ht="15" customHeight="1" x14ac:dyDescent="0.25"/>
    <row r="9200" ht="15" customHeight="1" x14ac:dyDescent="0.25"/>
    <row r="9202" ht="15" customHeight="1" x14ac:dyDescent="0.25"/>
    <row r="9204" ht="15" customHeight="1" x14ac:dyDescent="0.25"/>
    <row r="9206" ht="15" customHeight="1" x14ac:dyDescent="0.25"/>
    <row r="9208" ht="15" customHeight="1" x14ac:dyDescent="0.25"/>
    <row r="9210" ht="15" customHeight="1" x14ac:dyDescent="0.25"/>
    <row r="9212" ht="15" customHeight="1" x14ac:dyDescent="0.25"/>
    <row r="9214" ht="15" customHeight="1" x14ac:dyDescent="0.25"/>
    <row r="9216" ht="15" customHeight="1" x14ac:dyDescent="0.25"/>
    <row r="9218" ht="15" customHeight="1" x14ac:dyDescent="0.25"/>
    <row r="9220" ht="15" customHeight="1" x14ac:dyDescent="0.25"/>
    <row r="9222" ht="15" customHeight="1" x14ac:dyDescent="0.25"/>
    <row r="9224" ht="15" customHeight="1" x14ac:dyDescent="0.25"/>
    <row r="9226" ht="15" customHeight="1" x14ac:dyDescent="0.25"/>
    <row r="9228" ht="15" customHeight="1" x14ac:dyDescent="0.25"/>
    <row r="9230" ht="15" customHeight="1" x14ac:dyDescent="0.25"/>
    <row r="9232" ht="15" customHeight="1" x14ac:dyDescent="0.25"/>
    <row r="9234" ht="15" customHeight="1" x14ac:dyDescent="0.25"/>
    <row r="9236" ht="15" customHeight="1" x14ac:dyDescent="0.25"/>
    <row r="9238" ht="15" customHeight="1" x14ac:dyDescent="0.25"/>
    <row r="9240" ht="15" customHeight="1" x14ac:dyDescent="0.25"/>
    <row r="9242" ht="15" customHeight="1" x14ac:dyDescent="0.25"/>
    <row r="9244" ht="15" customHeight="1" x14ac:dyDescent="0.25"/>
    <row r="9246" ht="15" customHeight="1" x14ac:dyDescent="0.25"/>
    <row r="9248" ht="15" customHeight="1" x14ac:dyDescent="0.25"/>
    <row r="9250" ht="15" customHeight="1" x14ac:dyDescent="0.25"/>
    <row r="9252" ht="15" customHeight="1" x14ac:dyDescent="0.25"/>
    <row r="9254" ht="15" customHeight="1" x14ac:dyDescent="0.25"/>
    <row r="9256" ht="15" customHeight="1" x14ac:dyDescent="0.25"/>
    <row r="9258" ht="15" customHeight="1" x14ac:dyDescent="0.25"/>
    <row r="9260" ht="15" customHeight="1" x14ac:dyDescent="0.25"/>
    <row r="9262" ht="15" customHeight="1" x14ac:dyDescent="0.25"/>
    <row r="9264" ht="15" customHeight="1" x14ac:dyDescent="0.25"/>
    <row r="9266" ht="15" customHeight="1" x14ac:dyDescent="0.25"/>
    <row r="9268" ht="15" customHeight="1" x14ac:dyDescent="0.25"/>
    <row r="9270" ht="15" customHeight="1" x14ac:dyDescent="0.25"/>
    <row r="9272" ht="15" customHeight="1" x14ac:dyDescent="0.25"/>
    <row r="9274" ht="15" customHeight="1" x14ac:dyDescent="0.25"/>
    <row r="9276" ht="15" customHeight="1" x14ac:dyDescent="0.25"/>
    <row r="9278" ht="15" customHeight="1" x14ac:dyDescent="0.25"/>
    <row r="9280" ht="15" customHeight="1" x14ac:dyDescent="0.25"/>
    <row r="9282" ht="15" customHeight="1" x14ac:dyDescent="0.25"/>
    <row r="9284" ht="15" customHeight="1" x14ac:dyDescent="0.25"/>
    <row r="9286" ht="15" customHeight="1" x14ac:dyDescent="0.25"/>
    <row r="9288" ht="15" customHeight="1" x14ac:dyDescent="0.25"/>
    <row r="9290" ht="15" customHeight="1" x14ac:dyDescent="0.25"/>
    <row r="9292" ht="15" customHeight="1" x14ac:dyDescent="0.25"/>
    <row r="9294" ht="15" customHeight="1" x14ac:dyDescent="0.25"/>
    <row r="9296" ht="15" customHeight="1" x14ac:dyDescent="0.25"/>
    <row r="9298" ht="15" customHeight="1" x14ac:dyDescent="0.25"/>
    <row r="9300" ht="15" customHeight="1" x14ac:dyDescent="0.25"/>
    <row r="9302" ht="15" customHeight="1" x14ac:dyDescent="0.25"/>
    <row r="9304" ht="15" customHeight="1" x14ac:dyDescent="0.25"/>
    <row r="9306" ht="15" customHeight="1" x14ac:dyDescent="0.25"/>
    <row r="9308" ht="15" customHeight="1" x14ac:dyDescent="0.25"/>
    <row r="9310" ht="15" customHeight="1" x14ac:dyDescent="0.25"/>
    <row r="9312" ht="15" customHeight="1" x14ac:dyDescent="0.25"/>
    <row r="9314" ht="15" customHeight="1" x14ac:dyDescent="0.25"/>
    <row r="9316" ht="15" customHeight="1" x14ac:dyDescent="0.25"/>
    <row r="9318" ht="15" customHeight="1" x14ac:dyDescent="0.25"/>
    <row r="9320" ht="15" customHeight="1" x14ac:dyDescent="0.25"/>
    <row r="9322" ht="15" customHeight="1" x14ac:dyDescent="0.25"/>
    <row r="9324" ht="15" customHeight="1" x14ac:dyDescent="0.25"/>
    <row r="9326" ht="15" customHeight="1" x14ac:dyDescent="0.25"/>
    <row r="9328" ht="15" customHeight="1" x14ac:dyDescent="0.25"/>
    <row r="9330" ht="15" customHeight="1" x14ac:dyDescent="0.25"/>
    <row r="9332" ht="15" customHeight="1" x14ac:dyDescent="0.25"/>
    <row r="9334" ht="15" customHeight="1" x14ac:dyDescent="0.25"/>
    <row r="9336" ht="15" customHeight="1" x14ac:dyDescent="0.25"/>
    <row r="9338" ht="15" customHeight="1" x14ac:dyDescent="0.25"/>
    <row r="9340" ht="15" customHeight="1" x14ac:dyDescent="0.25"/>
    <row r="9342" ht="15" customHeight="1" x14ac:dyDescent="0.25"/>
    <row r="9344" ht="15" customHeight="1" x14ac:dyDescent="0.25"/>
    <row r="9346" ht="15" customHeight="1" x14ac:dyDescent="0.25"/>
    <row r="9348" ht="15" customHeight="1" x14ac:dyDescent="0.25"/>
    <row r="9350" ht="15" customHeight="1" x14ac:dyDescent="0.25"/>
    <row r="9352" ht="15" customHeight="1" x14ac:dyDescent="0.25"/>
    <row r="9354" ht="15" customHeight="1" x14ac:dyDescent="0.25"/>
    <row r="9356" ht="15" customHeight="1" x14ac:dyDescent="0.25"/>
    <row r="9358" ht="15" customHeight="1" x14ac:dyDescent="0.25"/>
    <row r="9360" ht="15" customHeight="1" x14ac:dyDescent="0.25"/>
    <row r="9362" ht="15" customHeight="1" x14ac:dyDescent="0.25"/>
    <row r="9364" ht="15" customHeight="1" x14ac:dyDescent="0.25"/>
    <row r="9366" ht="15" customHeight="1" x14ac:dyDescent="0.25"/>
    <row r="9368" ht="15" customHeight="1" x14ac:dyDescent="0.25"/>
    <row r="9370" ht="15" customHeight="1" x14ac:dyDescent="0.25"/>
    <row r="9372" ht="15" customHeight="1" x14ac:dyDescent="0.25"/>
    <row r="9374" ht="15" customHeight="1" x14ac:dyDescent="0.25"/>
    <row r="9376" ht="15" customHeight="1" x14ac:dyDescent="0.25"/>
    <row r="9378" ht="15" customHeight="1" x14ac:dyDescent="0.25"/>
    <row r="9380" ht="15" customHeight="1" x14ac:dyDescent="0.25"/>
    <row r="9382" ht="15" customHeight="1" x14ac:dyDescent="0.25"/>
    <row r="9384" ht="15" customHeight="1" x14ac:dyDescent="0.25"/>
    <row r="9386" ht="15" customHeight="1" x14ac:dyDescent="0.25"/>
    <row r="9388" ht="15" customHeight="1" x14ac:dyDescent="0.25"/>
    <row r="9390" ht="15" customHeight="1" x14ac:dyDescent="0.25"/>
    <row r="9392" ht="15" customHeight="1" x14ac:dyDescent="0.25"/>
    <row r="9394" ht="15" customHeight="1" x14ac:dyDescent="0.25"/>
    <row r="9396" ht="15" customHeight="1" x14ac:dyDescent="0.25"/>
    <row r="9398" ht="15" customHeight="1" x14ac:dyDescent="0.25"/>
    <row r="9400" ht="15" customHeight="1" x14ac:dyDescent="0.25"/>
    <row r="9402" ht="15" customHeight="1" x14ac:dyDescent="0.25"/>
    <row r="9404" ht="15" customHeight="1" x14ac:dyDescent="0.25"/>
    <row r="9406" ht="15" customHeight="1" x14ac:dyDescent="0.25"/>
    <row r="9408" ht="15" customHeight="1" x14ac:dyDescent="0.25"/>
    <row r="9410" ht="15" customHeight="1" x14ac:dyDescent="0.25"/>
    <row r="9412" ht="15" customHeight="1" x14ac:dyDescent="0.25"/>
    <row r="9414" ht="15" customHeight="1" x14ac:dyDescent="0.25"/>
    <row r="9416" ht="15" customHeight="1" x14ac:dyDescent="0.25"/>
    <row r="9418" ht="15" customHeight="1" x14ac:dyDescent="0.25"/>
    <row r="9420" ht="15" customHeight="1" x14ac:dyDescent="0.25"/>
    <row r="9422" ht="15" customHeight="1" x14ac:dyDescent="0.25"/>
    <row r="9424" ht="15" customHeight="1" x14ac:dyDescent="0.25"/>
    <row r="9426" ht="15" customHeight="1" x14ac:dyDescent="0.25"/>
    <row r="9428" ht="15" customHeight="1" x14ac:dyDescent="0.25"/>
    <row r="9430" ht="15" customHeight="1" x14ac:dyDescent="0.25"/>
    <row r="9432" ht="15" customHeight="1" x14ac:dyDescent="0.25"/>
    <row r="9434" ht="15" customHeight="1" x14ac:dyDescent="0.25"/>
    <row r="9436" ht="15" customHeight="1" x14ac:dyDescent="0.25"/>
    <row r="9438" ht="15" customHeight="1" x14ac:dyDescent="0.25"/>
    <row r="9440" ht="15" customHeight="1" x14ac:dyDescent="0.25"/>
    <row r="9442" ht="15" customHeight="1" x14ac:dyDescent="0.25"/>
    <row r="9444" ht="15" customHeight="1" x14ac:dyDescent="0.25"/>
    <row r="9446" ht="15" customHeight="1" x14ac:dyDescent="0.25"/>
    <row r="9448" ht="15" customHeight="1" x14ac:dyDescent="0.25"/>
    <row r="9450" ht="15" customHeight="1" x14ac:dyDescent="0.25"/>
    <row r="9452" ht="15" customHeight="1" x14ac:dyDescent="0.25"/>
    <row r="9454" ht="15" customHeight="1" x14ac:dyDescent="0.25"/>
    <row r="9456" ht="15" customHeight="1" x14ac:dyDescent="0.25"/>
    <row r="9458" ht="15" customHeight="1" x14ac:dyDescent="0.25"/>
    <row r="9460" ht="15" customHeight="1" x14ac:dyDescent="0.25"/>
    <row r="9462" ht="15" customHeight="1" x14ac:dyDescent="0.25"/>
    <row r="9464" ht="15" customHeight="1" x14ac:dyDescent="0.25"/>
    <row r="9466" ht="15" customHeight="1" x14ac:dyDescent="0.25"/>
    <row r="9468" ht="15" customHeight="1" x14ac:dyDescent="0.25"/>
    <row r="9470" ht="15" customHeight="1" x14ac:dyDescent="0.25"/>
    <row r="9472" ht="15" customHeight="1" x14ac:dyDescent="0.25"/>
    <row r="9474" ht="15" customHeight="1" x14ac:dyDescent="0.25"/>
    <row r="9476" ht="15" customHeight="1" x14ac:dyDescent="0.25"/>
    <row r="9478" ht="15" customHeight="1" x14ac:dyDescent="0.25"/>
    <row r="9480" ht="15" customHeight="1" x14ac:dyDescent="0.25"/>
    <row r="9482" ht="15" customHeight="1" x14ac:dyDescent="0.25"/>
    <row r="9484" ht="15" customHeight="1" x14ac:dyDescent="0.25"/>
    <row r="9486" ht="15" customHeight="1" x14ac:dyDescent="0.25"/>
    <row r="9488" ht="15" customHeight="1" x14ac:dyDescent="0.25"/>
    <row r="9490" ht="15" customHeight="1" x14ac:dyDescent="0.25"/>
    <row r="9492" ht="15" customHeight="1" x14ac:dyDescent="0.25"/>
    <row r="9494" ht="15" customHeight="1" x14ac:dyDescent="0.25"/>
    <row r="9496" ht="15" customHeight="1" x14ac:dyDescent="0.25"/>
    <row r="9498" ht="15" customHeight="1" x14ac:dyDescent="0.25"/>
    <row r="9500" ht="15" customHeight="1" x14ac:dyDescent="0.25"/>
    <row r="9502" ht="15" customHeight="1" x14ac:dyDescent="0.25"/>
    <row r="9504" ht="15" customHeight="1" x14ac:dyDescent="0.25"/>
    <row r="9506" ht="15" customHeight="1" x14ac:dyDescent="0.25"/>
    <row r="9508" ht="15" customHeight="1" x14ac:dyDescent="0.25"/>
    <row r="9510" ht="15" customHeight="1" x14ac:dyDescent="0.25"/>
    <row r="9512" ht="15" customHeight="1" x14ac:dyDescent="0.25"/>
    <row r="9514" ht="15" customHeight="1" x14ac:dyDescent="0.25"/>
    <row r="9516" ht="15" customHeight="1" x14ac:dyDescent="0.25"/>
    <row r="9518" ht="15" customHeight="1" x14ac:dyDescent="0.25"/>
    <row r="9520" ht="15" customHeight="1" x14ac:dyDescent="0.25"/>
    <row r="9522" ht="15" customHeight="1" x14ac:dyDescent="0.25"/>
    <row r="9524" ht="15" customHeight="1" x14ac:dyDescent="0.25"/>
    <row r="9526" ht="15" customHeight="1" x14ac:dyDescent="0.25"/>
    <row r="9528" ht="15" customHeight="1" x14ac:dyDescent="0.25"/>
    <row r="9530" ht="15" customHeight="1" x14ac:dyDescent="0.25"/>
    <row r="9532" ht="15" customHeight="1" x14ac:dyDescent="0.25"/>
    <row r="9534" ht="15" customHeight="1" x14ac:dyDescent="0.25"/>
    <row r="9536" ht="15" customHeight="1" x14ac:dyDescent="0.25"/>
    <row r="9538" ht="15" customHeight="1" x14ac:dyDescent="0.25"/>
    <row r="9540" ht="15" customHeight="1" x14ac:dyDescent="0.25"/>
    <row r="9542" ht="15" customHeight="1" x14ac:dyDescent="0.25"/>
    <row r="9544" ht="15" customHeight="1" x14ac:dyDescent="0.25"/>
    <row r="9546" ht="15" customHeight="1" x14ac:dyDescent="0.25"/>
    <row r="9548" ht="15" customHeight="1" x14ac:dyDescent="0.25"/>
    <row r="9550" ht="15" customHeight="1" x14ac:dyDescent="0.25"/>
    <row r="9552" ht="15" customHeight="1" x14ac:dyDescent="0.25"/>
    <row r="9554" ht="15" customHeight="1" x14ac:dyDescent="0.25"/>
    <row r="9556" ht="15" customHeight="1" x14ac:dyDescent="0.25"/>
    <row r="9558" ht="15" customHeight="1" x14ac:dyDescent="0.25"/>
    <row r="9560" ht="15" customHeight="1" x14ac:dyDescent="0.25"/>
    <row r="9562" ht="15" customHeight="1" x14ac:dyDescent="0.25"/>
    <row r="9564" ht="15" customHeight="1" x14ac:dyDescent="0.25"/>
    <row r="9566" ht="15" customHeight="1" x14ac:dyDescent="0.25"/>
    <row r="9568" ht="15" customHeight="1" x14ac:dyDescent="0.25"/>
    <row r="9570" ht="15" customHeight="1" x14ac:dyDescent="0.25"/>
    <row r="9572" ht="15" customHeight="1" x14ac:dyDescent="0.25"/>
    <row r="9574" ht="15" customHeight="1" x14ac:dyDescent="0.25"/>
    <row r="9576" ht="15" customHeight="1" x14ac:dyDescent="0.25"/>
    <row r="9578" ht="15" customHeight="1" x14ac:dyDescent="0.25"/>
    <row r="9580" ht="15" customHeight="1" x14ac:dyDescent="0.25"/>
    <row r="9582" ht="15" customHeight="1" x14ac:dyDescent="0.25"/>
    <row r="9584" ht="15" customHeight="1" x14ac:dyDescent="0.25"/>
    <row r="9586" ht="15" customHeight="1" x14ac:dyDescent="0.25"/>
    <row r="9588" ht="15" customHeight="1" x14ac:dyDescent="0.25"/>
    <row r="9590" ht="15" customHeight="1" x14ac:dyDescent="0.25"/>
    <row r="9592" ht="15" customHeight="1" x14ac:dyDescent="0.25"/>
    <row r="9594" ht="15" customHeight="1" x14ac:dyDescent="0.25"/>
    <row r="9596" ht="15" customHeight="1" x14ac:dyDescent="0.25"/>
    <row r="9598" ht="15" customHeight="1" x14ac:dyDescent="0.25"/>
    <row r="9600" ht="15" customHeight="1" x14ac:dyDescent="0.25"/>
    <row r="9602" ht="15" customHeight="1" x14ac:dyDescent="0.25"/>
    <row r="9604" ht="15" customHeight="1" x14ac:dyDescent="0.25"/>
    <row r="9606" ht="15" customHeight="1" x14ac:dyDescent="0.25"/>
    <row r="9608" ht="15" customHeight="1" x14ac:dyDescent="0.25"/>
    <row r="9610" ht="15" customHeight="1" x14ac:dyDescent="0.25"/>
    <row r="9612" ht="15" customHeight="1" x14ac:dyDescent="0.25"/>
    <row r="9614" ht="15" customHeight="1" x14ac:dyDescent="0.25"/>
    <row r="9616" ht="15" customHeight="1" x14ac:dyDescent="0.25"/>
    <row r="9618" ht="15" customHeight="1" x14ac:dyDescent="0.25"/>
    <row r="9620" ht="15" customHeight="1" x14ac:dyDescent="0.25"/>
    <row r="9622" ht="15" customHeight="1" x14ac:dyDescent="0.25"/>
    <row r="9624" ht="15" customHeight="1" x14ac:dyDescent="0.25"/>
    <row r="9626" ht="15" customHeight="1" x14ac:dyDescent="0.25"/>
    <row r="9628" ht="15" customHeight="1" x14ac:dyDescent="0.25"/>
    <row r="9630" ht="15" customHeight="1" x14ac:dyDescent="0.25"/>
    <row r="9632" ht="15" customHeight="1" x14ac:dyDescent="0.25"/>
    <row r="9634" ht="15" customHeight="1" x14ac:dyDescent="0.25"/>
    <row r="9636" ht="15" customHeight="1" x14ac:dyDescent="0.25"/>
    <row r="9638" ht="15" customHeight="1" x14ac:dyDescent="0.25"/>
    <row r="9640" ht="15" customHeight="1" x14ac:dyDescent="0.25"/>
    <row r="9642" ht="15" customHeight="1" x14ac:dyDescent="0.25"/>
    <row r="9644" ht="15" customHeight="1" x14ac:dyDescent="0.25"/>
    <row r="9646" ht="15" customHeight="1" x14ac:dyDescent="0.25"/>
    <row r="9648" ht="15" customHeight="1" x14ac:dyDescent="0.25"/>
    <row r="9650" ht="15" customHeight="1" x14ac:dyDescent="0.25"/>
    <row r="9652" ht="15" customHeight="1" x14ac:dyDescent="0.25"/>
    <row r="9654" ht="15" customHeight="1" x14ac:dyDescent="0.25"/>
    <row r="9656" ht="15" customHeight="1" x14ac:dyDescent="0.25"/>
    <row r="9658" ht="15" customHeight="1" x14ac:dyDescent="0.25"/>
    <row r="9660" ht="15" customHeight="1" x14ac:dyDescent="0.25"/>
    <row r="9662" ht="15" customHeight="1" x14ac:dyDescent="0.25"/>
    <row r="9664" ht="15" customHeight="1" x14ac:dyDescent="0.25"/>
    <row r="9666" ht="15" customHeight="1" x14ac:dyDescent="0.25"/>
    <row r="9668" ht="15" customHeight="1" x14ac:dyDescent="0.25"/>
    <row r="9670" ht="15" customHeight="1" x14ac:dyDescent="0.25"/>
    <row r="9672" ht="15" customHeight="1" x14ac:dyDescent="0.25"/>
    <row r="9674" ht="15" customHeight="1" x14ac:dyDescent="0.25"/>
    <row r="9676" ht="15" customHeight="1" x14ac:dyDescent="0.25"/>
    <row r="9678" ht="15" customHeight="1" x14ac:dyDescent="0.25"/>
    <row r="9680" ht="15" customHeight="1" x14ac:dyDescent="0.25"/>
    <row r="9682" ht="15" customHeight="1" x14ac:dyDescent="0.25"/>
    <row r="9684" ht="15" customHeight="1" x14ac:dyDescent="0.25"/>
    <row r="9686" ht="15" customHeight="1" x14ac:dyDescent="0.25"/>
    <row r="9688" ht="15" customHeight="1" x14ac:dyDescent="0.25"/>
    <row r="9690" ht="15" customHeight="1" x14ac:dyDescent="0.25"/>
    <row r="9692" ht="15" customHeight="1" x14ac:dyDescent="0.25"/>
    <row r="9694" ht="15" customHeight="1" x14ac:dyDescent="0.25"/>
    <row r="9696" ht="15" customHeight="1" x14ac:dyDescent="0.25"/>
    <row r="9698" ht="15" customHeight="1" x14ac:dyDescent="0.25"/>
    <row r="9700" ht="15" customHeight="1" x14ac:dyDescent="0.25"/>
    <row r="9702" ht="15" customHeight="1" x14ac:dyDescent="0.25"/>
    <row r="9704" ht="15" customHeight="1" x14ac:dyDescent="0.25"/>
    <row r="9706" ht="15" customHeight="1" x14ac:dyDescent="0.25"/>
    <row r="9708" ht="15" customHeight="1" x14ac:dyDescent="0.25"/>
    <row r="9710" ht="15" customHeight="1" x14ac:dyDescent="0.25"/>
    <row r="9712" ht="15" customHeight="1" x14ac:dyDescent="0.25"/>
    <row r="9714" ht="15" customHeight="1" x14ac:dyDescent="0.25"/>
    <row r="9716" ht="15" customHeight="1" x14ac:dyDescent="0.25"/>
    <row r="9718" ht="15" customHeight="1" x14ac:dyDescent="0.25"/>
    <row r="9720" ht="15" customHeight="1" x14ac:dyDescent="0.25"/>
    <row r="9722" ht="15" customHeight="1" x14ac:dyDescent="0.25"/>
    <row r="9724" ht="15" customHeight="1" x14ac:dyDescent="0.25"/>
    <row r="9726" ht="15" customHeight="1" x14ac:dyDescent="0.25"/>
    <row r="9728" ht="15" customHeight="1" x14ac:dyDescent="0.25"/>
    <row r="9730" ht="15" customHeight="1" x14ac:dyDescent="0.25"/>
    <row r="9732" ht="15" customHeight="1" x14ac:dyDescent="0.25"/>
    <row r="9734" ht="15" customHeight="1" x14ac:dyDescent="0.25"/>
    <row r="9736" ht="15" customHeight="1" x14ac:dyDescent="0.25"/>
    <row r="9738" ht="15" customHeight="1" x14ac:dyDescent="0.25"/>
    <row r="9740" ht="15" customHeight="1" x14ac:dyDescent="0.25"/>
    <row r="9742" ht="15" customHeight="1" x14ac:dyDescent="0.25"/>
    <row r="9744" ht="15" customHeight="1" x14ac:dyDescent="0.25"/>
    <row r="9746" ht="15" customHeight="1" x14ac:dyDescent="0.25"/>
    <row r="9748" ht="15" customHeight="1" x14ac:dyDescent="0.25"/>
    <row r="9750" ht="15" customHeight="1" x14ac:dyDescent="0.25"/>
    <row r="9752" ht="15" customHeight="1" x14ac:dyDescent="0.25"/>
    <row r="9754" ht="15" customHeight="1" x14ac:dyDescent="0.25"/>
    <row r="9756" ht="15" customHeight="1" x14ac:dyDescent="0.25"/>
    <row r="9758" ht="15" customHeight="1" x14ac:dyDescent="0.25"/>
    <row r="9760" ht="15" customHeight="1" x14ac:dyDescent="0.25"/>
    <row r="9762" ht="15" customHeight="1" x14ac:dyDescent="0.25"/>
    <row r="9764" ht="15" customHeight="1" x14ac:dyDescent="0.25"/>
    <row r="9766" ht="15" customHeight="1" x14ac:dyDescent="0.25"/>
    <row r="9768" ht="15" customHeight="1" x14ac:dyDescent="0.25"/>
    <row r="9770" ht="15" customHeight="1" x14ac:dyDescent="0.25"/>
    <row r="9772" ht="15" customHeight="1" x14ac:dyDescent="0.25"/>
    <row r="9774" ht="15" customHeight="1" x14ac:dyDescent="0.25"/>
    <row r="9776" ht="15" customHeight="1" x14ac:dyDescent="0.25"/>
    <row r="9778" ht="15" customHeight="1" x14ac:dyDescent="0.25"/>
    <row r="9780" ht="15" customHeight="1" x14ac:dyDescent="0.25"/>
    <row r="9782" ht="15" customHeight="1" x14ac:dyDescent="0.25"/>
    <row r="9784" ht="15" customHeight="1" x14ac:dyDescent="0.25"/>
    <row r="9786" ht="15" customHeight="1" x14ac:dyDescent="0.25"/>
    <row r="9788" ht="15" customHeight="1" x14ac:dyDescent="0.25"/>
    <row r="9790" ht="15" customHeight="1" x14ac:dyDescent="0.25"/>
    <row r="9792" ht="15" customHeight="1" x14ac:dyDescent="0.25"/>
    <row r="9794" ht="15" customHeight="1" x14ac:dyDescent="0.25"/>
    <row r="9796" ht="15" customHeight="1" x14ac:dyDescent="0.25"/>
    <row r="9798" ht="15" customHeight="1" x14ac:dyDescent="0.25"/>
    <row r="9800" ht="15" customHeight="1" x14ac:dyDescent="0.25"/>
    <row r="9802" ht="15" customHeight="1" x14ac:dyDescent="0.25"/>
    <row r="9804" ht="15" customHeight="1" x14ac:dyDescent="0.25"/>
    <row r="9806" ht="15" customHeight="1" x14ac:dyDescent="0.25"/>
    <row r="9808" ht="15" customHeight="1" x14ac:dyDescent="0.25"/>
    <row r="9810" ht="15" customHeight="1" x14ac:dyDescent="0.25"/>
    <row r="9812" ht="15" customHeight="1" x14ac:dyDescent="0.25"/>
    <row r="9814" ht="15" customHeight="1" x14ac:dyDescent="0.25"/>
    <row r="9816" ht="15" customHeight="1" x14ac:dyDescent="0.25"/>
    <row r="9818" ht="15" customHeight="1" x14ac:dyDescent="0.25"/>
    <row r="9820" ht="15" customHeight="1" x14ac:dyDescent="0.25"/>
    <row r="9822" ht="15" customHeight="1" x14ac:dyDescent="0.25"/>
    <row r="9824" ht="15" customHeight="1" x14ac:dyDescent="0.25"/>
    <row r="9826" ht="15" customHeight="1" x14ac:dyDescent="0.25"/>
    <row r="9828" ht="15" customHeight="1" x14ac:dyDescent="0.25"/>
    <row r="9830" ht="15" customHeight="1" x14ac:dyDescent="0.25"/>
    <row r="9832" ht="15" customHeight="1" x14ac:dyDescent="0.25"/>
    <row r="9834" ht="15" customHeight="1" x14ac:dyDescent="0.25"/>
    <row r="9836" ht="15" customHeight="1" x14ac:dyDescent="0.25"/>
    <row r="9838" ht="15" customHeight="1" x14ac:dyDescent="0.25"/>
    <row r="9840" ht="15" customHeight="1" x14ac:dyDescent="0.25"/>
    <row r="9842" ht="15" customHeight="1" x14ac:dyDescent="0.25"/>
    <row r="9844" ht="15" customHeight="1" x14ac:dyDescent="0.25"/>
    <row r="9846" ht="15" customHeight="1" x14ac:dyDescent="0.25"/>
    <row r="9848" ht="15" customHeight="1" x14ac:dyDescent="0.25"/>
    <row r="9850" ht="15" customHeight="1" x14ac:dyDescent="0.25"/>
    <row r="9852" ht="15" customHeight="1" x14ac:dyDescent="0.25"/>
    <row r="9854" ht="15" customHeight="1" x14ac:dyDescent="0.25"/>
    <row r="9856" ht="15" customHeight="1" x14ac:dyDescent="0.25"/>
    <row r="9858" ht="15" customHeight="1" x14ac:dyDescent="0.25"/>
    <row r="9860" ht="15" customHeight="1" x14ac:dyDescent="0.25"/>
    <row r="9862" ht="15" customHeight="1" x14ac:dyDescent="0.25"/>
    <row r="9864" ht="15" customHeight="1" x14ac:dyDescent="0.25"/>
    <row r="9866" ht="15" customHeight="1" x14ac:dyDescent="0.25"/>
    <row r="9868" ht="15" customHeight="1" x14ac:dyDescent="0.25"/>
    <row r="9870" ht="15" customHeight="1" x14ac:dyDescent="0.25"/>
    <row r="9872" ht="15" customHeight="1" x14ac:dyDescent="0.25"/>
    <row r="9874" ht="15" customHeight="1" x14ac:dyDescent="0.25"/>
    <row r="9876" ht="15" customHeight="1" x14ac:dyDescent="0.25"/>
    <row r="9878" ht="15" customHeight="1" x14ac:dyDescent="0.25"/>
    <row r="9880" ht="15" customHeight="1" x14ac:dyDescent="0.25"/>
    <row r="9882" ht="15" customHeight="1" x14ac:dyDescent="0.25"/>
    <row r="9884" ht="15" customHeight="1" x14ac:dyDescent="0.25"/>
    <row r="9886" ht="15" customHeight="1" x14ac:dyDescent="0.25"/>
    <row r="9888" ht="15" customHeight="1" x14ac:dyDescent="0.25"/>
    <row r="9890" ht="15" customHeight="1" x14ac:dyDescent="0.25"/>
    <row r="9892" ht="15" customHeight="1" x14ac:dyDescent="0.25"/>
    <row r="9894" ht="15" customHeight="1" x14ac:dyDescent="0.25"/>
    <row r="9896" ht="15" customHeight="1" x14ac:dyDescent="0.25"/>
    <row r="9898" ht="15" customHeight="1" x14ac:dyDescent="0.25"/>
    <row r="9900" ht="15" customHeight="1" x14ac:dyDescent="0.25"/>
    <row r="9902" ht="15" customHeight="1" x14ac:dyDescent="0.25"/>
    <row r="9904" ht="15" customHeight="1" x14ac:dyDescent="0.25"/>
    <row r="9906" ht="15" customHeight="1" x14ac:dyDescent="0.25"/>
    <row r="9908" ht="15" customHeight="1" x14ac:dyDescent="0.25"/>
    <row r="9910" ht="15" customHeight="1" x14ac:dyDescent="0.25"/>
    <row r="9912" ht="15" customHeight="1" x14ac:dyDescent="0.25"/>
    <row r="9914" ht="15" customHeight="1" x14ac:dyDescent="0.25"/>
    <row r="9916" ht="15" customHeight="1" x14ac:dyDescent="0.25"/>
    <row r="9918" ht="15" customHeight="1" x14ac:dyDescent="0.25"/>
    <row r="9920" ht="15" customHeight="1" x14ac:dyDescent="0.25"/>
    <row r="9922" ht="15" customHeight="1" x14ac:dyDescent="0.25"/>
    <row r="9924" ht="15" customHeight="1" x14ac:dyDescent="0.25"/>
    <row r="9926" ht="15" customHeight="1" x14ac:dyDescent="0.25"/>
    <row r="9928" ht="15" customHeight="1" x14ac:dyDescent="0.25"/>
    <row r="9930" ht="15" customHeight="1" x14ac:dyDescent="0.25"/>
    <row r="9932" ht="15" customHeight="1" x14ac:dyDescent="0.25"/>
    <row r="9934" ht="15" customHeight="1" x14ac:dyDescent="0.25"/>
    <row r="9936" ht="15" customHeight="1" x14ac:dyDescent="0.25"/>
    <row r="9938" ht="15" customHeight="1" x14ac:dyDescent="0.25"/>
    <row r="9940" ht="15" customHeight="1" x14ac:dyDescent="0.25"/>
    <row r="9942" ht="15" customHeight="1" x14ac:dyDescent="0.25"/>
    <row r="9944" ht="15" customHeight="1" x14ac:dyDescent="0.25"/>
    <row r="9946" ht="15" customHeight="1" x14ac:dyDescent="0.25"/>
    <row r="9948" ht="15" customHeight="1" x14ac:dyDescent="0.25"/>
    <row r="9950" ht="15" customHeight="1" x14ac:dyDescent="0.25"/>
    <row r="9952" ht="15" customHeight="1" x14ac:dyDescent="0.25"/>
    <row r="9954" ht="15" customHeight="1" x14ac:dyDescent="0.25"/>
    <row r="9956" ht="15" customHeight="1" x14ac:dyDescent="0.25"/>
    <row r="9958" ht="15" customHeight="1" x14ac:dyDescent="0.25"/>
    <row r="9960" ht="15" customHeight="1" x14ac:dyDescent="0.25"/>
    <row r="9962" ht="15" customHeight="1" x14ac:dyDescent="0.25"/>
    <row r="9964" ht="15" customHeight="1" x14ac:dyDescent="0.25"/>
    <row r="9966" ht="15" customHeight="1" x14ac:dyDescent="0.25"/>
    <row r="9968" ht="15" customHeight="1" x14ac:dyDescent="0.25"/>
    <row r="9970" ht="15" customHeight="1" x14ac:dyDescent="0.25"/>
    <row r="9972" ht="15" customHeight="1" x14ac:dyDescent="0.25"/>
    <row r="9974" ht="15" customHeight="1" x14ac:dyDescent="0.25"/>
    <row r="9976" ht="15" customHeight="1" x14ac:dyDescent="0.25"/>
    <row r="9978" ht="15" customHeight="1" x14ac:dyDescent="0.25"/>
    <row r="9980" ht="15" customHeight="1" x14ac:dyDescent="0.25"/>
    <row r="9982" ht="15" customHeight="1" x14ac:dyDescent="0.25"/>
    <row r="9984" ht="15" customHeight="1" x14ac:dyDescent="0.25"/>
    <row r="9986" ht="15" customHeight="1" x14ac:dyDescent="0.25"/>
    <row r="9988" ht="15" customHeight="1" x14ac:dyDescent="0.25"/>
    <row r="9990" ht="15" customHeight="1" x14ac:dyDescent="0.25"/>
    <row r="9992" ht="15" customHeight="1" x14ac:dyDescent="0.25"/>
    <row r="9994" ht="15" customHeight="1" x14ac:dyDescent="0.25"/>
    <row r="9996" ht="15" customHeight="1" x14ac:dyDescent="0.25"/>
    <row r="9998" ht="15" customHeight="1" x14ac:dyDescent="0.25"/>
    <row r="10000" ht="15" customHeight="1" x14ac:dyDescent="0.25"/>
    <row r="10002" ht="15" customHeight="1" x14ac:dyDescent="0.25"/>
    <row r="10004" ht="15" customHeight="1" x14ac:dyDescent="0.25"/>
    <row r="10006" ht="15" customHeight="1" x14ac:dyDescent="0.25"/>
    <row r="10008" ht="15" customHeight="1" x14ac:dyDescent="0.25"/>
    <row r="10010" ht="15" customHeight="1" x14ac:dyDescent="0.25"/>
    <row r="10012" ht="15" customHeight="1" x14ac:dyDescent="0.25"/>
    <row r="10014" ht="15" customHeight="1" x14ac:dyDescent="0.25"/>
    <row r="10016" ht="15" customHeight="1" x14ac:dyDescent="0.25"/>
    <row r="10018" ht="15" customHeight="1" x14ac:dyDescent="0.25"/>
    <row r="10020" ht="15" customHeight="1" x14ac:dyDescent="0.25"/>
    <row r="10022" ht="15" customHeight="1" x14ac:dyDescent="0.25"/>
    <row r="10024" ht="15" customHeight="1" x14ac:dyDescent="0.25"/>
    <row r="10026" ht="15" customHeight="1" x14ac:dyDescent="0.25"/>
    <row r="10028" ht="15" customHeight="1" x14ac:dyDescent="0.25"/>
    <row r="10030" ht="15" customHeight="1" x14ac:dyDescent="0.25"/>
    <row r="10032" ht="15" customHeight="1" x14ac:dyDescent="0.25"/>
    <row r="10034" ht="15" customHeight="1" x14ac:dyDescent="0.25"/>
    <row r="10036" ht="15" customHeight="1" x14ac:dyDescent="0.25"/>
    <row r="10038" ht="15" customHeight="1" x14ac:dyDescent="0.25"/>
    <row r="10040" ht="15" customHeight="1" x14ac:dyDescent="0.25"/>
    <row r="10042" ht="15" customHeight="1" x14ac:dyDescent="0.25"/>
    <row r="10044" ht="15" customHeight="1" x14ac:dyDescent="0.25"/>
    <row r="10046" ht="15" customHeight="1" x14ac:dyDescent="0.25"/>
    <row r="10048" ht="15" customHeight="1" x14ac:dyDescent="0.25"/>
    <row r="10050" ht="15" customHeight="1" x14ac:dyDescent="0.25"/>
    <row r="10052" ht="15" customHeight="1" x14ac:dyDescent="0.25"/>
    <row r="10054" ht="15" customHeight="1" x14ac:dyDescent="0.25"/>
    <row r="10056" ht="15" customHeight="1" x14ac:dyDescent="0.25"/>
    <row r="10058" ht="15" customHeight="1" x14ac:dyDescent="0.25"/>
    <row r="10060" ht="15" customHeight="1" x14ac:dyDescent="0.25"/>
    <row r="10062" ht="15" customHeight="1" x14ac:dyDescent="0.25"/>
    <row r="10064" ht="15" customHeight="1" x14ac:dyDescent="0.25"/>
    <row r="10066" ht="15" customHeight="1" x14ac:dyDescent="0.25"/>
    <row r="10068" ht="15" customHeight="1" x14ac:dyDescent="0.25"/>
    <row r="10070" ht="15" customHeight="1" x14ac:dyDescent="0.25"/>
    <row r="10072" ht="15" customHeight="1" x14ac:dyDescent="0.25"/>
    <row r="10074" ht="15" customHeight="1" x14ac:dyDescent="0.25"/>
    <row r="10076" ht="15" customHeight="1" x14ac:dyDescent="0.25"/>
    <row r="10078" ht="15" customHeight="1" x14ac:dyDescent="0.25"/>
    <row r="10080" ht="15" customHeight="1" x14ac:dyDescent="0.25"/>
    <row r="10082" ht="15" customHeight="1" x14ac:dyDescent="0.25"/>
    <row r="10084" ht="15" customHeight="1" x14ac:dyDescent="0.25"/>
    <row r="10086" ht="15" customHeight="1" x14ac:dyDescent="0.25"/>
    <row r="10088" ht="15" customHeight="1" x14ac:dyDescent="0.25"/>
    <row r="10090" ht="15" customHeight="1" x14ac:dyDescent="0.25"/>
    <row r="10092" ht="15" customHeight="1" x14ac:dyDescent="0.25"/>
    <row r="10094" ht="15" customHeight="1" x14ac:dyDescent="0.25"/>
    <row r="10096" ht="15" customHeight="1" x14ac:dyDescent="0.25"/>
    <row r="10098" ht="15" customHeight="1" x14ac:dyDescent="0.25"/>
    <row r="10100" ht="15" customHeight="1" x14ac:dyDescent="0.25"/>
    <row r="10102" ht="15" customHeight="1" x14ac:dyDescent="0.25"/>
    <row r="10104" ht="15" customHeight="1" x14ac:dyDescent="0.25"/>
    <row r="10106" ht="15" customHeight="1" x14ac:dyDescent="0.25"/>
    <row r="10108" ht="15" customHeight="1" x14ac:dyDescent="0.25"/>
    <row r="10110" ht="15" customHeight="1" x14ac:dyDescent="0.25"/>
    <row r="10112" ht="15" customHeight="1" x14ac:dyDescent="0.25"/>
    <row r="10114" ht="15" customHeight="1" x14ac:dyDescent="0.25"/>
    <row r="10116" ht="15" customHeight="1" x14ac:dyDescent="0.25"/>
    <row r="10118" ht="15" customHeight="1" x14ac:dyDescent="0.25"/>
    <row r="10120" ht="15" customHeight="1" x14ac:dyDescent="0.25"/>
    <row r="10122" ht="15" customHeight="1" x14ac:dyDescent="0.25"/>
    <row r="10124" ht="15" customHeight="1" x14ac:dyDescent="0.25"/>
    <row r="10126" ht="15" customHeight="1" x14ac:dyDescent="0.25"/>
    <row r="10128" ht="15" customHeight="1" x14ac:dyDescent="0.25"/>
    <row r="10130" ht="15" customHeight="1" x14ac:dyDescent="0.25"/>
    <row r="10132" ht="15" customHeight="1" x14ac:dyDescent="0.25"/>
    <row r="10134" ht="15" customHeight="1" x14ac:dyDescent="0.25"/>
    <row r="10136" ht="15" customHeight="1" x14ac:dyDescent="0.25"/>
    <row r="10138" ht="15" customHeight="1" x14ac:dyDescent="0.25"/>
    <row r="10140" ht="15" customHeight="1" x14ac:dyDescent="0.25"/>
    <row r="10142" ht="15" customHeight="1" x14ac:dyDescent="0.25"/>
    <row r="10144" ht="15" customHeight="1" x14ac:dyDescent="0.25"/>
    <row r="10146" ht="15" customHeight="1" x14ac:dyDescent="0.25"/>
    <row r="10148" ht="15" customHeight="1" x14ac:dyDescent="0.25"/>
    <row r="10150" ht="15" customHeight="1" x14ac:dyDescent="0.25"/>
    <row r="10152" ht="15" customHeight="1" x14ac:dyDescent="0.25"/>
    <row r="10154" ht="15" customHeight="1" x14ac:dyDescent="0.25"/>
    <row r="10156" ht="15" customHeight="1" x14ac:dyDescent="0.25"/>
    <row r="10158" ht="15" customHeight="1" x14ac:dyDescent="0.25"/>
    <row r="10160" ht="15" customHeight="1" x14ac:dyDescent="0.25"/>
    <row r="10162" ht="15" customHeight="1" x14ac:dyDescent="0.25"/>
    <row r="10164" ht="15" customHeight="1" x14ac:dyDescent="0.25"/>
    <row r="10166" ht="15" customHeight="1" x14ac:dyDescent="0.25"/>
    <row r="10168" ht="15" customHeight="1" x14ac:dyDescent="0.25"/>
    <row r="10170" ht="15" customHeight="1" x14ac:dyDescent="0.25"/>
    <row r="10172" ht="15" customHeight="1" x14ac:dyDescent="0.25"/>
    <row r="10174" ht="15" customHeight="1" x14ac:dyDescent="0.25"/>
    <row r="10176" ht="15" customHeight="1" x14ac:dyDescent="0.25"/>
    <row r="10178" ht="15" customHeight="1" x14ac:dyDescent="0.25"/>
    <row r="10180" ht="15" customHeight="1" x14ac:dyDescent="0.25"/>
    <row r="10182" ht="15" customHeight="1" x14ac:dyDescent="0.25"/>
    <row r="10184" ht="15" customHeight="1" x14ac:dyDescent="0.25"/>
    <row r="10186" ht="15" customHeight="1" x14ac:dyDescent="0.25"/>
    <row r="10188" ht="15" customHeight="1" x14ac:dyDescent="0.25"/>
    <row r="10190" ht="15" customHeight="1" x14ac:dyDescent="0.25"/>
    <row r="10192" ht="15" customHeight="1" x14ac:dyDescent="0.25"/>
    <row r="10194" ht="15" customHeight="1" x14ac:dyDescent="0.25"/>
    <row r="10196" ht="15" customHeight="1" x14ac:dyDescent="0.25"/>
    <row r="10198" ht="15" customHeight="1" x14ac:dyDescent="0.25"/>
    <row r="10200" ht="15" customHeight="1" x14ac:dyDescent="0.25"/>
    <row r="10202" ht="15" customHeight="1" x14ac:dyDescent="0.25"/>
    <row r="10204" ht="15" customHeight="1" x14ac:dyDescent="0.25"/>
    <row r="10206" ht="15" customHeight="1" x14ac:dyDescent="0.25"/>
    <row r="10208" ht="15" customHeight="1" x14ac:dyDescent="0.25"/>
    <row r="10210" ht="15" customHeight="1" x14ac:dyDescent="0.25"/>
    <row r="10212" ht="15" customHeight="1" x14ac:dyDescent="0.25"/>
    <row r="10214" ht="15" customHeight="1" x14ac:dyDescent="0.25"/>
    <row r="10216" ht="15" customHeight="1" x14ac:dyDescent="0.25"/>
    <row r="10218" ht="15" customHeight="1" x14ac:dyDescent="0.25"/>
    <row r="10220" ht="15" customHeight="1" x14ac:dyDescent="0.25"/>
    <row r="10222" ht="15" customHeight="1" x14ac:dyDescent="0.25"/>
    <row r="10224" ht="15" customHeight="1" x14ac:dyDescent="0.25"/>
    <row r="10226" ht="15" customHeight="1" x14ac:dyDescent="0.25"/>
    <row r="10228" ht="15" customHeight="1" x14ac:dyDescent="0.25"/>
    <row r="10230" ht="15" customHeight="1" x14ac:dyDescent="0.25"/>
    <row r="10232" ht="15" customHeight="1" x14ac:dyDescent="0.25"/>
    <row r="10234" ht="15" customHeight="1" x14ac:dyDescent="0.25"/>
    <row r="10236" ht="15" customHeight="1" x14ac:dyDescent="0.25"/>
    <row r="10238" ht="15" customHeight="1" x14ac:dyDescent="0.25"/>
    <row r="10240" ht="15" customHeight="1" x14ac:dyDescent="0.25"/>
    <row r="10242" ht="15" customHeight="1" x14ac:dyDescent="0.25"/>
    <row r="10244" ht="15" customHeight="1" x14ac:dyDescent="0.25"/>
    <row r="10246" ht="15" customHeight="1" x14ac:dyDescent="0.25"/>
    <row r="10248" ht="15" customHeight="1" x14ac:dyDescent="0.25"/>
    <row r="10250" ht="15" customHeight="1" x14ac:dyDescent="0.25"/>
    <row r="10252" ht="15" customHeight="1" x14ac:dyDescent="0.25"/>
    <row r="10254" ht="15" customHeight="1" x14ac:dyDescent="0.25"/>
    <row r="10256" ht="15" customHeight="1" x14ac:dyDescent="0.25"/>
    <row r="10258" ht="15" customHeight="1" x14ac:dyDescent="0.25"/>
    <row r="10260" ht="15" customHeight="1" x14ac:dyDescent="0.25"/>
    <row r="10262" ht="15" customHeight="1" x14ac:dyDescent="0.25"/>
    <row r="10264" ht="15" customHeight="1" x14ac:dyDescent="0.25"/>
    <row r="10266" ht="15" customHeight="1" x14ac:dyDescent="0.25"/>
    <row r="10268" ht="15" customHeight="1" x14ac:dyDescent="0.25"/>
    <row r="10270" ht="15" customHeight="1" x14ac:dyDescent="0.25"/>
    <row r="10272" ht="15" customHeight="1" x14ac:dyDescent="0.25"/>
    <row r="10274" ht="15" customHeight="1" x14ac:dyDescent="0.25"/>
    <row r="10276" ht="15" customHeight="1" x14ac:dyDescent="0.25"/>
    <row r="10278" ht="15" customHeight="1" x14ac:dyDescent="0.25"/>
    <row r="10280" ht="15" customHeight="1" x14ac:dyDescent="0.25"/>
    <row r="10282" ht="15" customHeight="1" x14ac:dyDescent="0.25"/>
    <row r="10284" ht="15" customHeight="1" x14ac:dyDescent="0.25"/>
    <row r="10286" ht="15" customHeight="1" x14ac:dyDescent="0.25"/>
    <row r="10288" ht="15" customHeight="1" x14ac:dyDescent="0.25"/>
    <row r="10290" ht="15" customHeight="1" x14ac:dyDescent="0.25"/>
    <row r="10292" ht="15" customHeight="1" x14ac:dyDescent="0.25"/>
    <row r="10294" ht="15" customHeight="1" x14ac:dyDescent="0.25"/>
    <row r="10296" ht="15" customHeight="1" x14ac:dyDescent="0.25"/>
    <row r="10298" ht="15" customHeight="1" x14ac:dyDescent="0.25"/>
    <row r="10300" ht="15" customHeight="1" x14ac:dyDescent="0.25"/>
    <row r="10302" ht="15" customHeight="1" x14ac:dyDescent="0.25"/>
    <row r="10304" ht="15" customHeight="1" x14ac:dyDescent="0.25"/>
    <row r="10306" ht="15" customHeight="1" x14ac:dyDescent="0.25"/>
    <row r="10308" ht="15" customHeight="1" x14ac:dyDescent="0.25"/>
    <row r="10310" ht="15" customHeight="1" x14ac:dyDescent="0.25"/>
    <row r="10312" ht="15" customHeight="1" x14ac:dyDescent="0.25"/>
    <row r="10314" ht="15" customHeight="1" x14ac:dyDescent="0.25"/>
    <row r="10316" ht="15" customHeight="1" x14ac:dyDescent="0.25"/>
    <row r="10318" ht="15" customHeight="1" x14ac:dyDescent="0.25"/>
    <row r="10320" ht="15" customHeight="1" x14ac:dyDescent="0.25"/>
    <row r="10322" ht="15" customHeight="1" x14ac:dyDescent="0.25"/>
    <row r="10324" ht="15" customHeight="1" x14ac:dyDescent="0.25"/>
    <row r="10326" ht="15" customHeight="1" x14ac:dyDescent="0.25"/>
    <row r="10328" ht="15" customHeight="1" x14ac:dyDescent="0.25"/>
    <row r="10330" ht="15" customHeight="1" x14ac:dyDescent="0.25"/>
    <row r="10332" ht="15" customHeight="1" x14ac:dyDescent="0.25"/>
    <row r="10334" ht="15" customHeight="1" x14ac:dyDescent="0.25"/>
    <row r="10336" ht="15" customHeight="1" x14ac:dyDescent="0.25"/>
    <row r="10338" ht="15" customHeight="1" x14ac:dyDescent="0.25"/>
    <row r="10340" ht="15" customHeight="1" x14ac:dyDescent="0.25"/>
    <row r="10342" ht="15" customHeight="1" x14ac:dyDescent="0.25"/>
    <row r="10344" ht="15" customHeight="1" x14ac:dyDescent="0.25"/>
    <row r="10346" ht="15" customHeight="1" x14ac:dyDescent="0.25"/>
    <row r="10348" ht="15" customHeight="1" x14ac:dyDescent="0.25"/>
    <row r="10350" ht="15" customHeight="1" x14ac:dyDescent="0.25"/>
    <row r="10352" ht="15" customHeight="1" x14ac:dyDescent="0.25"/>
    <row r="10354" ht="15" customHeight="1" x14ac:dyDescent="0.25"/>
    <row r="10356" ht="15" customHeight="1" x14ac:dyDescent="0.25"/>
    <row r="10358" ht="15" customHeight="1" x14ac:dyDescent="0.25"/>
    <row r="10360" ht="15" customHeight="1" x14ac:dyDescent="0.25"/>
    <row r="10362" ht="15" customHeight="1" x14ac:dyDescent="0.25"/>
    <row r="10364" ht="15" customHeight="1" x14ac:dyDescent="0.25"/>
    <row r="10366" ht="15" customHeight="1" x14ac:dyDescent="0.25"/>
    <row r="10368" ht="15" customHeight="1" x14ac:dyDescent="0.25"/>
    <row r="10370" ht="15" customHeight="1" x14ac:dyDescent="0.25"/>
    <row r="10372" ht="15" customHeight="1" x14ac:dyDescent="0.25"/>
    <row r="10374" ht="15" customHeight="1" x14ac:dyDescent="0.25"/>
    <row r="10376" ht="15" customHeight="1" x14ac:dyDescent="0.25"/>
    <row r="10378" ht="15" customHeight="1" x14ac:dyDescent="0.25"/>
    <row r="10380" ht="15" customHeight="1" x14ac:dyDescent="0.25"/>
    <row r="10382" ht="15" customHeight="1" x14ac:dyDescent="0.25"/>
    <row r="10384" ht="15" customHeight="1" x14ac:dyDescent="0.25"/>
    <row r="10386" ht="15" customHeight="1" x14ac:dyDescent="0.25"/>
    <row r="10388" ht="15" customHeight="1" x14ac:dyDescent="0.25"/>
    <row r="10390" ht="15" customHeight="1" x14ac:dyDescent="0.25"/>
    <row r="10392" ht="15" customHeight="1" x14ac:dyDescent="0.25"/>
    <row r="10394" ht="15" customHeight="1" x14ac:dyDescent="0.25"/>
    <row r="10396" ht="15" customHeight="1" x14ac:dyDescent="0.25"/>
    <row r="10398" ht="15" customHeight="1" x14ac:dyDescent="0.25"/>
    <row r="10400" ht="15" customHeight="1" x14ac:dyDescent="0.25"/>
    <row r="10402" ht="15" customHeight="1" x14ac:dyDescent="0.25"/>
    <row r="10404" ht="15" customHeight="1" x14ac:dyDescent="0.25"/>
    <row r="10406" ht="15" customHeight="1" x14ac:dyDescent="0.25"/>
    <row r="10408" ht="15" customHeight="1" x14ac:dyDescent="0.25"/>
    <row r="10410" ht="15" customHeight="1" x14ac:dyDescent="0.25"/>
    <row r="10412" ht="15" customHeight="1" x14ac:dyDescent="0.25"/>
    <row r="10414" ht="15" customHeight="1" x14ac:dyDescent="0.25"/>
    <row r="10416" ht="15" customHeight="1" x14ac:dyDescent="0.25"/>
    <row r="10418" ht="15" customHeight="1" x14ac:dyDescent="0.25"/>
    <row r="10420" ht="15" customHeight="1" x14ac:dyDescent="0.25"/>
    <row r="10422" ht="15" customHeight="1" x14ac:dyDescent="0.25"/>
    <row r="10424" ht="15" customHeight="1" x14ac:dyDescent="0.25"/>
    <row r="10426" ht="15" customHeight="1" x14ac:dyDescent="0.25"/>
    <row r="10428" ht="15" customHeight="1" x14ac:dyDescent="0.25"/>
    <row r="10430" ht="15" customHeight="1" x14ac:dyDescent="0.25"/>
    <row r="10432" ht="15" customHeight="1" x14ac:dyDescent="0.25"/>
    <row r="10434" ht="15" customHeight="1" x14ac:dyDescent="0.25"/>
    <row r="10436" ht="15" customHeight="1" x14ac:dyDescent="0.25"/>
    <row r="10438" ht="15" customHeight="1" x14ac:dyDescent="0.25"/>
    <row r="10440" ht="15" customHeight="1" x14ac:dyDescent="0.25"/>
    <row r="10442" ht="15" customHeight="1" x14ac:dyDescent="0.25"/>
    <row r="10444" ht="15" customHeight="1" x14ac:dyDescent="0.25"/>
    <row r="10446" ht="15" customHeight="1" x14ac:dyDescent="0.25"/>
    <row r="10448" ht="15" customHeight="1" x14ac:dyDescent="0.25"/>
    <row r="10450" ht="15" customHeight="1" x14ac:dyDescent="0.25"/>
    <row r="10452" ht="15" customHeight="1" x14ac:dyDescent="0.25"/>
    <row r="10454" ht="15" customHeight="1" x14ac:dyDescent="0.25"/>
    <row r="10456" ht="15" customHeight="1" x14ac:dyDescent="0.25"/>
    <row r="10458" ht="15" customHeight="1" x14ac:dyDescent="0.25"/>
    <row r="10460" ht="15" customHeight="1" x14ac:dyDescent="0.25"/>
    <row r="10462" ht="15" customHeight="1" x14ac:dyDescent="0.25"/>
    <row r="10464" ht="15" customHeight="1" x14ac:dyDescent="0.25"/>
    <row r="10466" ht="15" customHeight="1" x14ac:dyDescent="0.25"/>
    <row r="10468" ht="15" customHeight="1" x14ac:dyDescent="0.25"/>
    <row r="10470" ht="15" customHeight="1" x14ac:dyDescent="0.25"/>
    <row r="10472" ht="15" customHeight="1" x14ac:dyDescent="0.25"/>
    <row r="10474" ht="15" customHeight="1" x14ac:dyDescent="0.25"/>
    <row r="10476" ht="15" customHeight="1" x14ac:dyDescent="0.25"/>
    <row r="10478" ht="15" customHeight="1" x14ac:dyDescent="0.25"/>
    <row r="10480" ht="15" customHeight="1" x14ac:dyDescent="0.25"/>
    <row r="10482" ht="15" customHeight="1" x14ac:dyDescent="0.25"/>
    <row r="10484" ht="15" customHeight="1" x14ac:dyDescent="0.25"/>
    <row r="10486" ht="15" customHeight="1" x14ac:dyDescent="0.25"/>
    <row r="10488" ht="15" customHeight="1" x14ac:dyDescent="0.25"/>
    <row r="10490" ht="15" customHeight="1" x14ac:dyDescent="0.25"/>
    <row r="10492" ht="15" customHeight="1" x14ac:dyDescent="0.25"/>
    <row r="10494" ht="15" customHeight="1" x14ac:dyDescent="0.25"/>
    <row r="10496" ht="15" customHeight="1" x14ac:dyDescent="0.25"/>
    <row r="10498" ht="15" customHeight="1" x14ac:dyDescent="0.25"/>
    <row r="10500" ht="15" customHeight="1" x14ac:dyDescent="0.25"/>
    <row r="10502" ht="15" customHeight="1" x14ac:dyDescent="0.25"/>
    <row r="10504" ht="15" customHeight="1" x14ac:dyDescent="0.25"/>
    <row r="10506" ht="15" customHeight="1" x14ac:dyDescent="0.25"/>
    <row r="10508" ht="15" customHeight="1" x14ac:dyDescent="0.25"/>
    <row r="10510" ht="15" customHeight="1" x14ac:dyDescent="0.25"/>
    <row r="10512" ht="15" customHeight="1" x14ac:dyDescent="0.25"/>
    <row r="10514" ht="15" customHeight="1" x14ac:dyDescent="0.25"/>
    <row r="10516" ht="15" customHeight="1" x14ac:dyDescent="0.25"/>
    <row r="10518" ht="15" customHeight="1" x14ac:dyDescent="0.25"/>
    <row r="10520" ht="15" customHeight="1" x14ac:dyDescent="0.25"/>
    <row r="10522" ht="15" customHeight="1" x14ac:dyDescent="0.25"/>
    <row r="10524" ht="15" customHeight="1" x14ac:dyDescent="0.25"/>
    <row r="10526" ht="15" customHeight="1" x14ac:dyDescent="0.25"/>
    <row r="10528" ht="15" customHeight="1" x14ac:dyDescent="0.25"/>
    <row r="10530" ht="15" customHeight="1" x14ac:dyDescent="0.25"/>
    <row r="10532" ht="15" customHeight="1" x14ac:dyDescent="0.25"/>
    <row r="10534" ht="15" customHeight="1" x14ac:dyDescent="0.25"/>
    <row r="10536" ht="15" customHeight="1" x14ac:dyDescent="0.25"/>
    <row r="10538" ht="15" customHeight="1" x14ac:dyDescent="0.25"/>
    <row r="10540" ht="15" customHeight="1" x14ac:dyDescent="0.25"/>
    <row r="10542" ht="15" customHeight="1" x14ac:dyDescent="0.25"/>
    <row r="10544" ht="15" customHeight="1" x14ac:dyDescent="0.25"/>
    <row r="10546" ht="15" customHeight="1" x14ac:dyDescent="0.25"/>
    <row r="10548" ht="15" customHeight="1" x14ac:dyDescent="0.25"/>
    <row r="10550" ht="15" customHeight="1" x14ac:dyDescent="0.25"/>
    <row r="10552" ht="15" customHeight="1" x14ac:dyDescent="0.25"/>
    <row r="10554" ht="15" customHeight="1" x14ac:dyDescent="0.25"/>
    <row r="10556" ht="15" customHeight="1" x14ac:dyDescent="0.25"/>
    <row r="10558" ht="15" customHeight="1" x14ac:dyDescent="0.25"/>
    <row r="10560" ht="15" customHeight="1" x14ac:dyDescent="0.25"/>
    <row r="10562" ht="15" customHeight="1" x14ac:dyDescent="0.25"/>
    <row r="10564" ht="15" customHeight="1" x14ac:dyDescent="0.25"/>
    <row r="10566" ht="15" customHeight="1" x14ac:dyDescent="0.25"/>
    <row r="10568" ht="15" customHeight="1" x14ac:dyDescent="0.25"/>
    <row r="10570" ht="15" customHeight="1" x14ac:dyDescent="0.25"/>
    <row r="10572" ht="15" customHeight="1" x14ac:dyDescent="0.25"/>
    <row r="10574" ht="15" customHeight="1" x14ac:dyDescent="0.25"/>
    <row r="10576" ht="15" customHeight="1" x14ac:dyDescent="0.25"/>
    <row r="10578" ht="15" customHeight="1" x14ac:dyDescent="0.25"/>
    <row r="10580" ht="15" customHeight="1" x14ac:dyDescent="0.25"/>
    <row r="10582" ht="15" customHeight="1" x14ac:dyDescent="0.25"/>
    <row r="10584" ht="15" customHeight="1" x14ac:dyDescent="0.25"/>
    <row r="10586" ht="15" customHeight="1" x14ac:dyDescent="0.25"/>
    <row r="10588" ht="15" customHeight="1" x14ac:dyDescent="0.25"/>
    <row r="10590" ht="15" customHeight="1" x14ac:dyDescent="0.25"/>
    <row r="10592" ht="15" customHeight="1" x14ac:dyDescent="0.25"/>
    <row r="10594" ht="15" customHeight="1" x14ac:dyDescent="0.25"/>
    <row r="10596" ht="15" customHeight="1" x14ac:dyDescent="0.25"/>
    <row r="10598" ht="15" customHeight="1" x14ac:dyDescent="0.25"/>
    <row r="10600" ht="15" customHeight="1" x14ac:dyDescent="0.25"/>
    <row r="10602" ht="15" customHeight="1" x14ac:dyDescent="0.25"/>
    <row r="10604" ht="15" customHeight="1" x14ac:dyDescent="0.25"/>
    <row r="10606" ht="15" customHeight="1" x14ac:dyDescent="0.25"/>
    <row r="10608" ht="15" customHeight="1" x14ac:dyDescent="0.25"/>
    <row r="10610" ht="15" customHeight="1" x14ac:dyDescent="0.25"/>
    <row r="10612" ht="15" customHeight="1" x14ac:dyDescent="0.25"/>
    <row r="10614" ht="15" customHeight="1" x14ac:dyDescent="0.25"/>
    <row r="10616" ht="15" customHeight="1" x14ac:dyDescent="0.25"/>
    <row r="10618" ht="15" customHeight="1" x14ac:dyDescent="0.25"/>
    <row r="10620" ht="15" customHeight="1" x14ac:dyDescent="0.25"/>
    <row r="10622" ht="15" customHeight="1" x14ac:dyDescent="0.25"/>
    <row r="10624" ht="15" customHeight="1" x14ac:dyDescent="0.25"/>
    <row r="10626" ht="15" customHeight="1" x14ac:dyDescent="0.25"/>
    <row r="10628" ht="15" customHeight="1" x14ac:dyDescent="0.25"/>
    <row r="10630" ht="15" customHeight="1" x14ac:dyDescent="0.25"/>
    <row r="10632" ht="15" customHeight="1" x14ac:dyDescent="0.25"/>
    <row r="10634" ht="15" customHeight="1" x14ac:dyDescent="0.25"/>
    <row r="10636" ht="15" customHeight="1" x14ac:dyDescent="0.25"/>
    <row r="10638" ht="15" customHeight="1" x14ac:dyDescent="0.25"/>
    <row r="10640" ht="15" customHeight="1" x14ac:dyDescent="0.25"/>
    <row r="10642" ht="15" customHeight="1" x14ac:dyDescent="0.25"/>
    <row r="10644" ht="15" customHeight="1" x14ac:dyDescent="0.25"/>
    <row r="10646" ht="15" customHeight="1" x14ac:dyDescent="0.25"/>
    <row r="10648" ht="15" customHeight="1" x14ac:dyDescent="0.25"/>
    <row r="10650" ht="15" customHeight="1" x14ac:dyDescent="0.25"/>
    <row r="10652" ht="15" customHeight="1" x14ac:dyDescent="0.25"/>
    <row r="10654" ht="15" customHeight="1" x14ac:dyDescent="0.25"/>
    <row r="10656" ht="15" customHeight="1" x14ac:dyDescent="0.25"/>
    <row r="10658" ht="15" customHeight="1" x14ac:dyDescent="0.25"/>
    <row r="10660" ht="15" customHeight="1" x14ac:dyDescent="0.25"/>
    <row r="10662" ht="15" customHeight="1" x14ac:dyDescent="0.25"/>
    <row r="10664" ht="15" customHeight="1" x14ac:dyDescent="0.25"/>
    <row r="10666" ht="15" customHeight="1" x14ac:dyDescent="0.25"/>
    <row r="10668" ht="15" customHeight="1" x14ac:dyDescent="0.25"/>
    <row r="10670" ht="15" customHeight="1" x14ac:dyDescent="0.25"/>
    <row r="10672" ht="15" customHeight="1" x14ac:dyDescent="0.25"/>
    <row r="10674" ht="15" customHeight="1" x14ac:dyDescent="0.25"/>
    <row r="10676" ht="15" customHeight="1" x14ac:dyDescent="0.25"/>
    <row r="10678" ht="15" customHeight="1" x14ac:dyDescent="0.25"/>
    <row r="10680" ht="15" customHeight="1" x14ac:dyDescent="0.25"/>
    <row r="10682" ht="15" customHeight="1" x14ac:dyDescent="0.25"/>
    <row r="10684" ht="15" customHeight="1" x14ac:dyDescent="0.25"/>
    <row r="10686" ht="15" customHeight="1" x14ac:dyDescent="0.25"/>
    <row r="10688" ht="15" customHeight="1" x14ac:dyDescent="0.25"/>
    <row r="10690" ht="15" customHeight="1" x14ac:dyDescent="0.25"/>
    <row r="10692" ht="15" customHeight="1" x14ac:dyDescent="0.25"/>
    <row r="10694" ht="15" customHeight="1" x14ac:dyDescent="0.25"/>
    <row r="10696" ht="15" customHeight="1" x14ac:dyDescent="0.25"/>
    <row r="10698" ht="15" customHeight="1" x14ac:dyDescent="0.25"/>
    <row r="10700" ht="15" customHeight="1" x14ac:dyDescent="0.25"/>
    <row r="10702" ht="15" customHeight="1" x14ac:dyDescent="0.25"/>
    <row r="10704" ht="15" customHeight="1" x14ac:dyDescent="0.25"/>
    <row r="10706" ht="15" customHeight="1" x14ac:dyDescent="0.25"/>
    <row r="10708" ht="15" customHeight="1" x14ac:dyDescent="0.25"/>
    <row r="10710" ht="15" customHeight="1" x14ac:dyDescent="0.25"/>
    <row r="10712" ht="15" customHeight="1" x14ac:dyDescent="0.25"/>
    <row r="10714" ht="15" customHeight="1" x14ac:dyDescent="0.25"/>
    <row r="10716" ht="15" customHeight="1" x14ac:dyDescent="0.25"/>
    <row r="10718" ht="15" customHeight="1" x14ac:dyDescent="0.25"/>
    <row r="10720" ht="15" customHeight="1" x14ac:dyDescent="0.25"/>
    <row r="10722" ht="15" customHeight="1" x14ac:dyDescent="0.25"/>
    <row r="10724" ht="15" customHeight="1" x14ac:dyDescent="0.25"/>
    <row r="10726" ht="15" customHeight="1" x14ac:dyDescent="0.25"/>
    <row r="10728" ht="15" customHeight="1" x14ac:dyDescent="0.25"/>
    <row r="10730" ht="15" customHeight="1" x14ac:dyDescent="0.25"/>
    <row r="10732" ht="15" customHeight="1" x14ac:dyDescent="0.25"/>
    <row r="10734" ht="15" customHeight="1" x14ac:dyDescent="0.25"/>
    <row r="10736" ht="15" customHeight="1" x14ac:dyDescent="0.25"/>
    <row r="10738" ht="15" customHeight="1" x14ac:dyDescent="0.25"/>
    <row r="10740" ht="15" customHeight="1" x14ac:dyDescent="0.25"/>
    <row r="10742" ht="15" customHeight="1" x14ac:dyDescent="0.25"/>
    <row r="10744" ht="15" customHeight="1" x14ac:dyDescent="0.25"/>
    <row r="10746" ht="15" customHeight="1" x14ac:dyDescent="0.25"/>
    <row r="10748" ht="15" customHeight="1" x14ac:dyDescent="0.25"/>
    <row r="10750" ht="15" customHeight="1" x14ac:dyDescent="0.25"/>
    <row r="10752" ht="15" customHeight="1" x14ac:dyDescent="0.25"/>
    <row r="10754" ht="15" customHeight="1" x14ac:dyDescent="0.25"/>
    <row r="10756" ht="15" customHeight="1" x14ac:dyDescent="0.25"/>
    <row r="10758" ht="15" customHeight="1" x14ac:dyDescent="0.25"/>
    <row r="10760" ht="15" customHeight="1" x14ac:dyDescent="0.25"/>
    <row r="10762" ht="15" customHeight="1" x14ac:dyDescent="0.25"/>
    <row r="10764" ht="15" customHeight="1" x14ac:dyDescent="0.25"/>
    <row r="10766" ht="15" customHeight="1" x14ac:dyDescent="0.25"/>
    <row r="10768" ht="15" customHeight="1" x14ac:dyDescent="0.25"/>
    <row r="10770" ht="15" customHeight="1" x14ac:dyDescent="0.25"/>
    <row r="10772" ht="15" customHeight="1" x14ac:dyDescent="0.25"/>
    <row r="10774" ht="15" customHeight="1" x14ac:dyDescent="0.25"/>
    <row r="10776" ht="15" customHeight="1" x14ac:dyDescent="0.25"/>
    <row r="10778" ht="15" customHeight="1" x14ac:dyDescent="0.25"/>
    <row r="10780" ht="15" customHeight="1" x14ac:dyDescent="0.25"/>
    <row r="10782" ht="15" customHeight="1" x14ac:dyDescent="0.25"/>
    <row r="10784" ht="15" customHeight="1" x14ac:dyDescent="0.25"/>
    <row r="10786" ht="15" customHeight="1" x14ac:dyDescent="0.25"/>
    <row r="10788" ht="15" customHeight="1" x14ac:dyDescent="0.25"/>
    <row r="10790" ht="15" customHeight="1" x14ac:dyDescent="0.25"/>
    <row r="10792" ht="15" customHeight="1" x14ac:dyDescent="0.25"/>
    <row r="10794" ht="15" customHeight="1" x14ac:dyDescent="0.25"/>
    <row r="10796" ht="15" customHeight="1" x14ac:dyDescent="0.25"/>
    <row r="10798" ht="15" customHeight="1" x14ac:dyDescent="0.25"/>
    <row r="10800" ht="15" customHeight="1" x14ac:dyDescent="0.25"/>
    <row r="10802" ht="15" customHeight="1" x14ac:dyDescent="0.25"/>
    <row r="10804" ht="15" customHeight="1" x14ac:dyDescent="0.25"/>
    <row r="10806" ht="15" customHeight="1" x14ac:dyDescent="0.25"/>
    <row r="10808" ht="15" customHeight="1" x14ac:dyDescent="0.25"/>
    <row r="10810" ht="15" customHeight="1" x14ac:dyDescent="0.25"/>
    <row r="10812" ht="15" customHeight="1" x14ac:dyDescent="0.25"/>
    <row r="10814" ht="15" customHeight="1" x14ac:dyDescent="0.25"/>
    <row r="10816" ht="15" customHeight="1" x14ac:dyDescent="0.25"/>
    <row r="10818" ht="15" customHeight="1" x14ac:dyDescent="0.25"/>
    <row r="10820" ht="15" customHeight="1" x14ac:dyDescent="0.25"/>
    <row r="10822" ht="15" customHeight="1" x14ac:dyDescent="0.25"/>
    <row r="10824" ht="15" customHeight="1" x14ac:dyDescent="0.25"/>
    <row r="10826" ht="15" customHeight="1" x14ac:dyDescent="0.25"/>
    <row r="10828" ht="15" customHeight="1" x14ac:dyDescent="0.25"/>
    <row r="10830" ht="15" customHeight="1" x14ac:dyDescent="0.25"/>
    <row r="10832" ht="15" customHeight="1" x14ac:dyDescent="0.25"/>
    <row r="10834" ht="15" customHeight="1" x14ac:dyDescent="0.25"/>
    <row r="10836" ht="15" customHeight="1" x14ac:dyDescent="0.25"/>
    <row r="10838" ht="15" customHeight="1" x14ac:dyDescent="0.25"/>
    <row r="10840" ht="15" customHeight="1" x14ac:dyDescent="0.25"/>
    <row r="10842" ht="15" customHeight="1" x14ac:dyDescent="0.25"/>
    <row r="10844" ht="15" customHeight="1" x14ac:dyDescent="0.25"/>
    <row r="10846" ht="15" customHeight="1" x14ac:dyDescent="0.25"/>
    <row r="10848" ht="15" customHeight="1" x14ac:dyDescent="0.25"/>
    <row r="10850" ht="15" customHeight="1" x14ac:dyDescent="0.25"/>
    <row r="10852" ht="15" customHeight="1" x14ac:dyDescent="0.25"/>
    <row r="10854" ht="15" customHeight="1" x14ac:dyDescent="0.25"/>
    <row r="10856" ht="15" customHeight="1" x14ac:dyDescent="0.25"/>
    <row r="10858" ht="15" customHeight="1" x14ac:dyDescent="0.25"/>
    <row r="10860" ht="15" customHeight="1" x14ac:dyDescent="0.25"/>
    <row r="10862" ht="15" customHeight="1" x14ac:dyDescent="0.25"/>
    <row r="10864" ht="15" customHeight="1" x14ac:dyDescent="0.25"/>
    <row r="10866" ht="15" customHeight="1" x14ac:dyDescent="0.25"/>
    <row r="10868" ht="15" customHeight="1" x14ac:dyDescent="0.25"/>
    <row r="10870" ht="15" customHeight="1" x14ac:dyDescent="0.25"/>
    <row r="10872" ht="15" customHeight="1" x14ac:dyDescent="0.25"/>
    <row r="10874" ht="15" customHeight="1" x14ac:dyDescent="0.25"/>
    <row r="10876" ht="15" customHeight="1" x14ac:dyDescent="0.25"/>
    <row r="10878" ht="15" customHeight="1" x14ac:dyDescent="0.25"/>
    <row r="10880" ht="15" customHeight="1" x14ac:dyDescent="0.25"/>
    <row r="10882" ht="15" customHeight="1" x14ac:dyDescent="0.25"/>
    <row r="10884" ht="15" customHeight="1" x14ac:dyDescent="0.25"/>
    <row r="10886" ht="15" customHeight="1" x14ac:dyDescent="0.25"/>
    <row r="10888" ht="15" customHeight="1" x14ac:dyDescent="0.25"/>
    <row r="10890" ht="15" customHeight="1" x14ac:dyDescent="0.25"/>
    <row r="10892" ht="15" customHeight="1" x14ac:dyDescent="0.25"/>
    <row r="10894" ht="15" customHeight="1" x14ac:dyDescent="0.25"/>
    <row r="10896" ht="15" customHeight="1" x14ac:dyDescent="0.25"/>
    <row r="10898" ht="15" customHeight="1" x14ac:dyDescent="0.25"/>
    <row r="10900" ht="15" customHeight="1" x14ac:dyDescent="0.25"/>
    <row r="10902" ht="15" customHeight="1" x14ac:dyDescent="0.25"/>
    <row r="10904" ht="15" customHeight="1" x14ac:dyDescent="0.25"/>
    <row r="10906" ht="15" customHeight="1" x14ac:dyDescent="0.25"/>
    <row r="10908" ht="15" customHeight="1" x14ac:dyDescent="0.25"/>
    <row r="10910" ht="15" customHeight="1" x14ac:dyDescent="0.25"/>
    <row r="10912" ht="15" customHeight="1" x14ac:dyDescent="0.25"/>
    <row r="10914" ht="15" customHeight="1" x14ac:dyDescent="0.25"/>
    <row r="10916" ht="15" customHeight="1" x14ac:dyDescent="0.25"/>
    <row r="10918" ht="15" customHeight="1" x14ac:dyDescent="0.25"/>
    <row r="10920" ht="15" customHeight="1" x14ac:dyDescent="0.25"/>
    <row r="10922" ht="15" customHeight="1" x14ac:dyDescent="0.25"/>
    <row r="10924" ht="15" customHeight="1" x14ac:dyDescent="0.25"/>
    <row r="10926" ht="15" customHeight="1" x14ac:dyDescent="0.25"/>
    <row r="10928" ht="15" customHeight="1" x14ac:dyDescent="0.25"/>
    <row r="10930" ht="15" customHeight="1" x14ac:dyDescent="0.25"/>
    <row r="10932" ht="15" customHeight="1" x14ac:dyDescent="0.25"/>
    <row r="10934" ht="15" customHeight="1" x14ac:dyDescent="0.25"/>
    <row r="10936" ht="15" customHeight="1" x14ac:dyDescent="0.25"/>
    <row r="10938" ht="15" customHeight="1" x14ac:dyDescent="0.25"/>
    <row r="10940" ht="15" customHeight="1" x14ac:dyDescent="0.25"/>
    <row r="10942" ht="15" customHeight="1" x14ac:dyDescent="0.25"/>
    <row r="10944" ht="15" customHeight="1" x14ac:dyDescent="0.25"/>
    <row r="10946" ht="15" customHeight="1" x14ac:dyDescent="0.25"/>
    <row r="10948" ht="15" customHeight="1" x14ac:dyDescent="0.25"/>
    <row r="10950" ht="15" customHeight="1" x14ac:dyDescent="0.25"/>
    <row r="10952" ht="15" customHeight="1" x14ac:dyDescent="0.25"/>
    <row r="10954" ht="15" customHeight="1" x14ac:dyDescent="0.25"/>
    <row r="10956" ht="15" customHeight="1" x14ac:dyDescent="0.25"/>
    <row r="10958" ht="15" customHeight="1" x14ac:dyDescent="0.25"/>
    <row r="10960" ht="15" customHeight="1" x14ac:dyDescent="0.25"/>
    <row r="10962" ht="15" customHeight="1" x14ac:dyDescent="0.25"/>
    <row r="10964" ht="15" customHeight="1" x14ac:dyDescent="0.25"/>
    <row r="10966" ht="15" customHeight="1" x14ac:dyDescent="0.25"/>
    <row r="10968" ht="15" customHeight="1" x14ac:dyDescent="0.25"/>
    <row r="10970" ht="15" customHeight="1" x14ac:dyDescent="0.25"/>
    <row r="10972" ht="15" customHeight="1" x14ac:dyDescent="0.25"/>
    <row r="10974" ht="15" customHeight="1" x14ac:dyDescent="0.25"/>
    <row r="10976" ht="15" customHeight="1" x14ac:dyDescent="0.25"/>
    <row r="10978" ht="15" customHeight="1" x14ac:dyDescent="0.25"/>
    <row r="10980" ht="15" customHeight="1" x14ac:dyDescent="0.25"/>
    <row r="10982" ht="15" customHeight="1" x14ac:dyDescent="0.25"/>
    <row r="10984" ht="15" customHeight="1" x14ac:dyDescent="0.25"/>
    <row r="10986" ht="15" customHeight="1" x14ac:dyDescent="0.25"/>
    <row r="10988" ht="15" customHeight="1" x14ac:dyDescent="0.25"/>
    <row r="10990" ht="15" customHeight="1" x14ac:dyDescent="0.25"/>
    <row r="10992" ht="15" customHeight="1" x14ac:dyDescent="0.25"/>
    <row r="10994" ht="15" customHeight="1" x14ac:dyDescent="0.25"/>
    <row r="10996" ht="15" customHeight="1" x14ac:dyDescent="0.25"/>
    <row r="10998" ht="15" customHeight="1" x14ac:dyDescent="0.25"/>
    <row r="11000" ht="15" customHeight="1" x14ac:dyDescent="0.25"/>
    <row r="11002" ht="15" customHeight="1" x14ac:dyDescent="0.25"/>
    <row r="11004" ht="15" customHeight="1" x14ac:dyDescent="0.25"/>
    <row r="11006" ht="15" customHeight="1" x14ac:dyDescent="0.25"/>
    <row r="11008" ht="15" customHeight="1" x14ac:dyDescent="0.25"/>
    <row r="11010" ht="15" customHeight="1" x14ac:dyDescent="0.25"/>
    <row r="11012" ht="15" customHeight="1" x14ac:dyDescent="0.25"/>
    <row r="11014" ht="15" customHeight="1" x14ac:dyDescent="0.25"/>
    <row r="11016" ht="15" customHeight="1" x14ac:dyDescent="0.25"/>
    <row r="11018" ht="15" customHeight="1" x14ac:dyDescent="0.25"/>
    <row r="11020" ht="15" customHeight="1" x14ac:dyDescent="0.25"/>
    <row r="11022" ht="15" customHeight="1" x14ac:dyDescent="0.25"/>
    <row r="11024" ht="15" customHeight="1" x14ac:dyDescent="0.25"/>
    <row r="11026" ht="15" customHeight="1" x14ac:dyDescent="0.25"/>
    <row r="11028" ht="15" customHeight="1" x14ac:dyDescent="0.25"/>
    <row r="11030" ht="15" customHeight="1" x14ac:dyDescent="0.25"/>
    <row r="11032" ht="15" customHeight="1" x14ac:dyDescent="0.25"/>
    <row r="11034" ht="15" customHeight="1" x14ac:dyDescent="0.25"/>
    <row r="11036" ht="15" customHeight="1" x14ac:dyDescent="0.25"/>
    <row r="11038" ht="15" customHeight="1" x14ac:dyDescent="0.25"/>
    <row r="11040" ht="15" customHeight="1" x14ac:dyDescent="0.25"/>
    <row r="11042" ht="15" customHeight="1" x14ac:dyDescent="0.25"/>
    <row r="11044" ht="15" customHeight="1" x14ac:dyDescent="0.25"/>
    <row r="11046" ht="15" customHeight="1" x14ac:dyDescent="0.25"/>
    <row r="11048" ht="15" customHeight="1" x14ac:dyDescent="0.25"/>
    <row r="11050" ht="15" customHeight="1" x14ac:dyDescent="0.25"/>
    <row r="11052" ht="15" customHeight="1" x14ac:dyDescent="0.25"/>
    <row r="11054" ht="15" customHeight="1" x14ac:dyDescent="0.25"/>
    <row r="11056" ht="15" customHeight="1" x14ac:dyDescent="0.25"/>
    <row r="11058" ht="15" customHeight="1" x14ac:dyDescent="0.25"/>
    <row r="11060" ht="15" customHeight="1" x14ac:dyDescent="0.25"/>
    <row r="11062" ht="15" customHeight="1" x14ac:dyDescent="0.25"/>
    <row r="11064" ht="15" customHeight="1" x14ac:dyDescent="0.25"/>
    <row r="11066" ht="15" customHeight="1" x14ac:dyDescent="0.25"/>
    <row r="11068" ht="15" customHeight="1" x14ac:dyDescent="0.25"/>
    <row r="11070" ht="15" customHeight="1" x14ac:dyDescent="0.25"/>
    <row r="11072" ht="15" customHeight="1" x14ac:dyDescent="0.25"/>
    <row r="11074" ht="15" customHeight="1" x14ac:dyDescent="0.25"/>
    <row r="11076" ht="15" customHeight="1" x14ac:dyDescent="0.25"/>
    <row r="11078" ht="15" customHeight="1" x14ac:dyDescent="0.25"/>
    <row r="11080" ht="15" customHeight="1" x14ac:dyDescent="0.25"/>
    <row r="11082" ht="15" customHeight="1" x14ac:dyDescent="0.25"/>
    <row r="11084" ht="15" customHeight="1" x14ac:dyDescent="0.25"/>
    <row r="11086" ht="15" customHeight="1" x14ac:dyDescent="0.25"/>
    <row r="11088" ht="15" customHeight="1" x14ac:dyDescent="0.25"/>
    <row r="11090" ht="15" customHeight="1" x14ac:dyDescent="0.25"/>
    <row r="11092" ht="15" customHeight="1" x14ac:dyDescent="0.25"/>
    <row r="11094" ht="15" customHeight="1" x14ac:dyDescent="0.25"/>
    <row r="11096" ht="15" customHeight="1" x14ac:dyDescent="0.25"/>
    <row r="11098" ht="15" customHeight="1" x14ac:dyDescent="0.25"/>
    <row r="11100" ht="15" customHeight="1" x14ac:dyDescent="0.25"/>
    <row r="11102" ht="15" customHeight="1" x14ac:dyDescent="0.25"/>
    <row r="11104" ht="15" customHeight="1" x14ac:dyDescent="0.25"/>
    <row r="11106" ht="15" customHeight="1" x14ac:dyDescent="0.25"/>
    <row r="11108" ht="15" customHeight="1" x14ac:dyDescent="0.25"/>
    <row r="11110" ht="15" customHeight="1" x14ac:dyDescent="0.25"/>
    <row r="11112" ht="15" customHeight="1" x14ac:dyDescent="0.25"/>
    <row r="11114" ht="15" customHeight="1" x14ac:dyDescent="0.25"/>
    <row r="11116" ht="15" customHeight="1" x14ac:dyDescent="0.25"/>
    <row r="11118" ht="15" customHeight="1" x14ac:dyDescent="0.25"/>
    <row r="11120" ht="15" customHeight="1" x14ac:dyDescent="0.25"/>
    <row r="11122" ht="15" customHeight="1" x14ac:dyDescent="0.25"/>
    <row r="11124" ht="15" customHeight="1" x14ac:dyDescent="0.25"/>
    <row r="11126" ht="15" customHeight="1" x14ac:dyDescent="0.25"/>
    <row r="11128" ht="15" customHeight="1" x14ac:dyDescent="0.25"/>
    <row r="11130" ht="15" customHeight="1" x14ac:dyDescent="0.25"/>
    <row r="11132" ht="15" customHeight="1" x14ac:dyDescent="0.25"/>
    <row r="11134" ht="15" customHeight="1" x14ac:dyDescent="0.25"/>
    <row r="11136" ht="15" customHeight="1" x14ac:dyDescent="0.25"/>
    <row r="11138" ht="15" customHeight="1" x14ac:dyDescent="0.25"/>
    <row r="11140" ht="15" customHeight="1" x14ac:dyDescent="0.25"/>
    <row r="11142" ht="15" customHeight="1" x14ac:dyDescent="0.25"/>
    <row r="11144" ht="15" customHeight="1" x14ac:dyDescent="0.25"/>
    <row r="11146" ht="15" customHeight="1" x14ac:dyDescent="0.25"/>
    <row r="11148" ht="15" customHeight="1" x14ac:dyDescent="0.25"/>
    <row r="11150" ht="15" customHeight="1" x14ac:dyDescent="0.25"/>
    <row r="11152" ht="15" customHeight="1" x14ac:dyDescent="0.25"/>
    <row r="11154" ht="15" customHeight="1" x14ac:dyDescent="0.25"/>
    <row r="11156" ht="15" customHeight="1" x14ac:dyDescent="0.25"/>
    <row r="11158" ht="15" customHeight="1" x14ac:dyDescent="0.25"/>
    <row r="11160" ht="15" customHeight="1" x14ac:dyDescent="0.25"/>
    <row r="11162" ht="15" customHeight="1" x14ac:dyDescent="0.25"/>
    <row r="11164" ht="15" customHeight="1" x14ac:dyDescent="0.25"/>
    <row r="11166" ht="15" customHeight="1" x14ac:dyDescent="0.25"/>
    <row r="11168" ht="15" customHeight="1" x14ac:dyDescent="0.25"/>
    <row r="11170" ht="15" customHeight="1" x14ac:dyDescent="0.25"/>
    <row r="11172" ht="15" customHeight="1" x14ac:dyDescent="0.25"/>
    <row r="11174" ht="15" customHeight="1" x14ac:dyDescent="0.25"/>
    <row r="11176" ht="15" customHeight="1" x14ac:dyDescent="0.25"/>
    <row r="11178" ht="15" customHeight="1" x14ac:dyDescent="0.25"/>
    <row r="11180" ht="15" customHeight="1" x14ac:dyDescent="0.25"/>
    <row r="11182" ht="15" customHeight="1" x14ac:dyDescent="0.25"/>
    <row r="11184" ht="15" customHeight="1" x14ac:dyDescent="0.25"/>
    <row r="11186" ht="15" customHeight="1" x14ac:dyDescent="0.25"/>
    <row r="11188" ht="15" customHeight="1" x14ac:dyDescent="0.25"/>
    <row r="11190" ht="15" customHeight="1" x14ac:dyDescent="0.25"/>
    <row r="11192" ht="15" customHeight="1" x14ac:dyDescent="0.25"/>
    <row r="11194" ht="15" customHeight="1" x14ac:dyDescent="0.25"/>
    <row r="11196" ht="15" customHeight="1" x14ac:dyDescent="0.25"/>
    <row r="11198" ht="15" customHeight="1" x14ac:dyDescent="0.25"/>
    <row r="11200" ht="15" customHeight="1" x14ac:dyDescent="0.25"/>
    <row r="11202" ht="15" customHeight="1" x14ac:dyDescent="0.25"/>
    <row r="11204" ht="15" customHeight="1" x14ac:dyDescent="0.25"/>
    <row r="11206" ht="15" customHeight="1" x14ac:dyDescent="0.25"/>
    <row r="11208" ht="15" customHeight="1" x14ac:dyDescent="0.25"/>
    <row r="11210" ht="15" customHeight="1" x14ac:dyDescent="0.25"/>
    <row r="11212" ht="15" customHeight="1" x14ac:dyDescent="0.25"/>
    <row r="11214" ht="15" customHeight="1" x14ac:dyDescent="0.25"/>
    <row r="11216" ht="15" customHeight="1" x14ac:dyDescent="0.25"/>
    <row r="11218" ht="15" customHeight="1" x14ac:dyDescent="0.25"/>
    <row r="11220" ht="15" customHeight="1" x14ac:dyDescent="0.25"/>
    <row r="11222" ht="15" customHeight="1" x14ac:dyDescent="0.25"/>
    <row r="11224" ht="15" customHeight="1" x14ac:dyDescent="0.25"/>
    <row r="11226" ht="15" customHeight="1" x14ac:dyDescent="0.25"/>
    <row r="11228" ht="15" customHeight="1" x14ac:dyDescent="0.25"/>
    <row r="11230" ht="15" customHeight="1" x14ac:dyDescent="0.25"/>
    <row r="11232" ht="15" customHeight="1" x14ac:dyDescent="0.25"/>
    <row r="11234" ht="15" customHeight="1" x14ac:dyDescent="0.25"/>
    <row r="11236" ht="15" customHeight="1" x14ac:dyDescent="0.25"/>
    <row r="11238" ht="15" customHeight="1" x14ac:dyDescent="0.25"/>
    <row r="11240" ht="15" customHeight="1" x14ac:dyDescent="0.25"/>
    <row r="11242" ht="15" customHeight="1" x14ac:dyDescent="0.25"/>
    <row r="11244" ht="15" customHeight="1" x14ac:dyDescent="0.25"/>
    <row r="11246" ht="15" customHeight="1" x14ac:dyDescent="0.25"/>
    <row r="11248" ht="15" customHeight="1" x14ac:dyDescent="0.25"/>
    <row r="11250" ht="15" customHeight="1" x14ac:dyDescent="0.25"/>
    <row r="11252" ht="15" customHeight="1" x14ac:dyDescent="0.25"/>
    <row r="11254" ht="15" customHeight="1" x14ac:dyDescent="0.25"/>
    <row r="11256" ht="15" customHeight="1" x14ac:dyDescent="0.25"/>
    <row r="11258" ht="15" customHeight="1" x14ac:dyDescent="0.25"/>
    <row r="11260" ht="15" customHeight="1" x14ac:dyDescent="0.25"/>
    <row r="11262" ht="15" customHeight="1" x14ac:dyDescent="0.25"/>
    <row r="11264" ht="15" customHeight="1" x14ac:dyDescent="0.25"/>
    <row r="11266" ht="15" customHeight="1" x14ac:dyDescent="0.25"/>
    <row r="11268" ht="15" customHeight="1" x14ac:dyDescent="0.25"/>
    <row r="11270" ht="15" customHeight="1" x14ac:dyDescent="0.25"/>
    <row r="11272" ht="15" customHeight="1" x14ac:dyDescent="0.25"/>
    <row r="11274" ht="15" customHeight="1" x14ac:dyDescent="0.25"/>
    <row r="11276" ht="15" customHeight="1" x14ac:dyDescent="0.25"/>
    <row r="11278" ht="15" customHeight="1" x14ac:dyDescent="0.25"/>
    <row r="11280" ht="15" customHeight="1" x14ac:dyDescent="0.25"/>
    <row r="11282" ht="15" customHeight="1" x14ac:dyDescent="0.25"/>
    <row r="11284" ht="15" customHeight="1" x14ac:dyDescent="0.25"/>
    <row r="11286" ht="15" customHeight="1" x14ac:dyDescent="0.25"/>
    <row r="11288" ht="15" customHeight="1" x14ac:dyDescent="0.25"/>
    <row r="11290" ht="15" customHeight="1" x14ac:dyDescent="0.25"/>
    <row r="11292" ht="15" customHeight="1" x14ac:dyDescent="0.25"/>
    <row r="11294" ht="15" customHeight="1" x14ac:dyDescent="0.25"/>
    <row r="11296" ht="15" customHeight="1" x14ac:dyDescent="0.25"/>
    <row r="11298" ht="15" customHeight="1" x14ac:dyDescent="0.25"/>
    <row r="11300" ht="15" customHeight="1" x14ac:dyDescent="0.25"/>
    <row r="11302" ht="15" customHeight="1" x14ac:dyDescent="0.25"/>
    <row r="11304" ht="15" customHeight="1" x14ac:dyDescent="0.25"/>
    <row r="11306" ht="15" customHeight="1" x14ac:dyDescent="0.25"/>
    <row r="11308" ht="15" customHeight="1" x14ac:dyDescent="0.25"/>
    <row r="11310" ht="15" customHeight="1" x14ac:dyDescent="0.25"/>
    <row r="11312" ht="15" customHeight="1" x14ac:dyDescent="0.25"/>
    <row r="11314" ht="15" customHeight="1" x14ac:dyDescent="0.25"/>
    <row r="11316" ht="15" customHeight="1" x14ac:dyDescent="0.25"/>
    <row r="11318" ht="15" customHeight="1" x14ac:dyDescent="0.25"/>
    <row r="11320" ht="15" customHeight="1" x14ac:dyDescent="0.25"/>
    <row r="11322" ht="15" customHeight="1" x14ac:dyDescent="0.25"/>
    <row r="11324" ht="15" customHeight="1" x14ac:dyDescent="0.25"/>
    <row r="11326" ht="15" customHeight="1" x14ac:dyDescent="0.25"/>
    <row r="11328" ht="15" customHeight="1" x14ac:dyDescent="0.25"/>
    <row r="11330" ht="15" customHeight="1" x14ac:dyDescent="0.25"/>
    <row r="11332" ht="15" customHeight="1" x14ac:dyDescent="0.25"/>
    <row r="11334" ht="15" customHeight="1" x14ac:dyDescent="0.25"/>
    <row r="11336" ht="15" customHeight="1" x14ac:dyDescent="0.25"/>
    <row r="11338" ht="15" customHeight="1" x14ac:dyDescent="0.25"/>
    <row r="11340" ht="15" customHeight="1" x14ac:dyDescent="0.25"/>
    <row r="11342" ht="15" customHeight="1" x14ac:dyDescent="0.25"/>
    <row r="11344" ht="15" customHeight="1" x14ac:dyDescent="0.25"/>
    <row r="11346" ht="15" customHeight="1" x14ac:dyDescent="0.25"/>
    <row r="11348" ht="15" customHeight="1" x14ac:dyDescent="0.25"/>
    <row r="11350" ht="15" customHeight="1" x14ac:dyDescent="0.25"/>
    <row r="11352" ht="15" customHeight="1" x14ac:dyDescent="0.25"/>
    <row r="11354" ht="15" customHeight="1" x14ac:dyDescent="0.25"/>
    <row r="11356" ht="15" customHeight="1" x14ac:dyDescent="0.25"/>
    <row r="11358" ht="15" customHeight="1" x14ac:dyDescent="0.25"/>
    <row r="11360" ht="15" customHeight="1" x14ac:dyDescent="0.25"/>
    <row r="11362" ht="15" customHeight="1" x14ac:dyDescent="0.25"/>
    <row r="11364" ht="15" customHeight="1" x14ac:dyDescent="0.25"/>
    <row r="11366" ht="15" customHeight="1" x14ac:dyDescent="0.25"/>
    <row r="11368" ht="15" customHeight="1" x14ac:dyDescent="0.25"/>
    <row r="11370" ht="15" customHeight="1" x14ac:dyDescent="0.25"/>
    <row r="11372" ht="15" customHeight="1" x14ac:dyDescent="0.25"/>
    <row r="11374" ht="15" customHeight="1" x14ac:dyDescent="0.25"/>
    <row r="11376" ht="15" customHeight="1" x14ac:dyDescent="0.25"/>
    <row r="11378" ht="15" customHeight="1" x14ac:dyDescent="0.25"/>
    <row r="11380" ht="15" customHeight="1" x14ac:dyDescent="0.25"/>
    <row r="11382" ht="15" customHeight="1" x14ac:dyDescent="0.25"/>
    <row r="11384" ht="15" customHeight="1" x14ac:dyDescent="0.25"/>
    <row r="11386" ht="15" customHeight="1" x14ac:dyDescent="0.25"/>
    <row r="11388" ht="15" customHeight="1" x14ac:dyDescent="0.25"/>
    <row r="11390" ht="15" customHeight="1" x14ac:dyDescent="0.25"/>
    <row r="11392" ht="15" customHeight="1" x14ac:dyDescent="0.25"/>
    <row r="11394" ht="15" customHeight="1" x14ac:dyDescent="0.25"/>
    <row r="11396" ht="15" customHeight="1" x14ac:dyDescent="0.25"/>
    <row r="11398" ht="15" customHeight="1" x14ac:dyDescent="0.25"/>
    <row r="11400" ht="15" customHeight="1" x14ac:dyDescent="0.25"/>
    <row r="11402" ht="15" customHeight="1" x14ac:dyDescent="0.25"/>
    <row r="11404" ht="15" customHeight="1" x14ac:dyDescent="0.25"/>
    <row r="11406" ht="15" customHeight="1" x14ac:dyDescent="0.25"/>
    <row r="11408" ht="15" customHeight="1" x14ac:dyDescent="0.25"/>
    <row r="11410" ht="15" customHeight="1" x14ac:dyDescent="0.25"/>
    <row r="11412" ht="15" customHeight="1" x14ac:dyDescent="0.25"/>
    <row r="11414" ht="15" customHeight="1" x14ac:dyDescent="0.25"/>
    <row r="11416" ht="15" customHeight="1" x14ac:dyDescent="0.25"/>
    <row r="11418" ht="15" customHeight="1" x14ac:dyDescent="0.25"/>
    <row r="11420" ht="15" customHeight="1" x14ac:dyDescent="0.25"/>
    <row r="11422" ht="15" customHeight="1" x14ac:dyDescent="0.25"/>
    <row r="11424" ht="15" customHeight="1" x14ac:dyDescent="0.25"/>
    <row r="11426" ht="15" customHeight="1" x14ac:dyDescent="0.25"/>
    <row r="11428" ht="15" customHeight="1" x14ac:dyDescent="0.25"/>
    <row r="11430" ht="15" customHeight="1" x14ac:dyDescent="0.25"/>
    <row r="11432" ht="15" customHeight="1" x14ac:dyDescent="0.25"/>
    <row r="11434" ht="15" customHeight="1" x14ac:dyDescent="0.25"/>
    <row r="11436" ht="15" customHeight="1" x14ac:dyDescent="0.25"/>
    <row r="11438" ht="15" customHeight="1" x14ac:dyDescent="0.25"/>
    <row r="11440" ht="15" customHeight="1" x14ac:dyDescent="0.25"/>
    <row r="11442" ht="15" customHeight="1" x14ac:dyDescent="0.25"/>
    <row r="11444" ht="15" customHeight="1" x14ac:dyDescent="0.25"/>
    <row r="11446" ht="15" customHeight="1" x14ac:dyDescent="0.25"/>
    <row r="11448" ht="15" customHeight="1" x14ac:dyDescent="0.25"/>
    <row r="11450" ht="15" customHeight="1" x14ac:dyDescent="0.25"/>
    <row r="11452" ht="15" customHeight="1" x14ac:dyDescent="0.25"/>
    <row r="11454" ht="15" customHeight="1" x14ac:dyDescent="0.25"/>
    <row r="11456" ht="15" customHeight="1" x14ac:dyDescent="0.25"/>
    <row r="11458" ht="15" customHeight="1" x14ac:dyDescent="0.25"/>
    <row r="11460" ht="15" customHeight="1" x14ac:dyDescent="0.25"/>
    <row r="11462" ht="15" customHeight="1" x14ac:dyDescent="0.25"/>
    <row r="11464" ht="15" customHeight="1" x14ac:dyDescent="0.25"/>
    <row r="11466" ht="15" customHeight="1" x14ac:dyDescent="0.25"/>
    <row r="11468" ht="15" customHeight="1" x14ac:dyDescent="0.25"/>
    <row r="11470" ht="15" customHeight="1" x14ac:dyDescent="0.25"/>
    <row r="11472" ht="15" customHeight="1" x14ac:dyDescent="0.25"/>
    <row r="11474" ht="15" customHeight="1" x14ac:dyDescent="0.25"/>
    <row r="11476" ht="15" customHeight="1" x14ac:dyDescent="0.25"/>
    <row r="11478" ht="15" customHeight="1" x14ac:dyDescent="0.25"/>
    <row r="11480" ht="15" customHeight="1" x14ac:dyDescent="0.25"/>
    <row r="11482" ht="15" customHeight="1" x14ac:dyDescent="0.25"/>
    <row r="11484" ht="15" customHeight="1" x14ac:dyDescent="0.25"/>
    <row r="11486" ht="15" customHeight="1" x14ac:dyDescent="0.25"/>
    <row r="11488" ht="15" customHeight="1" x14ac:dyDescent="0.25"/>
    <row r="11490" ht="15" customHeight="1" x14ac:dyDescent="0.25"/>
    <row r="11492" ht="15" customHeight="1" x14ac:dyDescent="0.25"/>
    <row r="11494" ht="15" customHeight="1" x14ac:dyDescent="0.25"/>
    <row r="11496" ht="15" customHeight="1" x14ac:dyDescent="0.25"/>
    <row r="11498" ht="15" customHeight="1" x14ac:dyDescent="0.25"/>
    <row r="11500" ht="15" customHeight="1" x14ac:dyDescent="0.25"/>
    <row r="11502" ht="15" customHeight="1" x14ac:dyDescent="0.25"/>
    <row r="11504" ht="15" customHeight="1" x14ac:dyDescent="0.25"/>
    <row r="11506" ht="15" customHeight="1" x14ac:dyDescent="0.25"/>
    <row r="11508" ht="15" customHeight="1" x14ac:dyDescent="0.25"/>
    <row r="11510" ht="15" customHeight="1" x14ac:dyDescent="0.25"/>
    <row r="11512" ht="15" customHeight="1" x14ac:dyDescent="0.25"/>
    <row r="11514" ht="15" customHeight="1" x14ac:dyDescent="0.25"/>
    <row r="11516" ht="15" customHeight="1" x14ac:dyDescent="0.25"/>
    <row r="11518" ht="15" customHeight="1" x14ac:dyDescent="0.25"/>
    <row r="11520" ht="15" customHeight="1" x14ac:dyDescent="0.25"/>
    <row r="11522" ht="15" customHeight="1" x14ac:dyDescent="0.25"/>
    <row r="11524" ht="15" customHeight="1" x14ac:dyDescent="0.25"/>
    <row r="11526" ht="15" customHeight="1" x14ac:dyDescent="0.25"/>
    <row r="11528" ht="15" customHeight="1" x14ac:dyDescent="0.25"/>
    <row r="11530" ht="15" customHeight="1" x14ac:dyDescent="0.25"/>
    <row r="11532" ht="15" customHeight="1" x14ac:dyDescent="0.25"/>
    <row r="11534" ht="15" customHeight="1" x14ac:dyDescent="0.25"/>
    <row r="11536" ht="15" customHeight="1" x14ac:dyDescent="0.25"/>
    <row r="11538" ht="15" customHeight="1" x14ac:dyDescent="0.25"/>
    <row r="11540" ht="15" customHeight="1" x14ac:dyDescent="0.25"/>
    <row r="11542" ht="15" customHeight="1" x14ac:dyDescent="0.25"/>
    <row r="11544" ht="15" customHeight="1" x14ac:dyDescent="0.25"/>
    <row r="11546" ht="15" customHeight="1" x14ac:dyDescent="0.25"/>
    <row r="1046662" spans="11:14" ht="15.4" customHeight="1" x14ac:dyDescent="0.25">
      <c r="K1046662" s="156"/>
      <c r="N1046662" s="25"/>
    </row>
    <row r="1047964" spans="14:14" x14ac:dyDescent="0.25">
      <c r="N1047964" s="13"/>
    </row>
  </sheetData>
  <autoFilter ref="A2:AB2">
    <sortState ref="A4:AC22">
      <sortCondition ref="O2:O10"/>
    </sortState>
  </autoFilter>
  <mergeCells count="27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Z1:Z2"/>
    <mergeCell ref="AA1:AA2"/>
    <mergeCell ref="AB1:AB2"/>
    <mergeCell ref="S1:S2"/>
    <mergeCell ref="T1:T2"/>
    <mergeCell ref="U1:V1"/>
    <mergeCell ref="W1:W2"/>
    <mergeCell ref="X1:X2"/>
    <mergeCell ref="Y1:Y2"/>
  </mergeCells>
  <conditionalFormatting sqref="M79:M82 M73:M76 M56:M61 M63:M68 M50:M54 M12 M16:M32 M86:M91">
    <cfRule type="cellIs" dxfId="12" priority="14" operator="equal">
      <formula>20</formula>
    </cfRule>
  </conditionalFormatting>
  <conditionalFormatting sqref="Q78:Q82 Q73:Q76 Q56:Q61 Q63:Q68 Q50:Q54 Q12 Q16:Q32 Q86:Q91">
    <cfRule type="cellIs" dxfId="11" priority="12" operator="equal">
      <formula>"NO AMPLIAR"</formula>
    </cfRule>
  </conditionalFormatting>
  <conditionalFormatting sqref="M13">
    <cfRule type="cellIs" dxfId="10" priority="11" operator="equal">
      <formula>20</formula>
    </cfRule>
  </conditionalFormatting>
  <conditionalFormatting sqref="M100">
    <cfRule type="cellIs" dxfId="9" priority="10" operator="equal">
      <formula>20</formula>
    </cfRule>
  </conditionalFormatting>
  <conditionalFormatting sqref="Q100">
    <cfRule type="cellIs" dxfId="8" priority="9" operator="equal">
      <formula>"NO AMPLIAR"</formula>
    </cfRule>
  </conditionalFormatting>
  <conditionalFormatting sqref="M101">
    <cfRule type="cellIs" dxfId="7" priority="8" operator="equal">
      <formula>20</formula>
    </cfRule>
  </conditionalFormatting>
  <conditionalFormatting sqref="Q101">
    <cfRule type="cellIs" dxfId="6" priority="7" operator="equal">
      <formula>"NO AMPLIAR"</formula>
    </cfRule>
  </conditionalFormatting>
  <conditionalFormatting sqref="M102">
    <cfRule type="cellIs" dxfId="5" priority="6" operator="equal">
      <formula>20</formula>
    </cfRule>
  </conditionalFormatting>
  <conditionalFormatting sqref="Q102">
    <cfRule type="cellIs" dxfId="4" priority="5" operator="equal">
      <formula>"NO AMPLIAR"</formula>
    </cfRule>
  </conditionalFormatting>
  <conditionalFormatting sqref="M108">
    <cfRule type="cellIs" dxfId="3" priority="4" operator="equal">
      <formula>20</formula>
    </cfRule>
  </conditionalFormatting>
  <conditionalFormatting sqref="Q108">
    <cfRule type="cellIs" dxfId="2" priority="3" operator="equal">
      <formula>"NO AMPLIAR"</formula>
    </cfRule>
  </conditionalFormatting>
  <conditionalFormatting sqref="M110">
    <cfRule type="cellIs" dxfId="1" priority="2" operator="equal">
      <formula>20</formula>
    </cfRule>
  </conditionalFormatting>
  <conditionalFormatting sqref="Q110">
    <cfRule type="cellIs" dxfId="0" priority="1" operator="equal">
      <formula>"NO AMPLIAR"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AC1048479"/>
  <sheetViews>
    <sheetView topLeftCell="R1" zoomScale="83" zoomScaleNormal="85" workbookViewId="0">
      <pane ySplit="2" topLeftCell="A143" activePane="bottomLeft" state="frozen"/>
      <selection pane="bottomLeft" activeCell="Y163" sqref="Y163"/>
    </sheetView>
  </sheetViews>
  <sheetFormatPr baseColWidth="10" defaultColWidth="11.42578125" defaultRowHeight="15" x14ac:dyDescent="0.25"/>
  <cols>
    <col min="1" max="1" width="15" customWidth="1"/>
    <col min="2" max="2" width="64.28515625" customWidth="1"/>
    <col min="3" max="3" width="16.7109375" hidden="1" customWidth="1"/>
    <col min="4" max="6" width="12.140625" hidden="1" customWidth="1"/>
    <col min="7" max="7" width="11" hidden="1" customWidth="1"/>
    <col min="8" max="8" width="11.28515625" hidden="1" customWidth="1"/>
    <col min="9" max="9" width="13.42578125" hidden="1" customWidth="1"/>
    <col min="10" max="10" width="18.28515625" hidden="1" customWidth="1"/>
    <col min="11" max="11" width="15.140625" customWidth="1"/>
    <col min="12" max="12" width="9.85546875" customWidth="1"/>
    <col min="13" max="13" width="14.28515625" customWidth="1"/>
    <col min="14" max="14" width="10.140625" customWidth="1"/>
    <col min="15" max="15" width="8.28515625" customWidth="1"/>
    <col min="16" max="16" width="9.42578125" customWidth="1"/>
    <col min="17" max="17" width="7.42578125" customWidth="1"/>
    <col min="18" max="18" width="13.5703125" customWidth="1"/>
    <col min="19" max="20" width="12.5703125" customWidth="1"/>
    <col min="21" max="21" width="19.5703125" bestFit="1" customWidth="1"/>
    <col min="22" max="22" width="14.7109375" bestFit="1" customWidth="1"/>
    <col min="23" max="23" width="15.28515625" customWidth="1"/>
    <col min="24" max="24" width="15" customWidth="1"/>
    <col min="25" max="25" width="16.5703125" customWidth="1"/>
    <col min="26" max="27" width="14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63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5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4" customFormat="1" x14ac:dyDescent="0.25">
      <c r="A3" s="55" t="s">
        <v>120</v>
      </c>
      <c r="B3" s="55" t="s">
        <v>121</v>
      </c>
      <c r="C3" s="55">
        <v>50</v>
      </c>
      <c r="D3" s="55">
        <v>55</v>
      </c>
      <c r="E3" s="55">
        <v>50</v>
      </c>
      <c r="F3" s="55">
        <v>50</v>
      </c>
      <c r="G3" s="430">
        <v>325</v>
      </c>
      <c r="H3" s="419">
        <v>400</v>
      </c>
      <c r="I3" s="55">
        <v>70</v>
      </c>
      <c r="J3" s="55" t="s">
        <v>122</v>
      </c>
      <c r="K3" s="420">
        <v>768549</v>
      </c>
      <c r="L3" s="55"/>
      <c r="M3" s="55" t="s">
        <v>263</v>
      </c>
      <c r="N3" s="93" t="s">
        <v>280</v>
      </c>
      <c r="O3" s="55">
        <v>1</v>
      </c>
      <c r="P3" s="273"/>
      <c r="Q3" s="66"/>
      <c r="R3" s="186">
        <v>200</v>
      </c>
      <c r="S3" s="52">
        <v>200</v>
      </c>
      <c r="T3" s="52"/>
      <c r="U3" s="275"/>
      <c r="V3" s="18"/>
      <c r="W3" s="66">
        <f t="shared" ref="W3:W34" si="0">U3+V3</f>
        <v>0</v>
      </c>
      <c r="X3" s="47">
        <v>9200</v>
      </c>
      <c r="Y3" s="8">
        <v>8897.06</v>
      </c>
      <c r="Z3" s="8">
        <f t="shared" ref="Z3:Z34" si="1">R3*X3</f>
        <v>1840000</v>
      </c>
      <c r="AA3" s="122">
        <f t="shared" ref="AA3:AA34" si="2">W3*Y3</f>
        <v>0</v>
      </c>
      <c r="AB3" s="69"/>
    </row>
    <row r="4" spans="1:28" s="116" customFormat="1" x14ac:dyDescent="0.25">
      <c r="A4" s="68" t="s">
        <v>281</v>
      </c>
      <c r="B4" s="66" t="s">
        <v>282</v>
      </c>
      <c r="C4" s="66">
        <v>60</v>
      </c>
      <c r="D4" s="66">
        <v>80</v>
      </c>
      <c r="E4" s="66">
        <v>120</v>
      </c>
      <c r="F4" s="66">
        <v>150</v>
      </c>
      <c r="G4" s="66">
        <v>250</v>
      </c>
      <c r="H4" s="319">
        <v>1345</v>
      </c>
      <c r="I4" s="66">
        <v>80</v>
      </c>
      <c r="J4" s="66" t="s">
        <v>122</v>
      </c>
      <c r="K4" s="187">
        <v>768549</v>
      </c>
      <c r="L4" s="66"/>
      <c r="M4" s="66" t="s">
        <v>283</v>
      </c>
      <c r="N4" s="64" t="s">
        <v>280</v>
      </c>
      <c r="O4" s="66">
        <v>2</v>
      </c>
      <c r="P4" s="273" t="s">
        <v>284</v>
      </c>
      <c r="Q4" s="66"/>
      <c r="R4" s="186">
        <v>1000</v>
      </c>
      <c r="S4" s="186">
        <v>700</v>
      </c>
      <c r="T4" s="186"/>
      <c r="U4" s="66">
        <v>700</v>
      </c>
      <c r="V4" s="66"/>
      <c r="W4" s="66">
        <f t="shared" si="0"/>
        <v>700</v>
      </c>
      <c r="X4" s="67">
        <v>3678.08</v>
      </c>
      <c r="Y4" s="65">
        <v>3215</v>
      </c>
      <c r="Z4" s="8">
        <f t="shared" si="1"/>
        <v>3678080</v>
      </c>
      <c r="AA4" s="122">
        <f t="shared" si="2"/>
        <v>2250500</v>
      </c>
      <c r="AB4" s="274"/>
    </row>
    <row r="5" spans="1:28" s="116" customFormat="1" x14ac:dyDescent="0.25">
      <c r="A5" s="55" t="s">
        <v>168</v>
      </c>
      <c r="B5" s="55" t="s">
        <v>169</v>
      </c>
      <c r="C5" s="55"/>
      <c r="D5" s="55">
        <v>0</v>
      </c>
      <c r="E5" s="55">
        <v>20</v>
      </c>
      <c r="F5" s="55">
        <v>0</v>
      </c>
      <c r="G5" s="55"/>
      <c r="H5" s="419">
        <v>0</v>
      </c>
      <c r="I5" s="55"/>
      <c r="J5" s="55" t="s">
        <v>122</v>
      </c>
      <c r="K5" s="420">
        <v>768549</v>
      </c>
      <c r="L5" s="55"/>
      <c r="M5" s="55" t="s">
        <v>285</v>
      </c>
      <c r="N5" s="93" t="s">
        <v>280</v>
      </c>
      <c r="O5" s="55">
        <v>3</v>
      </c>
      <c r="P5" s="273"/>
      <c r="Q5" s="66"/>
      <c r="R5" s="186">
        <v>100</v>
      </c>
      <c r="S5" s="186">
        <v>100</v>
      </c>
      <c r="T5" s="186"/>
      <c r="U5" s="66"/>
      <c r="V5" s="66"/>
      <c r="W5" s="66">
        <f t="shared" si="0"/>
        <v>0</v>
      </c>
      <c r="X5" s="67">
        <v>3489</v>
      </c>
      <c r="Y5" s="65">
        <v>20200</v>
      </c>
      <c r="Z5" s="8">
        <f t="shared" si="1"/>
        <v>348900</v>
      </c>
      <c r="AA5" s="122">
        <f t="shared" si="2"/>
        <v>0</v>
      </c>
      <c r="AB5" s="274"/>
    </row>
    <row r="6" spans="1:28" s="116" customFormat="1" x14ac:dyDescent="0.25">
      <c r="A6" s="273" t="s">
        <v>286</v>
      </c>
      <c r="B6" s="273" t="s">
        <v>287</v>
      </c>
      <c r="C6" s="66">
        <v>300</v>
      </c>
      <c r="D6" s="66">
        <v>80</v>
      </c>
      <c r="E6" s="66">
        <v>100</v>
      </c>
      <c r="F6" s="66">
        <v>150</v>
      </c>
      <c r="G6" s="171">
        <v>500</v>
      </c>
      <c r="H6" s="319">
        <v>1410</v>
      </c>
      <c r="I6" s="66">
        <v>120</v>
      </c>
      <c r="J6" s="66" t="s">
        <v>122</v>
      </c>
      <c r="K6" s="187">
        <v>768549</v>
      </c>
      <c r="L6" s="66"/>
      <c r="M6" s="66" t="s">
        <v>263</v>
      </c>
      <c r="N6" s="64" t="s">
        <v>280</v>
      </c>
      <c r="O6" s="66">
        <v>4</v>
      </c>
      <c r="P6" s="273" t="s">
        <v>288</v>
      </c>
      <c r="Q6" s="66"/>
      <c r="R6" s="186">
        <v>900</v>
      </c>
      <c r="S6" s="66">
        <v>700</v>
      </c>
      <c r="T6" s="66"/>
      <c r="U6" s="66">
        <v>700</v>
      </c>
      <c r="V6" s="63"/>
      <c r="W6" s="66">
        <f t="shared" si="0"/>
        <v>700</v>
      </c>
      <c r="X6" s="67">
        <v>5202.59</v>
      </c>
      <c r="Y6" s="65">
        <v>5192.9799999999996</v>
      </c>
      <c r="Z6" s="8">
        <f t="shared" si="1"/>
        <v>4682331</v>
      </c>
      <c r="AA6" s="122">
        <f t="shared" si="2"/>
        <v>3635085.9999999995</v>
      </c>
      <c r="AB6" s="172"/>
    </row>
    <row r="7" spans="1:28" s="132" customFormat="1" x14ac:dyDescent="0.25">
      <c r="A7" s="193" t="s">
        <v>289</v>
      </c>
      <c r="B7" s="66" t="s">
        <v>290</v>
      </c>
      <c r="C7" s="66">
        <v>600</v>
      </c>
      <c r="D7" s="66">
        <v>570</v>
      </c>
      <c r="E7" s="66">
        <v>600</v>
      </c>
      <c r="F7" s="66">
        <v>800</v>
      </c>
      <c r="G7" s="171">
        <v>1700</v>
      </c>
      <c r="H7" s="319">
        <v>7460</v>
      </c>
      <c r="I7" s="66">
        <v>520</v>
      </c>
      <c r="J7" s="66" t="s">
        <v>122</v>
      </c>
      <c r="K7" s="187">
        <v>768549</v>
      </c>
      <c r="L7" s="66"/>
      <c r="M7" s="66" t="s">
        <v>263</v>
      </c>
      <c r="N7" s="64" t="s">
        <v>280</v>
      </c>
      <c r="O7" s="66">
        <v>5</v>
      </c>
      <c r="P7" s="273" t="s">
        <v>288</v>
      </c>
      <c r="Q7" s="66"/>
      <c r="R7" s="186">
        <v>5000</v>
      </c>
      <c r="S7" s="186">
        <v>3500</v>
      </c>
      <c r="T7" s="186"/>
      <c r="U7" s="66">
        <v>3500</v>
      </c>
      <c r="V7" s="63"/>
      <c r="W7" s="66">
        <f t="shared" si="0"/>
        <v>3500</v>
      </c>
      <c r="X7" s="67">
        <v>423</v>
      </c>
      <c r="Y7" s="65">
        <v>661.76</v>
      </c>
      <c r="Z7" s="8">
        <f t="shared" si="1"/>
        <v>2115000</v>
      </c>
      <c r="AA7" s="122">
        <f t="shared" si="2"/>
        <v>2316160</v>
      </c>
      <c r="AB7" s="172"/>
    </row>
    <row r="8" spans="1:28" s="132" customFormat="1" x14ac:dyDescent="0.25">
      <c r="A8" s="66" t="s">
        <v>291</v>
      </c>
      <c r="B8" s="66" t="s">
        <v>292</v>
      </c>
      <c r="C8" s="66">
        <v>200</v>
      </c>
      <c r="D8" s="66">
        <v>200</v>
      </c>
      <c r="E8" s="66">
        <v>200</v>
      </c>
      <c r="F8" s="66">
        <v>300</v>
      </c>
      <c r="G8" s="66">
        <v>500</v>
      </c>
      <c r="H8" s="319">
        <v>2620</v>
      </c>
      <c r="I8" s="66">
        <v>1000</v>
      </c>
      <c r="J8" s="66" t="s">
        <v>122</v>
      </c>
      <c r="K8" s="187">
        <v>768549</v>
      </c>
      <c r="L8" s="66"/>
      <c r="M8" s="63" t="s">
        <v>293</v>
      </c>
      <c r="N8" s="64" t="s">
        <v>280</v>
      </c>
      <c r="O8" s="66">
        <v>6</v>
      </c>
      <c r="P8" s="66" t="s">
        <v>294</v>
      </c>
      <c r="Q8" s="66"/>
      <c r="R8" s="186">
        <v>1500</v>
      </c>
      <c r="S8" s="66">
        <v>800</v>
      </c>
      <c r="T8" s="66"/>
      <c r="U8" s="66">
        <v>800</v>
      </c>
      <c r="V8" s="63"/>
      <c r="W8" s="66">
        <f t="shared" si="0"/>
        <v>800</v>
      </c>
      <c r="X8" s="67">
        <v>3082.71</v>
      </c>
      <c r="Y8" s="65">
        <v>2790</v>
      </c>
      <c r="Z8" s="8">
        <f t="shared" si="1"/>
        <v>4624065</v>
      </c>
      <c r="AA8" s="122">
        <f t="shared" si="2"/>
        <v>2232000</v>
      </c>
      <c r="AB8" s="172"/>
    </row>
    <row r="9" spans="1:28" s="4" customFormat="1" x14ac:dyDescent="0.25">
      <c r="A9" s="66" t="s">
        <v>295</v>
      </c>
      <c r="B9" s="66" t="s">
        <v>296</v>
      </c>
      <c r="C9" s="66">
        <v>50</v>
      </c>
      <c r="D9" s="169"/>
      <c r="E9" s="169">
        <v>50</v>
      </c>
      <c r="F9" s="169">
        <v>50</v>
      </c>
      <c r="G9" s="171">
        <v>150</v>
      </c>
      <c r="H9" s="66">
        <v>600</v>
      </c>
      <c r="I9" s="169"/>
      <c r="J9" s="173" t="s">
        <v>122</v>
      </c>
      <c r="K9" s="187">
        <v>768549</v>
      </c>
      <c r="L9" s="274"/>
      <c r="M9" s="63" t="s">
        <v>283</v>
      </c>
      <c r="N9" s="64" t="s">
        <v>280</v>
      </c>
      <c r="O9" s="66">
        <v>7</v>
      </c>
      <c r="P9" s="273" t="s">
        <v>284</v>
      </c>
      <c r="Q9" s="63"/>
      <c r="R9" s="66">
        <f>((F9*15)-G9-I9)/2</f>
        <v>300</v>
      </c>
      <c r="S9" s="18">
        <v>300</v>
      </c>
      <c r="T9" s="18"/>
      <c r="U9" s="18">
        <v>300</v>
      </c>
      <c r="V9" s="6"/>
      <c r="W9" s="66">
        <f t="shared" si="0"/>
        <v>300</v>
      </c>
      <c r="X9" s="118">
        <v>4045</v>
      </c>
      <c r="Y9" s="117">
        <v>3875</v>
      </c>
      <c r="Z9" s="8">
        <f t="shared" si="1"/>
        <v>1213500</v>
      </c>
      <c r="AA9" s="122">
        <f t="shared" si="2"/>
        <v>1162500</v>
      </c>
      <c r="AB9" s="6"/>
    </row>
    <row r="10" spans="1:28" x14ac:dyDescent="0.25">
      <c r="A10" s="258" t="s">
        <v>297</v>
      </c>
      <c r="B10" s="272" t="s">
        <v>298</v>
      </c>
      <c r="C10" s="272">
        <v>480</v>
      </c>
      <c r="D10" s="334">
        <v>300</v>
      </c>
      <c r="E10" s="334">
        <v>400</v>
      </c>
      <c r="F10" s="334">
        <v>400</v>
      </c>
      <c r="G10" s="310">
        <v>1380</v>
      </c>
      <c r="H10" s="66">
        <v>3600</v>
      </c>
      <c r="I10" s="334"/>
      <c r="J10" s="173" t="s">
        <v>122</v>
      </c>
      <c r="K10" s="187">
        <v>768549</v>
      </c>
      <c r="L10" s="335"/>
      <c r="M10" s="258" t="s">
        <v>263</v>
      </c>
      <c r="N10" s="64" t="s">
        <v>280</v>
      </c>
      <c r="O10" s="66">
        <v>8</v>
      </c>
      <c r="P10" s="273" t="s">
        <v>288</v>
      </c>
      <c r="Q10" s="258"/>
      <c r="R10" s="66">
        <v>2400</v>
      </c>
      <c r="S10" s="20">
        <v>2400</v>
      </c>
      <c r="T10" s="20"/>
      <c r="U10" s="20">
        <v>2400</v>
      </c>
      <c r="V10" s="20"/>
      <c r="W10" s="66">
        <f t="shared" si="0"/>
        <v>2400</v>
      </c>
      <c r="X10" s="453">
        <v>880</v>
      </c>
      <c r="Y10" s="191">
        <v>1077.02</v>
      </c>
      <c r="Z10" s="8">
        <f t="shared" si="1"/>
        <v>2112000</v>
      </c>
      <c r="AA10" s="122">
        <f t="shared" si="2"/>
        <v>2584848</v>
      </c>
      <c r="AB10" s="20"/>
    </row>
    <row r="11" spans="1:28" s="36" customFormat="1" x14ac:dyDescent="0.25">
      <c r="A11" s="66" t="s">
        <v>299</v>
      </c>
      <c r="B11" s="66" t="s">
        <v>300</v>
      </c>
      <c r="C11" s="66"/>
      <c r="D11" s="66"/>
      <c r="E11" s="66">
        <v>100</v>
      </c>
      <c r="F11" s="66">
        <v>100</v>
      </c>
      <c r="G11" s="171">
        <v>423</v>
      </c>
      <c r="H11" s="66">
        <v>888</v>
      </c>
      <c r="I11" s="66"/>
      <c r="J11" s="173" t="s">
        <v>122</v>
      </c>
      <c r="K11" s="187">
        <v>768549</v>
      </c>
      <c r="L11" s="66"/>
      <c r="M11" s="258" t="s">
        <v>259</v>
      </c>
      <c r="N11" s="64" t="s">
        <v>280</v>
      </c>
      <c r="O11" s="66">
        <v>9</v>
      </c>
      <c r="P11" s="66" t="s">
        <v>301</v>
      </c>
      <c r="Q11" s="66"/>
      <c r="R11" s="66">
        <v>600</v>
      </c>
      <c r="S11" s="18">
        <v>600</v>
      </c>
      <c r="T11" s="18"/>
      <c r="U11" s="18">
        <v>600</v>
      </c>
      <c r="V11" s="6"/>
      <c r="W11" s="66">
        <f t="shared" si="0"/>
        <v>600</v>
      </c>
      <c r="X11" s="118">
        <v>1486.45</v>
      </c>
      <c r="Y11" s="117">
        <v>1508.32</v>
      </c>
      <c r="Z11" s="8">
        <f t="shared" si="1"/>
        <v>891870</v>
      </c>
      <c r="AA11" s="122">
        <f t="shared" si="2"/>
        <v>904992</v>
      </c>
      <c r="AB11" s="18"/>
    </row>
    <row r="12" spans="1:28" s="36" customFormat="1" x14ac:dyDescent="0.25">
      <c r="A12" s="55" t="s">
        <v>228</v>
      </c>
      <c r="B12" s="55" t="s">
        <v>229</v>
      </c>
      <c r="C12" s="55"/>
      <c r="D12" s="55"/>
      <c r="E12" s="55">
        <v>30</v>
      </c>
      <c r="F12" s="55">
        <v>50</v>
      </c>
      <c r="G12" s="430">
        <v>150</v>
      </c>
      <c r="H12" s="55">
        <v>200</v>
      </c>
      <c r="I12" s="55"/>
      <c r="J12" s="250" t="s">
        <v>122</v>
      </c>
      <c r="K12" s="420">
        <v>768549</v>
      </c>
      <c r="L12" s="55"/>
      <c r="M12" s="55" t="s">
        <v>283</v>
      </c>
      <c r="N12" s="93" t="s">
        <v>280</v>
      </c>
      <c r="O12" s="55">
        <v>10</v>
      </c>
      <c r="P12" s="66"/>
      <c r="Q12" s="66"/>
      <c r="R12" s="66">
        <v>300</v>
      </c>
      <c r="S12" s="18">
        <v>300</v>
      </c>
      <c r="T12" s="18"/>
      <c r="U12" s="18"/>
      <c r="V12" s="18"/>
      <c r="W12" s="66">
        <f t="shared" si="0"/>
        <v>0</v>
      </c>
      <c r="X12" s="118">
        <v>5023</v>
      </c>
      <c r="Y12" s="117">
        <v>5845</v>
      </c>
      <c r="Z12" s="8">
        <f t="shared" si="1"/>
        <v>1506900</v>
      </c>
      <c r="AA12" s="122">
        <f t="shared" si="2"/>
        <v>0</v>
      </c>
      <c r="AB12" s="18"/>
    </row>
    <row r="13" spans="1:28" s="36" customFormat="1" x14ac:dyDescent="0.25">
      <c r="A13" s="127" t="s">
        <v>302</v>
      </c>
      <c r="B13" s="54" t="s">
        <v>303</v>
      </c>
      <c r="C13" s="54"/>
      <c r="D13" s="66"/>
      <c r="E13" s="66">
        <v>30</v>
      </c>
      <c r="F13" s="66">
        <v>20</v>
      </c>
      <c r="G13" s="171">
        <v>216</v>
      </c>
      <c r="H13" s="66">
        <v>180</v>
      </c>
      <c r="I13" s="66"/>
      <c r="J13" s="173" t="s">
        <v>122</v>
      </c>
      <c r="K13" s="187">
        <v>768549</v>
      </c>
      <c r="L13" s="66"/>
      <c r="M13" s="66" t="s">
        <v>272</v>
      </c>
      <c r="N13" s="64" t="s">
        <v>280</v>
      </c>
      <c r="O13" s="66">
        <v>11</v>
      </c>
      <c r="P13" s="66" t="s">
        <v>304</v>
      </c>
      <c r="Q13" s="66"/>
      <c r="R13" s="66">
        <v>120</v>
      </c>
      <c r="S13" s="18">
        <v>120</v>
      </c>
      <c r="T13" s="18"/>
      <c r="U13" s="18">
        <v>120</v>
      </c>
      <c r="V13" s="18"/>
      <c r="W13" s="66">
        <f t="shared" si="0"/>
        <v>120</v>
      </c>
      <c r="X13" s="118">
        <v>412.5</v>
      </c>
      <c r="Y13" s="117">
        <v>412.5</v>
      </c>
      <c r="Z13" s="8">
        <f t="shared" si="1"/>
        <v>49500</v>
      </c>
      <c r="AA13" s="122">
        <f t="shared" si="2"/>
        <v>49500</v>
      </c>
      <c r="AB13" s="18"/>
    </row>
    <row r="14" spans="1:28" s="36" customFormat="1" x14ac:dyDescent="0.25">
      <c r="A14" s="66" t="s">
        <v>305</v>
      </c>
      <c r="B14" s="66" t="s">
        <v>306</v>
      </c>
      <c r="C14" s="66"/>
      <c r="D14" s="66">
        <v>120</v>
      </c>
      <c r="E14" s="66">
        <v>120</v>
      </c>
      <c r="F14" s="66">
        <v>140</v>
      </c>
      <c r="G14" s="171">
        <v>290</v>
      </c>
      <c r="H14" s="66">
        <v>1070</v>
      </c>
      <c r="I14" s="66">
        <v>70</v>
      </c>
      <c r="J14" s="173" t="s">
        <v>122</v>
      </c>
      <c r="K14" s="187">
        <v>768549</v>
      </c>
      <c r="L14" s="66"/>
      <c r="M14" s="64" t="s">
        <v>293</v>
      </c>
      <c r="N14" s="64" t="s">
        <v>280</v>
      </c>
      <c r="O14" s="66">
        <v>12</v>
      </c>
      <c r="P14" s="66" t="s">
        <v>294</v>
      </c>
      <c r="Q14" s="66"/>
      <c r="R14" s="66">
        <v>900</v>
      </c>
      <c r="S14" s="18">
        <v>900</v>
      </c>
      <c r="T14" s="18"/>
      <c r="U14" s="18">
        <v>900</v>
      </c>
      <c r="V14" s="18"/>
      <c r="W14" s="66">
        <f t="shared" si="0"/>
        <v>900</v>
      </c>
      <c r="X14" s="118">
        <v>2108</v>
      </c>
      <c r="Y14" s="117">
        <v>2317</v>
      </c>
      <c r="Z14" s="8">
        <f t="shared" si="1"/>
        <v>1897200</v>
      </c>
      <c r="AA14" s="122">
        <f t="shared" si="2"/>
        <v>2085300</v>
      </c>
      <c r="AB14" s="18"/>
    </row>
    <row r="15" spans="1:28" x14ac:dyDescent="0.25">
      <c r="A15" s="62" t="s">
        <v>238</v>
      </c>
      <c r="B15" s="56" t="s">
        <v>239</v>
      </c>
      <c r="C15" s="56">
        <v>56</v>
      </c>
      <c r="D15" s="441">
        <v>120</v>
      </c>
      <c r="E15" s="441">
        <v>100</v>
      </c>
      <c r="F15" s="441">
        <v>120</v>
      </c>
      <c r="G15" s="445">
        <v>492</v>
      </c>
      <c r="H15" s="55">
        <v>600</v>
      </c>
      <c r="I15" s="446">
        <v>0</v>
      </c>
      <c r="J15" s="250" t="s">
        <v>122</v>
      </c>
      <c r="K15" s="420">
        <v>768549</v>
      </c>
      <c r="L15" s="447"/>
      <c r="M15" s="450" t="s">
        <v>272</v>
      </c>
      <c r="N15" s="93" t="s">
        <v>280</v>
      </c>
      <c r="O15" s="55">
        <v>13</v>
      </c>
      <c r="P15" s="62"/>
      <c r="Q15" s="532"/>
      <c r="R15" s="66">
        <v>500</v>
      </c>
      <c r="S15" s="39">
        <v>500</v>
      </c>
      <c r="T15" s="39"/>
      <c r="U15" s="107"/>
      <c r="V15" s="673"/>
      <c r="W15" s="66">
        <f t="shared" si="0"/>
        <v>0</v>
      </c>
      <c r="X15" s="452">
        <v>609</v>
      </c>
      <c r="Y15" s="454">
        <v>966.81</v>
      </c>
      <c r="Z15" s="8">
        <f t="shared" si="1"/>
        <v>304500</v>
      </c>
      <c r="AA15" s="122">
        <f t="shared" si="2"/>
        <v>0</v>
      </c>
      <c r="AB15" s="7"/>
    </row>
    <row r="16" spans="1:28" s="36" customFormat="1" x14ac:dyDescent="0.25">
      <c r="A16" s="66" t="s">
        <v>307</v>
      </c>
      <c r="B16" s="66" t="s">
        <v>308</v>
      </c>
      <c r="C16" s="66">
        <v>20</v>
      </c>
      <c r="D16" s="66"/>
      <c r="E16" s="66">
        <v>20</v>
      </c>
      <c r="F16" s="66">
        <v>20</v>
      </c>
      <c r="G16" s="171">
        <v>200</v>
      </c>
      <c r="H16" s="66">
        <v>260</v>
      </c>
      <c r="I16" s="66">
        <v>16</v>
      </c>
      <c r="J16" s="173" t="s">
        <v>122</v>
      </c>
      <c r="K16" s="187">
        <v>768549</v>
      </c>
      <c r="L16" s="66"/>
      <c r="M16" s="66" t="s">
        <v>263</v>
      </c>
      <c r="N16" s="64" t="s">
        <v>280</v>
      </c>
      <c r="O16" s="66">
        <v>14</v>
      </c>
      <c r="P16" s="273" t="s">
        <v>288</v>
      </c>
      <c r="Q16" s="66"/>
      <c r="R16" s="66">
        <v>120</v>
      </c>
      <c r="S16" s="18">
        <v>120</v>
      </c>
      <c r="T16" s="18"/>
      <c r="U16" s="18">
        <v>120</v>
      </c>
      <c r="V16" s="18"/>
      <c r="W16" s="66">
        <f t="shared" si="0"/>
        <v>120</v>
      </c>
      <c r="X16" s="118">
        <v>3818.18</v>
      </c>
      <c r="Y16" s="117">
        <v>4150.9399999999996</v>
      </c>
      <c r="Z16" s="8">
        <f t="shared" si="1"/>
        <v>458181.6</v>
      </c>
      <c r="AA16" s="122">
        <f t="shared" si="2"/>
        <v>498112.79999999993</v>
      </c>
      <c r="AB16" s="18"/>
    </row>
    <row r="17" spans="1:29" s="4" customFormat="1" x14ac:dyDescent="0.25">
      <c r="A17" s="533" t="s">
        <v>309</v>
      </c>
      <c r="B17" s="62" t="s">
        <v>310</v>
      </c>
      <c r="C17" s="66"/>
      <c r="D17" s="169"/>
      <c r="E17" s="169">
        <v>60</v>
      </c>
      <c r="F17" s="169">
        <v>90</v>
      </c>
      <c r="G17" s="171">
        <v>180</v>
      </c>
      <c r="H17" s="66">
        <v>300</v>
      </c>
      <c r="I17" s="169"/>
      <c r="J17" s="173" t="s">
        <v>122</v>
      </c>
      <c r="K17" s="187">
        <v>768549</v>
      </c>
      <c r="L17" s="274"/>
      <c r="M17" s="211" t="s">
        <v>263</v>
      </c>
      <c r="N17" s="64" t="s">
        <v>280</v>
      </c>
      <c r="O17" s="66">
        <v>15</v>
      </c>
      <c r="P17" s="62"/>
      <c r="Q17" s="62"/>
      <c r="R17" s="66">
        <v>90</v>
      </c>
      <c r="S17" s="7">
        <v>90</v>
      </c>
      <c r="T17" s="7"/>
      <c r="U17" s="7"/>
      <c r="V17" s="7"/>
      <c r="W17" s="66">
        <f t="shared" si="0"/>
        <v>0</v>
      </c>
      <c r="X17" s="263">
        <v>2699</v>
      </c>
      <c r="Y17" s="150">
        <v>3703.48</v>
      </c>
      <c r="Z17" s="8">
        <f t="shared" si="1"/>
        <v>242910</v>
      </c>
      <c r="AA17" s="122">
        <f t="shared" si="2"/>
        <v>0</v>
      </c>
      <c r="AB17" s="7"/>
      <c r="AC17" s="680"/>
    </row>
    <row r="18" spans="1:29" s="4" customFormat="1" ht="15.75" customHeight="1" x14ac:dyDescent="0.25">
      <c r="A18" s="499" t="s">
        <v>311</v>
      </c>
      <c r="B18" s="243" t="s">
        <v>312</v>
      </c>
      <c r="C18" s="500"/>
      <c r="D18" s="55"/>
      <c r="E18" s="55">
        <v>1000</v>
      </c>
      <c r="F18" s="501">
        <v>1000</v>
      </c>
      <c r="G18" s="92">
        <f>VLOOKUP(A18,'[1]yourspreadsheetname (1)'!$A$2:$C$968, 3, FALSE)</f>
        <v>0</v>
      </c>
      <c r="H18" s="421">
        <v>4000</v>
      </c>
      <c r="I18" s="576"/>
      <c r="J18" s="502" t="s">
        <v>122</v>
      </c>
      <c r="K18" s="420">
        <v>768549</v>
      </c>
      <c r="L18" s="93"/>
      <c r="M18" s="55" t="s">
        <v>285</v>
      </c>
      <c r="N18" s="93" t="s">
        <v>280</v>
      </c>
      <c r="O18" s="55">
        <v>16</v>
      </c>
      <c r="P18" s="63"/>
      <c r="Q18" s="66"/>
      <c r="R18" s="66">
        <v>7500</v>
      </c>
      <c r="S18" s="66">
        <v>6000</v>
      </c>
      <c r="T18" s="66"/>
      <c r="U18" s="66"/>
      <c r="V18" s="66"/>
      <c r="W18" s="66">
        <f t="shared" si="0"/>
        <v>0</v>
      </c>
      <c r="X18" s="140">
        <v>185</v>
      </c>
      <c r="Y18" s="141">
        <v>583.75</v>
      </c>
      <c r="Z18" s="8">
        <f t="shared" si="1"/>
        <v>1387500</v>
      </c>
      <c r="AA18" s="122">
        <f t="shared" si="2"/>
        <v>0</v>
      </c>
      <c r="AB18" s="680"/>
      <c r="AC18" s="680"/>
    </row>
    <row r="19" spans="1:29" s="90" customFormat="1" ht="26.25" customHeight="1" x14ac:dyDescent="0.25">
      <c r="A19" s="60" t="s">
        <v>313</v>
      </c>
      <c r="B19" s="60" t="s">
        <v>314</v>
      </c>
      <c r="C19" s="508"/>
      <c r="D19" s="92"/>
      <c r="E19" s="92">
        <v>10</v>
      </c>
      <c r="F19" s="92">
        <v>10</v>
      </c>
      <c r="G19" s="92">
        <f>VLOOKUP(A19,'[1]yourspreadsheetname (1)'!$A$2:$C$968, 3, FALSE)</f>
        <v>55</v>
      </c>
      <c r="H19" s="257">
        <v>120</v>
      </c>
      <c r="I19" s="92"/>
      <c r="J19" s="92"/>
      <c r="K19" s="420">
        <v>768549</v>
      </c>
      <c r="L19" s="92"/>
      <c r="M19" s="92" t="s">
        <v>285</v>
      </c>
      <c r="N19" s="93" t="s">
        <v>280</v>
      </c>
      <c r="O19" s="55">
        <v>17</v>
      </c>
      <c r="P19" s="54"/>
      <c r="Q19" s="54"/>
      <c r="R19" s="66">
        <v>60</v>
      </c>
      <c r="S19" s="12"/>
      <c r="T19" s="12"/>
      <c r="U19" s="12"/>
      <c r="V19" s="12"/>
      <c r="W19" s="66">
        <f t="shared" si="0"/>
        <v>0</v>
      </c>
      <c r="X19" s="122"/>
      <c r="Y19" s="122"/>
      <c r="Z19" s="8">
        <f t="shared" si="1"/>
        <v>0</v>
      </c>
      <c r="AA19" s="122">
        <f t="shared" si="2"/>
        <v>0</v>
      </c>
      <c r="AB19" s="12"/>
    </row>
    <row r="20" spans="1:29" s="90" customFormat="1" x14ac:dyDescent="0.25">
      <c r="A20" s="92" t="s">
        <v>315</v>
      </c>
      <c r="B20" s="92" t="s">
        <v>316</v>
      </c>
      <c r="C20" s="92"/>
      <c r="D20" s="303"/>
      <c r="E20" s="428">
        <v>4</v>
      </c>
      <c r="F20" s="428">
        <v>1</v>
      </c>
      <c r="G20" s="92">
        <f>VLOOKUP(A20,'[1]yourspreadsheetname (1)'!$A$2:$C$968, 3, FALSE)</f>
        <v>5</v>
      </c>
      <c r="H20" s="257">
        <v>40</v>
      </c>
      <c r="I20" s="303"/>
      <c r="J20" s="303"/>
      <c r="K20" s="420">
        <v>768549</v>
      </c>
      <c r="L20" s="404"/>
      <c r="M20" s="428" t="s">
        <v>285</v>
      </c>
      <c r="N20" s="93" t="s">
        <v>280</v>
      </c>
      <c r="O20" s="55">
        <v>18</v>
      </c>
      <c r="P20" s="54"/>
      <c r="Q20" s="125"/>
      <c r="R20" s="66">
        <f>((F20*15)-G20-I20)/2</f>
        <v>5</v>
      </c>
      <c r="S20" s="110"/>
      <c r="T20" s="110"/>
      <c r="U20" s="110"/>
      <c r="V20" s="229"/>
      <c r="W20" s="66">
        <f t="shared" si="0"/>
        <v>0</v>
      </c>
      <c r="X20" s="155"/>
      <c r="Y20" s="230"/>
      <c r="Z20" s="8">
        <f t="shared" si="1"/>
        <v>0</v>
      </c>
      <c r="AA20" s="122">
        <f t="shared" si="2"/>
        <v>0</v>
      </c>
      <c r="AB20" s="229"/>
    </row>
    <row r="21" spans="1:29" s="90" customFormat="1" x14ac:dyDescent="0.25">
      <c r="A21" s="428" t="s">
        <v>317</v>
      </c>
      <c r="B21" s="428" t="s">
        <v>318</v>
      </c>
      <c r="C21" s="259">
        <v>20</v>
      </c>
      <c r="D21" s="92"/>
      <c r="E21" s="92">
        <v>0</v>
      </c>
      <c r="F21" s="92">
        <v>2</v>
      </c>
      <c r="G21" s="92">
        <f>VLOOKUP(A21,'[1]yourspreadsheetname (1)'!$A$2:$C$968, 3, FALSE)</f>
        <v>7</v>
      </c>
      <c r="H21" s="257">
        <v>10</v>
      </c>
      <c r="I21" s="92"/>
      <c r="J21" s="92"/>
      <c r="K21" s="420">
        <v>768549</v>
      </c>
      <c r="L21" s="92"/>
      <c r="M21" s="92" t="s">
        <v>285</v>
      </c>
      <c r="N21" s="93" t="s">
        <v>280</v>
      </c>
      <c r="O21" s="55">
        <v>19</v>
      </c>
      <c r="P21" s="54"/>
      <c r="Q21" s="54"/>
      <c r="R21" s="66">
        <v>10</v>
      </c>
      <c r="S21" s="223"/>
      <c r="T21" s="223"/>
      <c r="U21" s="12"/>
      <c r="V21" s="12"/>
      <c r="W21" s="66">
        <f t="shared" si="0"/>
        <v>0</v>
      </c>
      <c r="X21" s="144"/>
      <c r="Y21" s="119"/>
      <c r="Z21" s="8">
        <f t="shared" si="1"/>
        <v>0</v>
      </c>
      <c r="AA21" s="122">
        <f t="shared" si="2"/>
        <v>0</v>
      </c>
      <c r="AB21" s="12"/>
      <c r="AC21" s="222"/>
    </row>
    <row r="22" spans="1:29" s="90" customFormat="1" x14ac:dyDescent="0.25">
      <c r="A22" s="81" t="s">
        <v>217</v>
      </c>
      <c r="B22" s="259" t="s">
        <v>218</v>
      </c>
      <c r="C22" s="92">
        <v>2</v>
      </c>
      <c r="D22" s="92"/>
      <c r="E22" s="92">
        <v>2</v>
      </c>
      <c r="F22" s="92">
        <v>2</v>
      </c>
      <c r="G22" s="92" t="e">
        <f>VLOOKUP(A22,'[1]yourspreadsheetname (1)'!$A$2:$C$968, 3, FALSE)</f>
        <v>#N/A</v>
      </c>
      <c r="H22" s="257">
        <v>24</v>
      </c>
      <c r="I22" s="92"/>
      <c r="J22" s="92"/>
      <c r="K22" s="420">
        <v>768549</v>
      </c>
      <c r="L22" s="92"/>
      <c r="M22" s="92" t="s">
        <v>272</v>
      </c>
      <c r="N22" s="93" t="s">
        <v>280</v>
      </c>
      <c r="O22" s="55">
        <v>20</v>
      </c>
      <c r="P22" s="54"/>
      <c r="Q22" s="54"/>
      <c r="R22" s="66" t="e">
        <f>((F22*15)-G22-I22)/2</f>
        <v>#N/A</v>
      </c>
      <c r="S22" s="223">
        <v>15</v>
      </c>
      <c r="T22" s="223"/>
      <c r="U22" s="12"/>
      <c r="V22" s="12"/>
      <c r="W22" s="66">
        <f t="shared" si="0"/>
        <v>0</v>
      </c>
      <c r="X22" s="144">
        <v>6895</v>
      </c>
      <c r="Y22" s="119">
        <v>16013.51</v>
      </c>
      <c r="Z22" s="8" t="e">
        <f t="shared" si="1"/>
        <v>#N/A</v>
      </c>
      <c r="AA22" s="122">
        <f t="shared" si="2"/>
        <v>0</v>
      </c>
      <c r="AB22" s="12"/>
    </row>
    <row r="23" spans="1:29" s="4" customFormat="1" x14ac:dyDescent="0.25">
      <c r="A23" s="83" t="s">
        <v>319</v>
      </c>
      <c r="B23" s="54" t="s">
        <v>320</v>
      </c>
      <c r="C23" s="54">
        <v>20</v>
      </c>
      <c r="D23" s="54">
        <v>40</v>
      </c>
      <c r="E23" s="54">
        <v>10</v>
      </c>
      <c r="F23" s="54">
        <v>10</v>
      </c>
      <c r="G23" s="54">
        <f>VLOOKUP(A23,'[1]yourspreadsheetname (1)'!$A$2:$C$968, 3, FALSE)</f>
        <v>30</v>
      </c>
      <c r="H23" s="535">
        <v>90</v>
      </c>
      <c r="I23" s="54"/>
      <c r="J23" s="54"/>
      <c r="K23" s="187">
        <v>768549</v>
      </c>
      <c r="L23" s="54"/>
      <c r="M23" s="507" t="s">
        <v>263</v>
      </c>
      <c r="N23" s="64" t="s">
        <v>280</v>
      </c>
      <c r="O23" s="66">
        <v>21</v>
      </c>
      <c r="P23" s="273" t="s">
        <v>288</v>
      </c>
      <c r="Q23" s="54"/>
      <c r="R23" s="66">
        <f>((F23*15)-G23-I23)/2</f>
        <v>60</v>
      </c>
      <c r="S23" s="223">
        <v>60</v>
      </c>
      <c r="T23" s="223"/>
      <c r="U23" s="223">
        <v>60</v>
      </c>
      <c r="V23" s="12"/>
      <c r="W23" s="66">
        <f t="shared" si="0"/>
        <v>60</v>
      </c>
      <c r="X23" s="225">
        <v>4779</v>
      </c>
      <c r="Y23" s="119">
        <v>5420.92</v>
      </c>
      <c r="Z23" s="8">
        <f t="shared" si="1"/>
        <v>286740</v>
      </c>
      <c r="AA23" s="122">
        <f t="shared" si="2"/>
        <v>325255.2</v>
      </c>
      <c r="AB23" s="217"/>
      <c r="AC23" s="680"/>
    </row>
    <row r="24" spans="1:29" s="4" customFormat="1" x14ac:dyDescent="0.25">
      <c r="A24" s="54" t="s">
        <v>236</v>
      </c>
      <c r="B24" s="92" t="s">
        <v>237</v>
      </c>
      <c r="C24" s="92"/>
      <c r="D24" s="92"/>
      <c r="E24" s="92">
        <v>5</v>
      </c>
      <c r="F24" s="92">
        <v>3</v>
      </c>
      <c r="G24" s="92" t="e">
        <f>VLOOKUP(A24,'[1]yourspreadsheetname (1)'!$A$2:$C$968, 3, FALSE)</f>
        <v>#N/A</v>
      </c>
      <c r="H24" s="257">
        <v>46</v>
      </c>
      <c r="I24" s="92"/>
      <c r="J24" s="92"/>
      <c r="K24" s="420">
        <v>768549</v>
      </c>
      <c r="L24" s="92"/>
      <c r="M24" s="92" t="s">
        <v>263</v>
      </c>
      <c r="N24" s="93" t="s">
        <v>280</v>
      </c>
      <c r="O24" s="55">
        <v>22</v>
      </c>
      <c r="P24" s="54"/>
      <c r="Q24" s="96"/>
      <c r="R24" s="66" t="e">
        <f>((F24*15)-G24-I24)/2</f>
        <v>#N/A</v>
      </c>
      <c r="S24" s="12">
        <v>12</v>
      </c>
      <c r="T24" s="12"/>
      <c r="U24" s="12"/>
      <c r="V24" s="29"/>
      <c r="W24" s="66">
        <f t="shared" si="0"/>
        <v>0</v>
      </c>
      <c r="X24" s="144">
        <v>43752</v>
      </c>
      <c r="Y24" s="119">
        <v>98096.88</v>
      </c>
      <c r="Z24" s="8" t="e">
        <f t="shared" si="1"/>
        <v>#N/A</v>
      </c>
      <c r="AA24" s="122">
        <f t="shared" si="2"/>
        <v>0</v>
      </c>
      <c r="AB24" s="29"/>
      <c r="AC24" s="680"/>
    </row>
    <row r="25" spans="1:29" s="4" customFormat="1" x14ac:dyDescent="0.25">
      <c r="A25" s="404" t="s">
        <v>321</v>
      </c>
      <c r="B25" s="259" t="s">
        <v>322</v>
      </c>
      <c r="C25" s="250"/>
      <c r="D25" s="250"/>
      <c r="E25" s="250"/>
      <c r="F25" s="250">
        <v>60</v>
      </c>
      <c r="G25" s="92">
        <v>0</v>
      </c>
      <c r="H25" s="257">
        <v>0</v>
      </c>
      <c r="I25" s="250"/>
      <c r="J25" s="250"/>
      <c r="K25" s="420">
        <v>768549</v>
      </c>
      <c r="L25" s="250"/>
      <c r="M25" s="482" t="s">
        <v>272</v>
      </c>
      <c r="N25" s="93" t="s">
        <v>280</v>
      </c>
      <c r="O25" s="55">
        <v>23</v>
      </c>
      <c r="P25" s="173"/>
      <c r="Q25" s="173"/>
      <c r="R25" s="66">
        <f>((F25*15)-G25-I25)/2</f>
        <v>450</v>
      </c>
      <c r="S25" s="76"/>
      <c r="T25" s="76"/>
      <c r="U25" s="31"/>
      <c r="V25" s="31"/>
      <c r="W25" s="66">
        <f t="shared" si="0"/>
        <v>0</v>
      </c>
      <c r="X25" s="151">
        <v>3081</v>
      </c>
      <c r="Y25" s="151">
        <v>9524.61</v>
      </c>
      <c r="Z25" s="8">
        <f t="shared" si="1"/>
        <v>1386450</v>
      </c>
      <c r="AA25" s="122">
        <f t="shared" si="2"/>
        <v>0</v>
      </c>
      <c r="AB25" s="31"/>
      <c r="AC25" s="680"/>
    </row>
    <row r="26" spans="1:29" s="4" customFormat="1" x14ac:dyDescent="0.25">
      <c r="A26" s="54" t="s">
        <v>323</v>
      </c>
      <c r="B26" s="54" t="s">
        <v>324</v>
      </c>
      <c r="C26" s="54"/>
      <c r="D26" s="81"/>
      <c r="E26" s="81">
        <v>20</v>
      </c>
      <c r="F26" s="81">
        <v>10</v>
      </c>
      <c r="G26" s="54">
        <f>VLOOKUP(A26,'[1]yourspreadsheetname (1)'!$A$2:$C$968, 3, FALSE)</f>
        <v>101</v>
      </c>
      <c r="H26" s="535">
        <v>155</v>
      </c>
      <c r="I26" s="81"/>
      <c r="J26" s="81"/>
      <c r="K26" s="187">
        <v>768549</v>
      </c>
      <c r="L26" s="54"/>
      <c r="M26" s="81" t="s">
        <v>259</v>
      </c>
      <c r="N26" s="64" t="s">
        <v>280</v>
      </c>
      <c r="O26" s="66">
        <v>24</v>
      </c>
      <c r="P26" s="54" t="s">
        <v>301</v>
      </c>
      <c r="Q26" s="54"/>
      <c r="R26" s="66">
        <v>25</v>
      </c>
      <c r="S26" s="223">
        <v>25</v>
      </c>
      <c r="T26" s="223"/>
      <c r="U26" s="223">
        <v>25</v>
      </c>
      <c r="V26" s="12"/>
      <c r="W26" s="66">
        <f t="shared" si="0"/>
        <v>25</v>
      </c>
      <c r="X26" s="226">
        <v>2022.32</v>
      </c>
      <c r="Y26" s="227">
        <v>1838.85</v>
      </c>
      <c r="Z26" s="8">
        <f t="shared" si="1"/>
        <v>50558</v>
      </c>
      <c r="AA26" s="122">
        <f t="shared" si="2"/>
        <v>45971.25</v>
      </c>
      <c r="AB26" s="217"/>
      <c r="AC26" s="680"/>
    </row>
    <row r="27" spans="1:29" s="4" customFormat="1" x14ac:dyDescent="0.25">
      <c r="A27" s="371" t="s">
        <v>325</v>
      </c>
      <c r="B27" s="54" t="s">
        <v>326</v>
      </c>
      <c r="C27" s="54"/>
      <c r="D27" s="54"/>
      <c r="E27" s="54">
        <v>20</v>
      </c>
      <c r="F27" s="54">
        <v>20</v>
      </c>
      <c r="G27" s="54">
        <f>VLOOKUP(A27,'[1]yourspreadsheetname (1)'!$A$2:$C$968, 3, FALSE)</f>
        <v>50</v>
      </c>
      <c r="H27" s="535">
        <v>240</v>
      </c>
      <c r="I27" s="54"/>
      <c r="J27" s="54"/>
      <c r="K27" s="187">
        <v>768549</v>
      </c>
      <c r="L27" s="54"/>
      <c r="M27" s="54" t="s">
        <v>263</v>
      </c>
      <c r="N27" s="64" t="s">
        <v>280</v>
      </c>
      <c r="O27" s="66">
        <v>25</v>
      </c>
      <c r="P27" s="273" t="s">
        <v>288</v>
      </c>
      <c r="Q27" s="54"/>
      <c r="R27" s="66">
        <f>((F27*15)-G27-I27)/2</f>
        <v>125</v>
      </c>
      <c r="S27" s="223">
        <v>125</v>
      </c>
      <c r="T27" s="223"/>
      <c r="U27" s="223">
        <v>125</v>
      </c>
      <c r="V27" s="12"/>
      <c r="W27" s="66">
        <f t="shared" si="0"/>
        <v>125</v>
      </c>
      <c r="X27" s="144">
        <v>2887.5</v>
      </c>
      <c r="Y27" s="119">
        <v>2098.9499999999998</v>
      </c>
      <c r="Z27" s="8">
        <f t="shared" si="1"/>
        <v>360937.5</v>
      </c>
      <c r="AA27" s="122">
        <f t="shared" si="2"/>
        <v>262368.75</v>
      </c>
      <c r="AB27" s="12"/>
      <c r="AC27" s="680"/>
    </row>
    <row r="28" spans="1:29" s="4" customFormat="1" x14ac:dyDescent="0.25">
      <c r="A28" s="259" t="s">
        <v>327</v>
      </c>
      <c r="B28" s="259" t="s">
        <v>222</v>
      </c>
      <c r="C28" s="92"/>
      <c r="D28" s="92"/>
      <c r="E28" s="92">
        <v>1</v>
      </c>
      <c r="F28" s="92">
        <v>90</v>
      </c>
      <c r="G28" s="92">
        <f>VLOOKUP(A28,'[1]yourspreadsheetname (1)'!$A$2:$C$968, 3, FALSE)</f>
        <v>250</v>
      </c>
      <c r="H28" s="257">
        <v>1</v>
      </c>
      <c r="I28" s="92"/>
      <c r="J28" s="92"/>
      <c r="K28" s="420">
        <v>768549</v>
      </c>
      <c r="L28" s="92"/>
      <c r="M28" s="92" t="s">
        <v>285</v>
      </c>
      <c r="N28" s="93" t="s">
        <v>280</v>
      </c>
      <c r="O28" s="55">
        <v>26</v>
      </c>
      <c r="P28" s="96"/>
      <c r="Q28" s="54"/>
      <c r="R28" s="66">
        <v>600</v>
      </c>
      <c r="S28" s="223"/>
      <c r="T28" s="223"/>
      <c r="U28" s="12"/>
      <c r="V28" s="12"/>
      <c r="W28" s="66">
        <f t="shared" si="0"/>
        <v>0</v>
      </c>
      <c r="X28" s="144">
        <v>800</v>
      </c>
      <c r="Y28" s="119"/>
      <c r="Z28" s="8">
        <f t="shared" si="1"/>
        <v>480000</v>
      </c>
      <c r="AA28" s="122">
        <f t="shared" si="2"/>
        <v>0</v>
      </c>
      <c r="AB28" s="12"/>
      <c r="AC28" s="680"/>
    </row>
    <row r="29" spans="1:29" s="116" customFormat="1" x14ac:dyDescent="0.25">
      <c r="A29" s="482" t="s">
        <v>123</v>
      </c>
      <c r="B29" s="482" t="s">
        <v>124</v>
      </c>
      <c r="C29" s="92">
        <v>33</v>
      </c>
      <c r="D29" s="92">
        <v>60</v>
      </c>
      <c r="E29" s="92">
        <v>100</v>
      </c>
      <c r="F29" s="92">
        <v>200</v>
      </c>
      <c r="G29" s="430">
        <v>0</v>
      </c>
      <c r="H29" s="482">
        <v>1200</v>
      </c>
      <c r="I29" s="55">
        <v>0</v>
      </c>
      <c r="J29" s="483" t="s">
        <v>122</v>
      </c>
      <c r="K29" s="420">
        <v>768549</v>
      </c>
      <c r="L29" s="55"/>
      <c r="M29" s="55" t="s">
        <v>272</v>
      </c>
      <c r="N29" s="93" t="s">
        <v>280</v>
      </c>
      <c r="O29" s="55">
        <v>27</v>
      </c>
      <c r="P29" s="6"/>
      <c r="Q29" s="18"/>
      <c r="R29" s="19">
        <v>1200</v>
      </c>
      <c r="S29" s="18">
        <v>1200</v>
      </c>
      <c r="T29" s="18"/>
      <c r="U29" s="275"/>
      <c r="V29" s="18"/>
      <c r="W29" s="66">
        <f t="shared" si="0"/>
        <v>0</v>
      </c>
      <c r="X29" s="118">
        <v>555.99</v>
      </c>
      <c r="Y29" s="117">
        <v>1200.01</v>
      </c>
      <c r="Z29" s="8">
        <f t="shared" si="1"/>
        <v>667188</v>
      </c>
      <c r="AA29" s="122">
        <f t="shared" si="2"/>
        <v>0</v>
      </c>
      <c r="AB29" s="18"/>
    </row>
    <row r="30" spans="1:29" s="375" customFormat="1" ht="15.75" customHeight="1" x14ac:dyDescent="0.25">
      <c r="A30" s="616"/>
      <c r="B30" s="496"/>
      <c r="C30" s="605"/>
      <c r="D30" s="377"/>
      <c r="E30" s="377"/>
      <c r="F30" s="604"/>
      <c r="G30" s="236"/>
      <c r="H30" s="602"/>
      <c r="I30" s="615"/>
      <c r="J30" s="494"/>
      <c r="K30" s="495"/>
      <c r="L30" s="613"/>
      <c r="M30" s="377"/>
      <c r="N30" s="492"/>
      <c r="O30" s="377"/>
      <c r="P30" s="610"/>
      <c r="Q30" s="377"/>
      <c r="R30" s="327"/>
      <c r="S30" s="327"/>
      <c r="T30" s="327"/>
      <c r="U30" s="377"/>
      <c r="V30" s="377"/>
      <c r="W30" s="327">
        <f t="shared" si="0"/>
        <v>0</v>
      </c>
      <c r="X30" s="614"/>
      <c r="Y30" s="601"/>
      <c r="Z30" s="331">
        <f t="shared" si="1"/>
        <v>0</v>
      </c>
      <c r="AA30" s="374">
        <f t="shared" si="2"/>
        <v>0</v>
      </c>
    </row>
    <row r="31" spans="1:29" s="4" customFormat="1" x14ac:dyDescent="0.25">
      <c r="A31" s="657" t="s">
        <v>247</v>
      </c>
      <c r="B31" s="658" t="s">
        <v>248</v>
      </c>
      <c r="C31" s="657">
        <v>40</v>
      </c>
      <c r="D31" s="657"/>
      <c r="E31" s="657">
        <v>90</v>
      </c>
      <c r="F31" s="657">
        <v>150</v>
      </c>
      <c r="G31" s="658">
        <v>600</v>
      </c>
      <c r="H31" s="660">
        <v>900</v>
      </c>
      <c r="I31" s="657">
        <v>200</v>
      </c>
      <c r="J31" s="657" t="s">
        <v>122</v>
      </c>
      <c r="K31" s="657">
        <v>768539</v>
      </c>
      <c r="L31" s="657"/>
      <c r="M31" s="682" t="s">
        <v>328</v>
      </c>
      <c r="N31" s="211"/>
      <c r="O31" s="66">
        <v>1</v>
      </c>
      <c r="P31" s="62"/>
      <c r="Q31" s="6"/>
      <c r="R31" s="18">
        <v>700</v>
      </c>
      <c r="S31" s="18"/>
      <c r="T31" s="18"/>
      <c r="U31" s="18"/>
      <c r="V31" s="6"/>
      <c r="W31" s="66">
        <f t="shared" si="0"/>
        <v>0</v>
      </c>
      <c r="X31" s="47">
        <v>5970</v>
      </c>
      <c r="Y31" s="8">
        <v>13612.5</v>
      </c>
      <c r="Z31" s="8">
        <f t="shared" si="1"/>
        <v>4179000</v>
      </c>
      <c r="AA31" s="122">
        <f t="shared" si="2"/>
        <v>0</v>
      </c>
      <c r="AB31" s="31"/>
      <c r="AC31" s="680"/>
    </row>
    <row r="32" spans="1:29" s="4" customFormat="1" ht="19.5" customHeight="1" x14ac:dyDescent="0.25">
      <c r="A32" s="683" t="s">
        <v>329</v>
      </c>
      <c r="B32" s="684" t="s">
        <v>330</v>
      </c>
      <c r="C32" s="657"/>
      <c r="D32" s="657"/>
      <c r="E32" s="657">
        <v>800</v>
      </c>
      <c r="F32" s="657">
        <v>720</v>
      </c>
      <c r="G32" s="658">
        <v>1000</v>
      </c>
      <c r="H32" s="660">
        <v>9600</v>
      </c>
      <c r="I32" s="657">
        <v>3600</v>
      </c>
      <c r="J32" s="657" t="s">
        <v>122</v>
      </c>
      <c r="K32" s="657">
        <v>768539</v>
      </c>
      <c r="L32" s="660"/>
      <c r="M32" s="657" t="s">
        <v>328</v>
      </c>
      <c r="N32" s="211"/>
      <c r="O32" s="66">
        <v>2</v>
      </c>
      <c r="P32" s="62"/>
      <c r="Q32" s="18"/>
      <c r="R32" s="18">
        <f>((F32*15)-G32-I32)/2</f>
        <v>3100</v>
      </c>
      <c r="S32" s="18"/>
      <c r="T32" s="18"/>
      <c r="U32" s="18"/>
      <c r="V32" s="18"/>
      <c r="W32" s="66">
        <f t="shared" si="0"/>
        <v>0</v>
      </c>
      <c r="X32" s="47">
        <v>2681</v>
      </c>
      <c r="Y32" s="8">
        <v>5116.03</v>
      </c>
      <c r="Z32" s="8">
        <f t="shared" si="1"/>
        <v>8311100</v>
      </c>
      <c r="AA32" s="122">
        <f t="shared" si="2"/>
        <v>0</v>
      </c>
      <c r="AB32" s="31"/>
      <c r="AC32" s="680"/>
    </row>
    <row r="33" spans="1:29" s="4" customFormat="1" x14ac:dyDescent="0.25">
      <c r="A33" s="685" t="s">
        <v>331</v>
      </c>
      <c r="B33" s="685" t="s">
        <v>332</v>
      </c>
      <c r="C33" s="657"/>
      <c r="D33" s="657"/>
      <c r="E33" s="657">
        <v>16</v>
      </c>
      <c r="F33" s="657">
        <v>40</v>
      </c>
      <c r="G33" s="658">
        <v>0</v>
      </c>
      <c r="H33" s="660">
        <v>100</v>
      </c>
      <c r="I33" s="657"/>
      <c r="J33" s="657" t="s">
        <v>122</v>
      </c>
      <c r="K33" s="657">
        <v>768539</v>
      </c>
      <c r="L33" s="660"/>
      <c r="M33" s="657" t="s">
        <v>328</v>
      </c>
      <c r="N33" s="211"/>
      <c r="O33" s="66">
        <v>3</v>
      </c>
      <c r="P33" s="62"/>
      <c r="Q33" s="18"/>
      <c r="R33" s="18">
        <f>((F33*15)-G33-I33)/2</f>
        <v>300</v>
      </c>
      <c r="S33" s="18"/>
      <c r="T33" s="18"/>
      <c r="U33" s="18"/>
      <c r="V33" s="18"/>
      <c r="W33" s="66">
        <f t="shared" si="0"/>
        <v>0</v>
      </c>
      <c r="X33" s="45">
        <v>4412.3500000000004</v>
      </c>
      <c r="Y33" s="8">
        <v>26771.25</v>
      </c>
      <c r="Z33" s="8">
        <f t="shared" si="1"/>
        <v>1323705</v>
      </c>
      <c r="AA33" s="122">
        <f t="shared" si="2"/>
        <v>0</v>
      </c>
      <c r="AB33" s="680"/>
      <c r="AC33" s="680"/>
    </row>
    <row r="34" spans="1:29" s="4" customFormat="1" ht="21" customHeight="1" x14ac:dyDescent="0.25">
      <c r="A34" s="657" t="s">
        <v>249</v>
      </c>
      <c r="B34" s="657" t="s">
        <v>250</v>
      </c>
      <c r="C34" s="658"/>
      <c r="D34" s="657"/>
      <c r="E34" s="657">
        <v>10</v>
      </c>
      <c r="F34" s="657">
        <v>10</v>
      </c>
      <c r="G34" s="658">
        <v>60</v>
      </c>
      <c r="H34" s="660">
        <v>120</v>
      </c>
      <c r="I34" s="657"/>
      <c r="J34" s="657" t="s">
        <v>122</v>
      </c>
      <c r="K34" s="657">
        <v>768539</v>
      </c>
      <c r="L34" s="657"/>
      <c r="M34" s="684" t="s">
        <v>283</v>
      </c>
      <c r="N34" s="211"/>
      <c r="O34" s="66">
        <v>4</v>
      </c>
      <c r="P34" s="66"/>
      <c r="Q34" s="18"/>
      <c r="R34" s="18">
        <v>50</v>
      </c>
      <c r="S34" s="18"/>
      <c r="T34" s="18"/>
      <c r="U34" s="18"/>
      <c r="V34" s="6"/>
      <c r="W34" s="66">
        <f t="shared" si="0"/>
        <v>0</v>
      </c>
      <c r="X34" s="47">
        <v>3606.4</v>
      </c>
      <c r="Y34" s="8">
        <v>11450</v>
      </c>
      <c r="Z34" s="8">
        <f t="shared" si="1"/>
        <v>180320</v>
      </c>
      <c r="AA34" s="122">
        <f t="shared" si="2"/>
        <v>0</v>
      </c>
      <c r="AB34" s="31"/>
      <c r="AC34" s="680"/>
    </row>
    <row r="35" spans="1:29" ht="21.75" customHeight="1" x14ac:dyDescent="0.25">
      <c r="A35" s="659" t="s">
        <v>251</v>
      </c>
      <c r="B35" s="658" t="s">
        <v>252</v>
      </c>
      <c r="C35" s="660">
        <v>150</v>
      </c>
      <c r="D35" s="661"/>
      <c r="E35" s="661">
        <v>100</v>
      </c>
      <c r="F35" s="661">
        <v>90</v>
      </c>
      <c r="G35" s="658">
        <v>560</v>
      </c>
      <c r="H35" s="660">
        <v>300</v>
      </c>
      <c r="I35" s="661">
        <v>0</v>
      </c>
      <c r="J35" s="657" t="s">
        <v>122</v>
      </c>
      <c r="K35" s="657">
        <v>768539</v>
      </c>
      <c r="L35" s="686"/>
      <c r="M35" s="657" t="s">
        <v>283</v>
      </c>
      <c r="N35" s="211"/>
      <c r="O35" s="62">
        <v>5</v>
      </c>
      <c r="P35" s="62"/>
      <c r="Q35" s="18"/>
      <c r="R35" s="18">
        <v>400</v>
      </c>
      <c r="S35" s="18"/>
      <c r="T35" s="18"/>
      <c r="U35" s="18"/>
      <c r="V35" s="18"/>
      <c r="W35" s="66">
        <f t="shared" ref="W35:W66" si="3">U35+V35</f>
        <v>0</v>
      </c>
      <c r="X35" s="47">
        <v>3500</v>
      </c>
      <c r="Y35" s="9">
        <v>8865</v>
      </c>
      <c r="Z35" s="8">
        <f t="shared" ref="Z35:Z66" si="4">R35*X35</f>
        <v>1400000</v>
      </c>
      <c r="AA35" s="122">
        <f t="shared" ref="AA35:AA66" si="5">W35*Y35</f>
        <v>0</v>
      </c>
      <c r="AB35" s="31"/>
    </row>
    <row r="36" spans="1:29" s="100" customFormat="1" ht="15" customHeight="1" x14ac:dyDescent="0.25">
      <c r="W36" s="327">
        <f t="shared" si="3"/>
        <v>0</v>
      </c>
      <c r="Z36" s="331">
        <f t="shared" si="4"/>
        <v>0</v>
      </c>
      <c r="AA36" s="374">
        <f t="shared" si="5"/>
        <v>0</v>
      </c>
    </row>
    <row r="37" spans="1:29" s="4" customFormat="1" x14ac:dyDescent="0.25">
      <c r="A37" s="83" t="s">
        <v>333</v>
      </c>
      <c r="B37" s="83" t="s">
        <v>334</v>
      </c>
      <c r="C37" s="66"/>
      <c r="D37" s="54">
        <v>10</v>
      </c>
      <c r="E37" s="54">
        <v>10</v>
      </c>
      <c r="F37" s="54">
        <v>10</v>
      </c>
      <c r="G37" s="171"/>
      <c r="H37" s="275">
        <v>97</v>
      </c>
      <c r="I37" s="317">
        <v>30</v>
      </c>
      <c r="J37" s="129" t="s">
        <v>122</v>
      </c>
      <c r="K37" s="19">
        <v>768538</v>
      </c>
      <c r="L37" s="276"/>
      <c r="M37" s="66" t="s">
        <v>293</v>
      </c>
      <c r="N37" s="64" t="s">
        <v>335</v>
      </c>
      <c r="O37" s="66">
        <v>1</v>
      </c>
      <c r="P37" s="66" t="s">
        <v>336</v>
      </c>
      <c r="Q37" s="66"/>
      <c r="R37" s="19">
        <v>60</v>
      </c>
      <c r="S37" s="66"/>
      <c r="T37" s="66"/>
      <c r="U37" s="68">
        <v>60</v>
      </c>
      <c r="V37" s="66"/>
      <c r="W37" s="66">
        <f t="shared" si="3"/>
        <v>60</v>
      </c>
      <c r="X37" s="277">
        <v>1392700</v>
      </c>
      <c r="Y37" s="65">
        <v>1291990</v>
      </c>
      <c r="Z37" s="8">
        <f t="shared" si="4"/>
        <v>83562000</v>
      </c>
      <c r="AA37" s="122">
        <f t="shared" si="5"/>
        <v>77519400</v>
      </c>
      <c r="AB37" s="66"/>
      <c r="AC37" s="680"/>
    </row>
    <row r="38" spans="1:29" s="100" customFormat="1" ht="15" customHeight="1" x14ac:dyDescent="0.25">
      <c r="W38" s="327">
        <f t="shared" si="3"/>
        <v>0</v>
      </c>
      <c r="Z38" s="331">
        <f t="shared" si="4"/>
        <v>0</v>
      </c>
      <c r="AA38" s="374">
        <f t="shared" si="5"/>
        <v>0</v>
      </c>
    </row>
    <row r="39" spans="1:29" s="116" customFormat="1" x14ac:dyDescent="0.25">
      <c r="A39" s="66" t="s">
        <v>150</v>
      </c>
      <c r="B39" s="66" t="s">
        <v>337</v>
      </c>
      <c r="C39" s="66">
        <v>1133</v>
      </c>
      <c r="D39" s="54">
        <v>1500</v>
      </c>
      <c r="E39" s="54">
        <v>1400</v>
      </c>
      <c r="F39" s="54">
        <v>1500</v>
      </c>
      <c r="G39" s="171">
        <v>4000</v>
      </c>
      <c r="H39" s="68">
        <v>11800</v>
      </c>
      <c r="I39" s="66">
        <v>1000</v>
      </c>
      <c r="J39" s="129" t="s">
        <v>122</v>
      </c>
      <c r="K39" s="174">
        <v>768531</v>
      </c>
      <c r="L39" s="66"/>
      <c r="M39" s="66" t="s">
        <v>283</v>
      </c>
      <c r="N39" s="64" t="s">
        <v>338</v>
      </c>
      <c r="O39" s="66">
        <v>2</v>
      </c>
      <c r="P39" s="66" t="s">
        <v>339</v>
      </c>
      <c r="Q39" s="66"/>
      <c r="R39" s="174">
        <f>F39*7</f>
        <v>10500</v>
      </c>
      <c r="S39" s="66"/>
      <c r="T39" s="66"/>
      <c r="U39" s="68">
        <v>9000</v>
      </c>
      <c r="V39" s="66"/>
      <c r="W39" s="66">
        <f t="shared" si="3"/>
        <v>9000</v>
      </c>
      <c r="X39" s="67">
        <v>1370</v>
      </c>
      <c r="Y39" s="65">
        <v>1285</v>
      </c>
      <c r="Z39" s="8">
        <f t="shared" si="4"/>
        <v>14385000</v>
      </c>
      <c r="AA39" s="122">
        <f t="shared" si="5"/>
        <v>11565000</v>
      </c>
      <c r="AB39" s="66"/>
    </row>
    <row r="40" spans="1:29" s="116" customFormat="1" x14ac:dyDescent="0.25">
      <c r="A40" s="66" t="s">
        <v>170</v>
      </c>
      <c r="B40" s="66" t="s">
        <v>171</v>
      </c>
      <c r="C40" s="66">
        <v>8.3333333333333339</v>
      </c>
      <c r="D40" s="54">
        <v>15</v>
      </c>
      <c r="E40" s="54">
        <v>15</v>
      </c>
      <c r="F40" s="54">
        <v>15</v>
      </c>
      <c r="G40" s="171">
        <v>25</v>
      </c>
      <c r="H40" s="68">
        <v>185</v>
      </c>
      <c r="I40" s="66">
        <v>50</v>
      </c>
      <c r="J40" s="129" t="s">
        <v>122</v>
      </c>
      <c r="K40" s="174">
        <v>768531</v>
      </c>
      <c r="L40" s="66"/>
      <c r="M40" s="66" t="s">
        <v>259</v>
      </c>
      <c r="N40" s="64" t="s">
        <v>338</v>
      </c>
      <c r="O40" s="66">
        <v>1</v>
      </c>
      <c r="P40" s="66" t="s">
        <v>340</v>
      </c>
      <c r="Q40" s="66" t="s">
        <v>1986</v>
      </c>
      <c r="R40" s="174">
        <v>100</v>
      </c>
      <c r="S40" s="66"/>
      <c r="T40" s="66"/>
      <c r="U40" s="68">
        <v>100</v>
      </c>
      <c r="V40" s="66">
        <v>100</v>
      </c>
      <c r="W40" s="66">
        <f t="shared" si="3"/>
        <v>200</v>
      </c>
      <c r="X40" s="67">
        <v>17500</v>
      </c>
      <c r="Y40" s="65">
        <v>12500</v>
      </c>
      <c r="Z40" s="8">
        <f t="shared" si="4"/>
        <v>1750000</v>
      </c>
      <c r="AA40" s="122">
        <f t="shared" si="5"/>
        <v>2500000</v>
      </c>
      <c r="AB40" s="66"/>
    </row>
    <row r="41" spans="1:29" s="100" customFormat="1" ht="15" customHeight="1" x14ac:dyDescent="0.25">
      <c r="W41" s="327">
        <f t="shared" si="3"/>
        <v>0</v>
      </c>
      <c r="Z41" s="331">
        <f t="shared" si="4"/>
        <v>0</v>
      </c>
      <c r="AA41" s="374">
        <f t="shared" si="5"/>
        <v>0</v>
      </c>
    </row>
    <row r="42" spans="1:29" x14ac:dyDescent="0.25">
      <c r="A42" s="55" t="s">
        <v>341</v>
      </c>
      <c r="B42" s="243" t="s">
        <v>342</v>
      </c>
      <c r="C42" s="243"/>
      <c r="D42" s="429"/>
      <c r="E42" s="429">
        <v>60</v>
      </c>
      <c r="F42" s="429">
        <v>90</v>
      </c>
      <c r="G42" s="430">
        <v>0</v>
      </c>
      <c r="H42" s="55">
        <v>300</v>
      </c>
      <c r="I42" s="429"/>
      <c r="J42" s="250" t="s">
        <v>122</v>
      </c>
      <c r="K42" s="428">
        <v>773723</v>
      </c>
      <c r="L42" s="293"/>
      <c r="M42" s="55" t="s">
        <v>285</v>
      </c>
      <c r="N42" s="336"/>
      <c r="O42" s="66">
        <v>1</v>
      </c>
      <c r="P42" s="18"/>
      <c r="Q42" s="6"/>
      <c r="R42" s="66">
        <v>600</v>
      </c>
      <c r="S42" s="18"/>
      <c r="T42" s="18"/>
      <c r="U42" s="18"/>
      <c r="V42" s="6"/>
      <c r="W42" s="66">
        <f t="shared" si="3"/>
        <v>0</v>
      </c>
      <c r="X42" s="118">
        <v>615.55999999999995</v>
      </c>
      <c r="Y42" s="117">
        <v>3503.91</v>
      </c>
      <c r="Z42" s="8">
        <f t="shared" si="4"/>
        <v>369335.99999999994</v>
      </c>
      <c r="AA42" s="122">
        <f t="shared" si="5"/>
        <v>0</v>
      </c>
      <c r="AB42" s="18"/>
      <c r="AC42" s="680"/>
    </row>
    <row r="43" spans="1:29" s="4" customFormat="1" x14ac:dyDescent="0.25">
      <c r="A43" s="66" t="s">
        <v>343</v>
      </c>
      <c r="B43" s="54" t="s">
        <v>344</v>
      </c>
      <c r="C43" s="66"/>
      <c r="D43" s="169"/>
      <c r="E43" s="169">
        <v>60</v>
      </c>
      <c r="F43" s="169">
        <v>60</v>
      </c>
      <c r="G43" s="171">
        <v>156</v>
      </c>
      <c r="H43" s="66">
        <v>300</v>
      </c>
      <c r="I43" s="169"/>
      <c r="J43" s="173" t="s">
        <v>122</v>
      </c>
      <c r="K43" s="85">
        <v>773723</v>
      </c>
      <c r="L43" s="274"/>
      <c r="M43" s="66" t="s">
        <v>259</v>
      </c>
      <c r="N43" s="336" t="s">
        <v>1269</v>
      </c>
      <c r="O43" s="66">
        <v>2</v>
      </c>
      <c r="P43" s="18" t="s">
        <v>1965</v>
      </c>
      <c r="Q43" s="18"/>
      <c r="R43" s="66">
        <v>360</v>
      </c>
      <c r="S43" s="18"/>
      <c r="T43" s="18"/>
      <c r="U43" s="18">
        <v>360</v>
      </c>
      <c r="V43" s="18"/>
      <c r="W43" s="66">
        <f t="shared" si="3"/>
        <v>360</v>
      </c>
      <c r="X43" s="118">
        <v>3116</v>
      </c>
      <c r="Y43" s="117">
        <v>2661.9</v>
      </c>
      <c r="Z43" s="8">
        <f t="shared" si="4"/>
        <v>1121760</v>
      </c>
      <c r="AA43" s="122">
        <f t="shared" si="5"/>
        <v>958284</v>
      </c>
      <c r="AB43" s="69"/>
      <c r="AC43" s="22"/>
    </row>
    <row r="44" spans="1:29" s="132" customFormat="1" x14ac:dyDescent="0.25">
      <c r="A44" s="55" t="s">
        <v>345</v>
      </c>
      <c r="B44" s="55" t="s">
        <v>346</v>
      </c>
      <c r="C44" s="55">
        <v>5</v>
      </c>
      <c r="D44" s="55">
        <v>0</v>
      </c>
      <c r="E44" s="55">
        <v>2</v>
      </c>
      <c r="F44" s="521">
        <v>1</v>
      </c>
      <c r="G44" s="92">
        <f>VLOOKUP(A44,'[1]yourspreadsheetname (1)'!$A$2:$C$968, 3, FALSE)</f>
        <v>0</v>
      </c>
      <c r="H44" s="55">
        <v>10</v>
      </c>
      <c r="I44" s="429"/>
      <c r="J44" s="250" t="s">
        <v>122</v>
      </c>
      <c r="K44" s="428">
        <v>773723</v>
      </c>
      <c r="L44" s="293"/>
      <c r="M44" s="55" t="s">
        <v>285</v>
      </c>
      <c r="N44" s="336"/>
      <c r="O44" s="66">
        <v>3</v>
      </c>
      <c r="P44" s="18"/>
      <c r="Q44" s="18"/>
      <c r="R44" s="66">
        <v>10</v>
      </c>
      <c r="S44" s="18"/>
      <c r="T44" s="66"/>
      <c r="U44" s="66"/>
      <c r="V44" s="66"/>
      <c r="W44" s="66">
        <f t="shared" si="3"/>
        <v>0</v>
      </c>
      <c r="X44" s="118"/>
      <c r="Y44" s="117"/>
      <c r="Z44" s="8">
        <f t="shared" si="4"/>
        <v>0</v>
      </c>
      <c r="AA44" s="122">
        <f t="shared" si="5"/>
        <v>0</v>
      </c>
      <c r="AB44" s="37"/>
    </row>
    <row r="45" spans="1:29" s="116" customFormat="1" ht="24.75" customHeight="1" x14ac:dyDescent="0.25">
      <c r="A45" s="55" t="s">
        <v>347</v>
      </c>
      <c r="B45" s="92" t="s">
        <v>348</v>
      </c>
      <c r="C45" s="55"/>
      <c r="D45" s="55"/>
      <c r="E45" s="55">
        <v>50</v>
      </c>
      <c r="F45" s="521">
        <v>50</v>
      </c>
      <c r="G45" s="92">
        <v>0</v>
      </c>
      <c r="H45" s="55">
        <v>300</v>
      </c>
      <c r="I45" s="429"/>
      <c r="J45" s="250" t="s">
        <v>122</v>
      </c>
      <c r="K45" s="428">
        <v>773723</v>
      </c>
      <c r="L45" s="293"/>
      <c r="M45" s="55" t="s">
        <v>285</v>
      </c>
      <c r="N45" s="336"/>
      <c r="O45" s="66">
        <v>4</v>
      </c>
      <c r="P45" s="6"/>
      <c r="Q45" s="18"/>
      <c r="R45" s="66">
        <v>300</v>
      </c>
      <c r="S45" s="18"/>
      <c r="T45" s="186"/>
      <c r="U45" s="66"/>
      <c r="V45" s="66"/>
      <c r="W45" s="66">
        <f t="shared" si="3"/>
        <v>0</v>
      </c>
      <c r="X45" s="118">
        <v>405</v>
      </c>
      <c r="Y45" s="117">
        <v>455</v>
      </c>
      <c r="Z45" s="8">
        <f t="shared" si="4"/>
        <v>121500</v>
      </c>
      <c r="AA45" s="122">
        <f t="shared" si="5"/>
        <v>0</v>
      </c>
      <c r="AB45" s="37"/>
    </row>
    <row r="46" spans="1:29" s="116" customFormat="1" x14ac:dyDescent="0.25">
      <c r="A46" s="55" t="s">
        <v>349</v>
      </c>
      <c r="B46" s="55" t="s">
        <v>350</v>
      </c>
      <c r="C46" s="55"/>
      <c r="D46" s="55"/>
      <c r="E46" s="55">
        <v>2</v>
      </c>
      <c r="F46" s="92">
        <v>1</v>
      </c>
      <c r="G46" s="92">
        <f>VLOOKUP(A46,'[1]yourspreadsheetname (1)'!$A$2:$C$968, 3, FALSE)</f>
        <v>5</v>
      </c>
      <c r="H46" s="55">
        <v>10</v>
      </c>
      <c r="I46" s="55"/>
      <c r="J46" s="250" t="s">
        <v>122</v>
      </c>
      <c r="K46" s="428">
        <v>773723</v>
      </c>
      <c r="L46" s="293"/>
      <c r="M46" s="55" t="s">
        <v>285</v>
      </c>
      <c r="N46" s="336"/>
      <c r="O46" s="66">
        <v>5</v>
      </c>
      <c r="P46" s="6"/>
      <c r="Q46" s="18"/>
      <c r="R46" s="66">
        <v>2</v>
      </c>
      <c r="S46" s="19"/>
      <c r="T46" s="66"/>
      <c r="U46" s="66"/>
      <c r="V46" s="66"/>
      <c r="W46" s="66">
        <f t="shared" si="3"/>
        <v>0</v>
      </c>
      <c r="X46" s="118">
        <v>144924</v>
      </c>
      <c r="Y46" s="117">
        <v>212900</v>
      </c>
      <c r="Z46" s="8">
        <f t="shared" si="4"/>
        <v>289848</v>
      </c>
      <c r="AA46" s="122">
        <f t="shared" si="5"/>
        <v>0</v>
      </c>
      <c r="AB46" s="18"/>
    </row>
    <row r="47" spans="1:29" s="132" customFormat="1" x14ac:dyDescent="0.25">
      <c r="A47" s="55" t="s">
        <v>351</v>
      </c>
      <c r="B47" s="92" t="s">
        <v>352</v>
      </c>
      <c r="C47" s="92">
        <v>50</v>
      </c>
      <c r="D47" s="55">
        <v>50</v>
      </c>
      <c r="E47" s="55">
        <v>25</v>
      </c>
      <c r="F47" s="521">
        <v>50</v>
      </c>
      <c r="G47" s="92">
        <f>VLOOKUP(A47,'[1]yourspreadsheetname (1)'!$A$2:$C$968, 3, FALSE)</f>
        <v>0</v>
      </c>
      <c r="H47" s="55">
        <v>150</v>
      </c>
      <c r="I47" s="429"/>
      <c r="J47" s="250" t="s">
        <v>122</v>
      </c>
      <c r="K47" s="428">
        <v>773723</v>
      </c>
      <c r="L47" s="293"/>
      <c r="M47" s="55" t="s">
        <v>285</v>
      </c>
      <c r="N47" s="336"/>
      <c r="O47" s="66">
        <v>6</v>
      </c>
      <c r="P47" s="18"/>
      <c r="Q47" s="18"/>
      <c r="R47" s="66">
        <v>400</v>
      </c>
      <c r="S47" s="18"/>
      <c r="T47" s="63"/>
      <c r="U47" s="63"/>
      <c r="V47" s="63"/>
      <c r="W47" s="66">
        <f t="shared" si="3"/>
        <v>0</v>
      </c>
      <c r="X47" s="118">
        <v>20000</v>
      </c>
      <c r="Y47" s="117">
        <v>23998</v>
      </c>
      <c r="Z47" s="8">
        <f t="shared" si="4"/>
        <v>8000000</v>
      </c>
      <c r="AA47" s="122">
        <f t="shared" si="5"/>
        <v>0</v>
      </c>
      <c r="AB47" s="37"/>
    </row>
    <row r="48" spans="1:29" s="116" customFormat="1" x14ac:dyDescent="0.25">
      <c r="A48" s="92" t="s">
        <v>353</v>
      </c>
      <c r="B48" s="92" t="s">
        <v>354</v>
      </c>
      <c r="C48" s="92"/>
      <c r="D48" s="92"/>
      <c r="E48" s="92">
        <v>60</v>
      </c>
      <c r="F48" s="92">
        <v>60</v>
      </c>
      <c r="G48" s="92">
        <f>VLOOKUP(A48,'[1]yourspreadsheetname (1)'!$A$2:$C$968, 3, FALSE)</f>
        <v>0</v>
      </c>
      <c r="H48" s="92">
        <v>540</v>
      </c>
      <c r="I48" s="92"/>
      <c r="J48" s="92"/>
      <c r="K48" s="428">
        <v>773723</v>
      </c>
      <c r="L48" s="687"/>
      <c r="M48" s="92" t="s">
        <v>285</v>
      </c>
      <c r="N48" s="64"/>
      <c r="O48" s="54">
        <v>7</v>
      </c>
      <c r="P48" s="54"/>
      <c r="Q48" s="96"/>
      <c r="R48" s="18">
        <f>((F48*15)-G48-I48)/2</f>
        <v>450</v>
      </c>
      <c r="S48" s="54"/>
      <c r="T48" s="12"/>
      <c r="U48" s="54"/>
      <c r="V48" s="54"/>
      <c r="W48" s="66">
        <f t="shared" si="3"/>
        <v>0</v>
      </c>
      <c r="X48" s="206">
        <v>790</v>
      </c>
      <c r="Y48" s="207"/>
      <c r="Z48" s="8">
        <f t="shared" si="4"/>
        <v>355500</v>
      </c>
      <c r="AA48" s="122">
        <f t="shared" si="5"/>
        <v>0</v>
      </c>
      <c r="AB48" s="54"/>
    </row>
    <row r="49" spans="1:28" s="116" customFormat="1" x14ac:dyDescent="0.25">
      <c r="A49" s="92" t="s">
        <v>355</v>
      </c>
      <c r="B49" s="92" t="s">
        <v>356</v>
      </c>
      <c r="C49" s="92">
        <v>0</v>
      </c>
      <c r="D49" s="92">
        <v>30</v>
      </c>
      <c r="E49" s="92">
        <v>10</v>
      </c>
      <c r="F49" s="92">
        <v>60</v>
      </c>
      <c r="G49" s="92">
        <f>VLOOKUP(A49,'[1]yourspreadsheetname (1)'!$A$2:$C$968, 3, FALSE)</f>
        <v>0</v>
      </c>
      <c r="H49" s="92">
        <v>80</v>
      </c>
      <c r="I49" s="92"/>
      <c r="J49" s="92"/>
      <c r="K49" s="428">
        <v>773723</v>
      </c>
      <c r="L49" s="687"/>
      <c r="M49" s="92" t="s">
        <v>285</v>
      </c>
      <c r="N49" s="64"/>
      <c r="O49" s="54">
        <v>8</v>
      </c>
      <c r="P49" s="54"/>
      <c r="Q49" s="54"/>
      <c r="R49" s="18">
        <v>300</v>
      </c>
      <c r="S49" s="54"/>
      <c r="T49" s="12"/>
      <c r="U49" s="54"/>
      <c r="V49" s="54"/>
      <c r="W49" s="66">
        <f t="shared" si="3"/>
        <v>0</v>
      </c>
      <c r="X49" s="206">
        <v>189</v>
      </c>
      <c r="Y49" s="207"/>
      <c r="Z49" s="8">
        <f t="shared" si="4"/>
        <v>56700</v>
      </c>
      <c r="AA49" s="122">
        <f t="shared" si="5"/>
        <v>0</v>
      </c>
      <c r="AB49" s="54"/>
    </row>
    <row r="50" spans="1:28" s="116" customFormat="1" x14ac:dyDescent="0.25">
      <c r="A50" s="92" t="s">
        <v>357</v>
      </c>
      <c r="B50" s="92" t="s">
        <v>358</v>
      </c>
      <c r="C50" s="92">
        <v>0</v>
      </c>
      <c r="D50" s="92">
        <v>0</v>
      </c>
      <c r="E50" s="92">
        <v>60</v>
      </c>
      <c r="F50" s="92">
        <v>60</v>
      </c>
      <c r="G50" s="92">
        <f>VLOOKUP(A50,'[1]yourspreadsheetname (1)'!$A$2:$C$968, 3, FALSE)</f>
        <v>0</v>
      </c>
      <c r="H50" s="92">
        <v>360</v>
      </c>
      <c r="I50" s="92"/>
      <c r="J50" s="92"/>
      <c r="K50" s="428">
        <v>773723</v>
      </c>
      <c r="L50" s="687"/>
      <c r="M50" s="92" t="s">
        <v>285</v>
      </c>
      <c r="N50" s="64"/>
      <c r="O50" s="54">
        <v>9</v>
      </c>
      <c r="P50" s="54"/>
      <c r="Q50" s="54"/>
      <c r="R50" s="18">
        <v>300</v>
      </c>
      <c r="S50" s="54"/>
      <c r="T50" s="12"/>
      <c r="U50" s="54"/>
      <c r="V50" s="54"/>
      <c r="W50" s="66">
        <f t="shared" si="3"/>
        <v>0</v>
      </c>
      <c r="X50" s="206">
        <v>139</v>
      </c>
      <c r="Y50" s="207"/>
      <c r="Z50" s="8">
        <f t="shared" si="4"/>
        <v>41700</v>
      </c>
      <c r="AA50" s="122">
        <f t="shared" si="5"/>
        <v>0</v>
      </c>
      <c r="AB50" s="54"/>
    </row>
    <row r="51" spans="1:28" s="116" customFormat="1" x14ac:dyDescent="0.25">
      <c r="A51" s="55" t="s">
        <v>359</v>
      </c>
      <c r="B51" s="55" t="s">
        <v>360</v>
      </c>
      <c r="C51" s="244"/>
      <c r="D51" s="244"/>
      <c r="E51" s="250">
        <v>60</v>
      </c>
      <c r="F51" s="250">
        <v>60</v>
      </c>
      <c r="G51" s="92">
        <v>0</v>
      </c>
      <c r="H51" s="92">
        <v>360</v>
      </c>
      <c r="I51" s="244"/>
      <c r="J51" s="244"/>
      <c r="K51" s="428">
        <v>773723</v>
      </c>
      <c r="L51" s="525"/>
      <c r="M51" s="250" t="s">
        <v>285</v>
      </c>
      <c r="N51" s="64"/>
      <c r="O51" s="66">
        <v>10</v>
      </c>
      <c r="P51" s="170"/>
      <c r="Q51" s="170"/>
      <c r="R51" s="18">
        <f>((F51*15)-G51-I51)/2</f>
        <v>450</v>
      </c>
      <c r="S51" s="54"/>
      <c r="T51" s="12"/>
      <c r="U51" s="54"/>
      <c r="V51" s="54"/>
      <c r="W51" s="66">
        <f t="shared" si="3"/>
        <v>0</v>
      </c>
      <c r="X51" s="206">
        <v>2310.61</v>
      </c>
      <c r="Y51" s="207"/>
      <c r="Z51" s="8">
        <f t="shared" si="4"/>
        <v>1039774.5</v>
      </c>
      <c r="AA51" s="122">
        <f t="shared" si="5"/>
        <v>0</v>
      </c>
      <c r="AB51" s="31"/>
    </row>
    <row r="52" spans="1:28" s="132" customFormat="1" x14ac:dyDescent="0.25">
      <c r="A52" s="92" t="s">
        <v>361</v>
      </c>
      <c r="B52" s="60" t="s">
        <v>362</v>
      </c>
      <c r="C52" s="544"/>
      <c r="D52" s="92">
        <v>60</v>
      </c>
      <c r="E52" s="92">
        <v>120</v>
      </c>
      <c r="F52" s="92">
        <v>150</v>
      </c>
      <c r="G52" s="92">
        <f>VLOOKUP(A52,'[1]yourspreadsheetname (1)'!$A$2:$C$968, 3, FALSE)</f>
        <v>0</v>
      </c>
      <c r="H52" s="92">
        <v>720</v>
      </c>
      <c r="I52" s="92"/>
      <c r="J52" s="92"/>
      <c r="K52" s="428">
        <v>773723</v>
      </c>
      <c r="L52" s="687"/>
      <c r="M52" s="92" t="s">
        <v>285</v>
      </c>
      <c r="N52" s="64"/>
      <c r="O52" s="54">
        <v>11</v>
      </c>
      <c r="P52" s="54"/>
      <c r="Q52" s="54"/>
      <c r="R52" s="18">
        <v>1200</v>
      </c>
      <c r="S52" s="54"/>
      <c r="T52" s="12"/>
      <c r="U52" s="54"/>
      <c r="V52" s="54"/>
      <c r="W52" s="66">
        <f t="shared" si="3"/>
        <v>0</v>
      </c>
      <c r="X52" s="206">
        <v>515.79999999999995</v>
      </c>
      <c r="Y52" s="207"/>
      <c r="Z52" s="8">
        <f t="shared" si="4"/>
        <v>618960</v>
      </c>
      <c r="AA52" s="122">
        <f t="shared" si="5"/>
        <v>0</v>
      </c>
      <c r="AB52" s="54"/>
    </row>
    <row r="53" spans="1:28" s="132" customFormat="1" x14ac:dyDescent="0.25">
      <c r="A53" s="92" t="s">
        <v>363</v>
      </c>
      <c r="B53" s="92" t="s">
        <v>364</v>
      </c>
      <c r="C53" s="92"/>
      <c r="D53" s="92"/>
      <c r="E53" s="92">
        <v>200</v>
      </c>
      <c r="F53" s="92">
        <v>180</v>
      </c>
      <c r="G53" s="92">
        <f>VLOOKUP(A53,'[1]yourspreadsheetname (1)'!$A$2:$C$968, 3, FALSE)</f>
        <v>450</v>
      </c>
      <c r="H53" s="92">
        <v>1800</v>
      </c>
      <c r="I53" s="92"/>
      <c r="J53" s="92"/>
      <c r="K53" s="428">
        <v>773723</v>
      </c>
      <c r="L53" s="687"/>
      <c r="M53" s="93" t="s">
        <v>285</v>
      </c>
      <c r="N53" s="64"/>
      <c r="O53" s="54">
        <v>12</v>
      </c>
      <c r="P53" s="54"/>
      <c r="Q53" s="54"/>
      <c r="R53" s="18">
        <v>1000</v>
      </c>
      <c r="S53" s="54"/>
      <c r="T53" s="12"/>
      <c r="U53" s="54"/>
      <c r="V53" s="54"/>
      <c r="W53" s="66">
        <f t="shared" si="3"/>
        <v>0</v>
      </c>
      <c r="X53" s="206">
        <v>488.5</v>
      </c>
      <c r="Y53" s="207"/>
      <c r="Z53" s="8">
        <f t="shared" si="4"/>
        <v>488500</v>
      </c>
      <c r="AA53" s="122">
        <f t="shared" si="5"/>
        <v>0</v>
      </c>
      <c r="AB53" s="54"/>
    </row>
    <row r="54" spans="1:28" s="132" customFormat="1" x14ac:dyDescent="0.25">
      <c r="A54" s="66" t="s">
        <v>370</v>
      </c>
      <c r="B54" s="66" t="s">
        <v>371</v>
      </c>
      <c r="C54" s="66"/>
      <c r="D54" s="66"/>
      <c r="E54" s="66">
        <v>1</v>
      </c>
      <c r="F54" s="169">
        <v>1</v>
      </c>
      <c r="G54" s="54">
        <f>VLOOKUP(A54,'[1]yourspreadsheetname (1)'!$A$2:$C$968, 3, FALSE)</f>
        <v>6</v>
      </c>
      <c r="H54" s="66">
        <v>7</v>
      </c>
      <c r="I54" s="169"/>
      <c r="J54" s="173" t="s">
        <v>122</v>
      </c>
      <c r="K54" s="85">
        <v>773723</v>
      </c>
      <c r="L54" s="274"/>
      <c r="M54" s="68" t="s">
        <v>259</v>
      </c>
      <c r="N54" s="273" t="s">
        <v>1269</v>
      </c>
      <c r="O54" s="66">
        <v>13</v>
      </c>
      <c r="P54" s="18" t="s">
        <v>1965</v>
      </c>
      <c r="Q54" s="18"/>
      <c r="R54" s="66">
        <v>6</v>
      </c>
      <c r="S54" s="18"/>
      <c r="T54" s="66"/>
      <c r="U54" s="66">
        <v>6</v>
      </c>
      <c r="V54" s="66"/>
      <c r="W54" s="66">
        <f>U54+V54</f>
        <v>6</v>
      </c>
      <c r="X54" s="118">
        <v>714970</v>
      </c>
      <c r="Y54" s="117">
        <v>806578.3</v>
      </c>
      <c r="Z54" s="8">
        <f>R54*X54</f>
        <v>4289820</v>
      </c>
      <c r="AA54" s="122">
        <f>W54*Y54</f>
        <v>4839469.8000000007</v>
      </c>
      <c r="AB54" s="22"/>
    </row>
    <row r="55" spans="1:28" s="90" customFormat="1" x14ac:dyDescent="0.25">
      <c r="A55" s="93" t="s">
        <v>372</v>
      </c>
      <c r="B55" s="93" t="s">
        <v>373</v>
      </c>
      <c r="C55" s="92">
        <v>0</v>
      </c>
      <c r="D55" s="92"/>
      <c r="E55" s="92">
        <v>0.2</v>
      </c>
      <c r="F55" s="92"/>
      <c r="G55" s="92">
        <f>VLOOKUP(A55,'[1]yourspreadsheetname (1)'!$A$2:$C$968, 3, FALSE)</f>
        <v>0</v>
      </c>
      <c r="H55" s="247">
        <v>2</v>
      </c>
      <c r="I55" s="92"/>
      <c r="J55" s="92"/>
      <c r="K55" s="428">
        <v>773723</v>
      </c>
      <c r="L55" s="688"/>
      <c r="M55" s="243" t="s">
        <v>285</v>
      </c>
      <c r="N55" s="64"/>
      <c r="O55" s="66">
        <v>14</v>
      </c>
      <c r="P55" s="217"/>
      <c r="Q55" s="13"/>
      <c r="R55" s="18">
        <v>2</v>
      </c>
      <c r="S55" s="12"/>
      <c r="T55" s="12"/>
      <c r="U55" s="12"/>
      <c r="V55" s="12"/>
      <c r="W55" s="66">
        <f t="shared" si="3"/>
        <v>0</v>
      </c>
      <c r="X55" s="216">
        <v>41000</v>
      </c>
      <c r="Y55" s="122"/>
      <c r="Z55" s="8">
        <f t="shared" si="4"/>
        <v>82000</v>
      </c>
      <c r="AA55" s="122">
        <f t="shared" si="5"/>
        <v>0</v>
      </c>
      <c r="AB55" s="122"/>
    </row>
    <row r="56" spans="1:28" s="90" customFormat="1" x14ac:dyDescent="0.25">
      <c r="A56" s="92" t="s">
        <v>374</v>
      </c>
      <c r="B56" s="92" t="s">
        <v>375</v>
      </c>
      <c r="C56" s="92"/>
      <c r="D56" s="92"/>
      <c r="E56" s="92">
        <v>5</v>
      </c>
      <c r="F56" s="92">
        <v>5</v>
      </c>
      <c r="G56" s="92">
        <v>0</v>
      </c>
      <c r="H56" s="247">
        <v>30</v>
      </c>
      <c r="I56" s="92"/>
      <c r="J56" s="92"/>
      <c r="K56" s="428">
        <v>773723</v>
      </c>
      <c r="L56" s="687"/>
      <c r="M56" s="55" t="s">
        <v>285</v>
      </c>
      <c r="N56" s="64"/>
      <c r="O56" s="66">
        <v>15</v>
      </c>
      <c r="P56" s="124"/>
      <c r="Q56" s="13"/>
      <c r="R56" s="18">
        <v>50</v>
      </c>
      <c r="S56" s="12"/>
      <c r="T56" s="12"/>
      <c r="U56" s="12"/>
      <c r="V56" s="12"/>
      <c r="W56" s="66">
        <f t="shared" si="3"/>
        <v>0</v>
      </c>
      <c r="X56" s="280">
        <v>19260</v>
      </c>
      <c r="Y56" s="281"/>
      <c r="Z56" s="8">
        <f t="shared" si="4"/>
        <v>963000</v>
      </c>
      <c r="AA56" s="122">
        <f t="shared" si="5"/>
        <v>0</v>
      </c>
      <c r="AB56" s="122"/>
    </row>
    <row r="57" spans="1:28" s="4" customFormat="1" x14ac:dyDescent="0.25">
      <c r="A57" s="55" t="s">
        <v>376</v>
      </c>
      <c r="B57" s="55" t="s">
        <v>377</v>
      </c>
      <c r="C57" s="55"/>
      <c r="D57" s="429"/>
      <c r="E57" s="429"/>
      <c r="F57" s="429"/>
      <c r="G57" s="92" t="e">
        <f>VLOOKUP(A57,'[1]yourspreadsheetname (1)'!$A$2:$C$968, 3, FALSE)</f>
        <v>#N/A</v>
      </c>
      <c r="H57" s="526">
        <v>1</v>
      </c>
      <c r="I57" s="55"/>
      <c r="J57" s="55"/>
      <c r="K57" s="428">
        <v>773723</v>
      </c>
      <c r="L57" s="689"/>
      <c r="M57" s="93" t="s">
        <v>285</v>
      </c>
      <c r="N57" s="64"/>
      <c r="O57" s="66">
        <v>16</v>
      </c>
      <c r="P57" s="66"/>
      <c r="Q57" s="66"/>
      <c r="R57" s="66">
        <v>1</v>
      </c>
      <c r="S57" s="68"/>
      <c r="T57" s="68"/>
      <c r="U57" s="84"/>
      <c r="V57" s="84"/>
      <c r="W57" s="66">
        <f t="shared" si="3"/>
        <v>0</v>
      </c>
      <c r="X57" s="67">
        <v>4995</v>
      </c>
      <c r="Y57" s="65">
        <v>11400</v>
      </c>
      <c r="Z57" s="8">
        <f t="shared" si="4"/>
        <v>4995</v>
      </c>
      <c r="AA57" s="122">
        <f t="shared" si="5"/>
        <v>0</v>
      </c>
      <c r="AB57" s="680"/>
    </row>
    <row r="58" spans="1:28" s="132" customFormat="1" x14ac:dyDescent="0.25">
      <c r="A58" s="92" t="s">
        <v>368</v>
      </c>
      <c r="B58" s="60" t="s">
        <v>369</v>
      </c>
      <c r="C58" s="60"/>
      <c r="D58" s="92"/>
      <c r="E58" s="92">
        <v>100</v>
      </c>
      <c r="F58" s="92">
        <v>100</v>
      </c>
      <c r="G58" s="92">
        <f>VLOOKUP(A58,'[1]yourspreadsheetname (1)'!$A$2:$C$968, 3, FALSE)</f>
        <v>0</v>
      </c>
      <c r="H58" s="92">
        <v>600</v>
      </c>
      <c r="I58" s="92"/>
      <c r="J58" s="92"/>
      <c r="K58" s="428">
        <v>773723</v>
      </c>
      <c r="L58" s="687"/>
      <c r="M58" s="92" t="s">
        <v>285</v>
      </c>
      <c r="N58" s="64"/>
      <c r="O58" s="54">
        <v>17</v>
      </c>
      <c r="P58" s="96"/>
      <c r="Q58" s="96"/>
      <c r="R58" s="18">
        <v>600</v>
      </c>
      <c r="S58" s="54"/>
      <c r="T58" s="12"/>
      <c r="U58" s="54"/>
      <c r="V58" s="96"/>
      <c r="W58" s="66">
        <f>U58+V58</f>
        <v>0</v>
      </c>
      <c r="X58" s="206">
        <v>68</v>
      </c>
      <c r="Y58" s="207"/>
      <c r="Z58" s="8">
        <f>R58*X58</f>
        <v>40800</v>
      </c>
      <c r="AA58" s="122">
        <f>W58*Y58</f>
        <v>0</v>
      </c>
      <c r="AB58" s="96"/>
    </row>
    <row r="59" spans="1:28" s="90" customFormat="1" x14ac:dyDescent="0.25">
      <c r="A59" s="54" t="s">
        <v>378</v>
      </c>
      <c r="B59" s="54" t="s">
        <v>379</v>
      </c>
      <c r="C59" s="54"/>
      <c r="D59" s="54"/>
      <c r="E59" s="54">
        <v>20</v>
      </c>
      <c r="F59" s="54">
        <v>10</v>
      </c>
      <c r="G59" s="54">
        <v>70</v>
      </c>
      <c r="H59" s="535">
        <v>120</v>
      </c>
      <c r="I59" s="54"/>
      <c r="J59" s="54"/>
      <c r="K59" s="85">
        <v>773723</v>
      </c>
      <c r="L59" s="367"/>
      <c r="M59" s="54" t="s">
        <v>259</v>
      </c>
      <c r="N59" s="64" t="s">
        <v>1269</v>
      </c>
      <c r="O59" s="54">
        <v>18</v>
      </c>
      <c r="P59" s="18" t="s">
        <v>1965</v>
      </c>
      <c r="Q59" s="12"/>
      <c r="R59" s="18">
        <f>((F59*15)-G59-I59)/2</f>
        <v>40</v>
      </c>
      <c r="S59" s="12"/>
      <c r="T59" s="223"/>
      <c r="U59" s="12">
        <v>40</v>
      </c>
      <c r="V59" s="12"/>
      <c r="W59" s="66">
        <f t="shared" si="3"/>
        <v>40</v>
      </c>
      <c r="X59" s="154">
        <v>11549</v>
      </c>
      <c r="Y59" s="119">
        <v>24842.7</v>
      </c>
      <c r="Z59" s="8">
        <f t="shared" si="4"/>
        <v>461960</v>
      </c>
      <c r="AA59" s="122">
        <f t="shared" si="5"/>
        <v>993708</v>
      </c>
      <c r="AB59" s="12"/>
    </row>
    <row r="60" spans="1:28" s="90" customFormat="1" x14ac:dyDescent="0.25">
      <c r="A60" s="54" t="s">
        <v>380</v>
      </c>
      <c r="B60" s="54" t="s">
        <v>381</v>
      </c>
      <c r="C60" s="54">
        <v>10</v>
      </c>
      <c r="D60" s="54"/>
      <c r="E60" s="54">
        <v>30</v>
      </c>
      <c r="F60" s="54">
        <v>30</v>
      </c>
      <c r="G60" s="54">
        <f>VLOOKUP(A60,'[1]yourspreadsheetname (1)'!$A$2:$C$968, 3, FALSE)</f>
        <v>135</v>
      </c>
      <c r="H60" s="535">
        <v>360</v>
      </c>
      <c r="I60" s="54"/>
      <c r="J60" s="54"/>
      <c r="K60" s="85">
        <v>773723</v>
      </c>
      <c r="L60" s="367"/>
      <c r="M60" s="64" t="s">
        <v>259</v>
      </c>
      <c r="N60" s="64" t="s">
        <v>1269</v>
      </c>
      <c r="O60" s="54">
        <v>19</v>
      </c>
      <c r="P60" s="18" t="s">
        <v>1965</v>
      </c>
      <c r="Q60" s="35"/>
      <c r="R60" s="18">
        <v>160</v>
      </c>
      <c r="S60" s="223"/>
      <c r="T60" s="223"/>
      <c r="U60" s="223">
        <v>160</v>
      </c>
      <c r="V60" s="12"/>
      <c r="W60" s="66">
        <f t="shared" si="3"/>
        <v>160</v>
      </c>
      <c r="X60" s="225">
        <v>72941.95</v>
      </c>
      <c r="Y60" s="119">
        <v>82763.399999999994</v>
      </c>
      <c r="Z60" s="8">
        <f t="shared" si="4"/>
        <v>11670712</v>
      </c>
      <c r="AA60" s="122">
        <f t="shared" si="5"/>
        <v>13242144</v>
      </c>
      <c r="AB60" s="217"/>
    </row>
    <row r="61" spans="1:28" s="132" customFormat="1" x14ac:dyDescent="0.25">
      <c r="A61" s="64" t="s">
        <v>365</v>
      </c>
      <c r="B61" s="64" t="s">
        <v>366</v>
      </c>
      <c r="C61" s="64"/>
      <c r="D61" s="54">
        <v>300</v>
      </c>
      <c r="E61" s="54">
        <v>400</v>
      </c>
      <c r="F61" s="54">
        <v>1000</v>
      </c>
      <c r="G61" s="54">
        <f>VLOOKUP(A61,'[1]yourspreadsheetname (1)'!$A$2:$C$968, 3, FALSE)</f>
        <v>1140</v>
      </c>
      <c r="H61" s="54">
        <v>4400</v>
      </c>
      <c r="I61" s="54"/>
      <c r="J61" s="54"/>
      <c r="K61" s="85">
        <v>773723</v>
      </c>
      <c r="L61" s="367"/>
      <c r="M61" s="54" t="s">
        <v>259</v>
      </c>
      <c r="N61" s="64" t="s">
        <v>1269</v>
      </c>
      <c r="O61" s="54">
        <v>20</v>
      </c>
      <c r="P61" s="18" t="s">
        <v>1965</v>
      </c>
      <c r="Q61" s="54"/>
      <c r="R61" s="18">
        <v>7000</v>
      </c>
      <c r="S61" s="54"/>
      <c r="T61" s="12"/>
      <c r="U61" s="54">
        <v>5000</v>
      </c>
      <c r="V61" s="54"/>
      <c r="W61" s="66">
        <f>U61+V61</f>
        <v>5000</v>
      </c>
      <c r="X61" s="206">
        <v>868</v>
      </c>
      <c r="Y61" s="207">
        <v>925.68</v>
      </c>
      <c r="Z61" s="8">
        <f>R61*X61</f>
        <v>6076000</v>
      </c>
      <c r="AA61" s="122">
        <f>W61*Y61</f>
        <v>4628400</v>
      </c>
      <c r="AB61" s="96" t="s">
        <v>367</v>
      </c>
    </row>
    <row r="62" spans="1:28" s="375" customFormat="1" x14ac:dyDescent="0.25">
      <c r="A62" s="327"/>
      <c r="B62" s="236"/>
      <c r="C62" s="236"/>
      <c r="D62" s="236"/>
      <c r="E62" s="236"/>
      <c r="F62" s="236"/>
      <c r="G62" s="433"/>
      <c r="H62" s="377"/>
      <c r="I62" s="327"/>
      <c r="J62" s="329"/>
      <c r="K62" s="608"/>
      <c r="L62" s="327"/>
      <c r="M62" s="327"/>
      <c r="N62" s="372"/>
      <c r="O62" s="327"/>
      <c r="P62" s="327"/>
      <c r="Q62" s="377"/>
      <c r="R62" s="377"/>
      <c r="S62" s="377"/>
      <c r="T62" s="377"/>
      <c r="U62" s="377"/>
      <c r="V62" s="327"/>
      <c r="W62" s="327">
        <f t="shared" si="3"/>
        <v>0</v>
      </c>
      <c r="X62" s="607"/>
      <c r="Y62" s="609"/>
      <c r="Z62" s="331">
        <f t="shared" si="4"/>
        <v>0</v>
      </c>
      <c r="AA62" s="374">
        <f t="shared" si="5"/>
        <v>0</v>
      </c>
      <c r="AB62" s="329"/>
    </row>
    <row r="63" spans="1:28" s="4" customFormat="1" x14ac:dyDescent="0.25">
      <c r="A63" s="55" t="s">
        <v>257</v>
      </c>
      <c r="B63" s="92" t="s">
        <v>258</v>
      </c>
      <c r="C63" s="92">
        <v>120</v>
      </c>
      <c r="D63" s="92">
        <v>120</v>
      </c>
      <c r="E63" s="92">
        <v>100</v>
      </c>
      <c r="F63" s="92">
        <v>100</v>
      </c>
      <c r="G63" s="430">
        <v>300</v>
      </c>
      <c r="H63" s="56">
        <v>600</v>
      </c>
      <c r="I63" s="55">
        <v>600</v>
      </c>
      <c r="J63" s="244"/>
      <c r="K63" s="245">
        <v>773726</v>
      </c>
      <c r="L63" s="55"/>
      <c r="M63" s="55" t="s">
        <v>259</v>
      </c>
      <c r="N63" s="64" t="s">
        <v>260</v>
      </c>
      <c r="O63" s="63">
        <v>1</v>
      </c>
      <c r="P63" s="18"/>
      <c r="Q63" s="7"/>
      <c r="R63" s="7">
        <f>((F63*15)-G63-I63)/2</f>
        <v>300</v>
      </c>
      <c r="S63" s="7"/>
      <c r="T63" s="7"/>
      <c r="U63" s="7"/>
      <c r="V63" s="18"/>
      <c r="W63" s="66">
        <f t="shared" si="3"/>
        <v>0</v>
      </c>
      <c r="X63" s="344">
        <v>1615</v>
      </c>
      <c r="Y63" s="153">
        <v>2089</v>
      </c>
      <c r="Z63" s="8">
        <f t="shared" si="4"/>
        <v>484500</v>
      </c>
      <c r="AA63" s="122">
        <f t="shared" si="5"/>
        <v>0</v>
      </c>
      <c r="AB63" s="31"/>
    </row>
    <row r="64" spans="1:28" s="4" customFormat="1" x14ac:dyDescent="0.25">
      <c r="A64" s="556" t="s">
        <v>382</v>
      </c>
      <c r="B64" s="556" t="s">
        <v>383</v>
      </c>
      <c r="C64" s="556">
        <v>100</v>
      </c>
      <c r="D64" s="534">
        <v>100</v>
      </c>
      <c r="E64" s="534">
        <v>100</v>
      </c>
      <c r="F64" s="557">
        <v>50</v>
      </c>
      <c r="G64" s="558">
        <v>635</v>
      </c>
      <c r="H64" s="515">
        <v>250</v>
      </c>
      <c r="I64" s="534">
        <v>0</v>
      </c>
      <c r="J64" s="296" t="s">
        <v>122</v>
      </c>
      <c r="K64" s="121">
        <v>773726</v>
      </c>
      <c r="L64" s="66"/>
      <c r="M64" s="66" t="s">
        <v>259</v>
      </c>
      <c r="N64" s="64" t="s">
        <v>260</v>
      </c>
      <c r="O64" s="66">
        <v>2</v>
      </c>
      <c r="P64" s="18"/>
      <c r="Q64" s="13"/>
      <c r="R64" s="7">
        <v>100</v>
      </c>
      <c r="S64" s="7"/>
      <c r="T64" s="7"/>
      <c r="U64" s="7"/>
      <c r="V64" s="18"/>
      <c r="W64" s="66">
        <f t="shared" si="3"/>
        <v>0</v>
      </c>
      <c r="X64" s="160">
        <v>900</v>
      </c>
      <c r="Y64" s="159">
        <v>860</v>
      </c>
      <c r="Z64" s="8">
        <f t="shared" si="4"/>
        <v>90000</v>
      </c>
      <c r="AA64" s="122">
        <f t="shared" si="5"/>
        <v>0</v>
      </c>
      <c r="AB64" s="31"/>
    </row>
    <row r="65" spans="1:29" ht="15.75" customHeight="1" x14ac:dyDescent="0.25">
      <c r="A65" s="55" t="s">
        <v>261</v>
      </c>
      <c r="B65" s="92" t="s">
        <v>262</v>
      </c>
      <c r="C65" s="92">
        <v>1200</v>
      </c>
      <c r="D65" s="549">
        <v>1500</v>
      </c>
      <c r="E65" s="549">
        <v>1600</v>
      </c>
      <c r="F65" s="549">
        <v>1600</v>
      </c>
      <c r="G65" s="430">
        <v>8714</v>
      </c>
      <c r="H65" s="56">
        <v>9600</v>
      </c>
      <c r="I65" s="55">
        <v>0</v>
      </c>
      <c r="J65" s="527" t="s">
        <v>122</v>
      </c>
      <c r="K65" s="245">
        <v>773726</v>
      </c>
      <c r="L65" s="55"/>
      <c r="M65" s="55" t="s">
        <v>263</v>
      </c>
      <c r="N65" s="64" t="s">
        <v>260</v>
      </c>
      <c r="O65" s="66">
        <v>3</v>
      </c>
      <c r="P65" s="18"/>
      <c r="Q65" s="6"/>
      <c r="R65" s="7">
        <v>7700</v>
      </c>
      <c r="S65" s="7"/>
      <c r="T65" s="7"/>
      <c r="U65" s="7"/>
      <c r="V65" s="32"/>
      <c r="W65" s="66">
        <f t="shared" si="3"/>
        <v>0</v>
      </c>
      <c r="X65" s="118">
        <v>725</v>
      </c>
      <c r="Y65" s="118">
        <v>1033.7</v>
      </c>
      <c r="Z65" s="8">
        <f t="shared" si="4"/>
        <v>5582500</v>
      </c>
      <c r="AA65" s="122">
        <f t="shared" si="5"/>
        <v>0</v>
      </c>
      <c r="AB65" s="18"/>
      <c r="AC65" s="22"/>
    </row>
    <row r="66" spans="1:29" s="4" customFormat="1" ht="15.75" customHeight="1" x14ac:dyDescent="0.25">
      <c r="A66" s="55" t="s">
        <v>264</v>
      </c>
      <c r="B66" s="92" t="s">
        <v>265</v>
      </c>
      <c r="C66" s="92">
        <v>1000</v>
      </c>
      <c r="D66" s="549">
        <v>600</v>
      </c>
      <c r="E66" s="549">
        <v>800</v>
      </c>
      <c r="F66" s="549">
        <v>900</v>
      </c>
      <c r="G66" s="430">
        <v>2800</v>
      </c>
      <c r="H66" s="56">
        <v>4800</v>
      </c>
      <c r="I66" s="55">
        <v>0</v>
      </c>
      <c r="J66" s="527" t="s">
        <v>122</v>
      </c>
      <c r="K66" s="245">
        <v>773726</v>
      </c>
      <c r="L66" s="244"/>
      <c r="M66" s="55" t="s">
        <v>263</v>
      </c>
      <c r="N66" s="64" t="s">
        <v>260</v>
      </c>
      <c r="O66" s="66">
        <v>4</v>
      </c>
      <c r="P66" s="18"/>
      <c r="Q66" s="18"/>
      <c r="R66" s="7">
        <v>5500</v>
      </c>
      <c r="S66" s="7"/>
      <c r="T66" s="7"/>
      <c r="U66" s="7"/>
      <c r="V66" s="18"/>
      <c r="W66" s="66">
        <f t="shared" si="3"/>
        <v>0</v>
      </c>
      <c r="X66" s="118">
        <v>533.73</v>
      </c>
      <c r="Y66" s="149">
        <v>705.51</v>
      </c>
      <c r="Z66" s="8">
        <f t="shared" si="4"/>
        <v>2935515</v>
      </c>
      <c r="AA66" s="122">
        <f t="shared" si="5"/>
        <v>0</v>
      </c>
      <c r="AB66" s="31"/>
      <c r="AC66" s="680"/>
    </row>
    <row r="67" spans="1:29" s="4" customFormat="1" ht="17.25" customHeight="1" x14ac:dyDescent="0.25">
      <c r="A67" s="421" t="s">
        <v>266</v>
      </c>
      <c r="B67" s="421" t="s">
        <v>267</v>
      </c>
      <c r="C67" s="55">
        <v>60</v>
      </c>
      <c r="D67" s="55">
        <v>50</v>
      </c>
      <c r="E67" s="55">
        <v>60</v>
      </c>
      <c r="F67" s="55">
        <v>60</v>
      </c>
      <c r="G67" s="430">
        <v>200</v>
      </c>
      <c r="H67" s="56">
        <v>600</v>
      </c>
      <c r="I67" s="55">
        <v>480</v>
      </c>
      <c r="J67" s="251"/>
      <c r="K67" s="245">
        <v>773726</v>
      </c>
      <c r="L67" s="55"/>
      <c r="M67" s="55" t="s">
        <v>263</v>
      </c>
      <c r="N67" s="64" t="s">
        <v>260</v>
      </c>
      <c r="O67" s="54">
        <v>5</v>
      </c>
      <c r="P67" s="18"/>
      <c r="Q67" s="13"/>
      <c r="R67" s="7">
        <v>120</v>
      </c>
      <c r="S67" s="7"/>
      <c r="T67" s="7"/>
      <c r="U67" s="7"/>
      <c r="V67" s="18"/>
      <c r="W67" s="66">
        <f t="shared" ref="W67:W98" si="6">U67+V67</f>
        <v>0</v>
      </c>
      <c r="X67" s="160">
        <v>49325</v>
      </c>
      <c r="Y67" s="159">
        <v>109999</v>
      </c>
      <c r="Z67" s="8">
        <f t="shared" ref="Z67:Z103" si="7">R67*X67</f>
        <v>5919000</v>
      </c>
      <c r="AA67" s="122">
        <f t="shared" ref="AA67:AA103" si="8">W67*Y67</f>
        <v>0</v>
      </c>
      <c r="AB67" s="18"/>
      <c r="AC67" s="680"/>
    </row>
    <row r="68" spans="1:29" s="4" customFormat="1" x14ac:dyDescent="0.25">
      <c r="A68" s="423" t="s">
        <v>268</v>
      </c>
      <c r="B68" s="55" t="s">
        <v>269</v>
      </c>
      <c r="C68" s="55"/>
      <c r="D68" s="55"/>
      <c r="E68" s="55">
        <v>1000</v>
      </c>
      <c r="F68" s="55">
        <v>1500</v>
      </c>
      <c r="G68" s="306">
        <v>2000</v>
      </c>
      <c r="H68" s="56">
        <v>2000</v>
      </c>
      <c r="I68" s="55">
        <v>0</v>
      </c>
      <c r="J68" s="55"/>
      <c r="K68" s="245">
        <v>773726</v>
      </c>
      <c r="L68" s="55"/>
      <c r="M68" s="93" t="s">
        <v>259</v>
      </c>
      <c r="N68" s="64" t="s">
        <v>260</v>
      </c>
      <c r="O68" s="66">
        <v>6</v>
      </c>
      <c r="P68" s="18"/>
      <c r="Q68" s="7"/>
      <c r="R68" s="7">
        <v>6000</v>
      </c>
      <c r="S68" s="102"/>
      <c r="T68" s="102"/>
      <c r="U68" s="7"/>
      <c r="V68" s="7"/>
      <c r="W68" s="66">
        <f t="shared" si="6"/>
        <v>0</v>
      </c>
      <c r="X68" s="149">
        <v>587.9</v>
      </c>
      <c r="Y68" s="150">
        <v>765</v>
      </c>
      <c r="Z68" s="8">
        <f t="shared" si="7"/>
        <v>3527400</v>
      </c>
      <c r="AA68" s="122">
        <f t="shared" si="8"/>
        <v>0</v>
      </c>
      <c r="AB68" s="31"/>
      <c r="AC68" s="680"/>
    </row>
    <row r="69" spans="1:29" s="116" customFormat="1" x14ac:dyDescent="0.25">
      <c r="A69" s="343" t="s">
        <v>384</v>
      </c>
      <c r="B69" s="66" t="s">
        <v>385</v>
      </c>
      <c r="C69" s="66"/>
      <c r="D69" s="66">
        <v>15</v>
      </c>
      <c r="E69" s="66">
        <v>15</v>
      </c>
      <c r="F69" s="333">
        <v>15</v>
      </c>
      <c r="G69" s="54" t="e">
        <f>VLOOKUP(A69,'[1]yourspreadsheetname (1)'!$A$2:$C$968, 3, FALSE)</f>
        <v>#N/A</v>
      </c>
      <c r="H69" s="66">
        <v>90</v>
      </c>
      <c r="I69" s="169">
        <v>50</v>
      </c>
      <c r="J69" s="173" t="s">
        <v>122</v>
      </c>
      <c r="K69" s="121">
        <v>773726</v>
      </c>
      <c r="L69" s="274"/>
      <c r="M69" s="377" t="s">
        <v>129</v>
      </c>
      <c r="N69" s="64" t="s">
        <v>260</v>
      </c>
      <c r="O69" s="66">
        <v>7</v>
      </c>
      <c r="P69" s="18"/>
      <c r="Q69" s="18"/>
      <c r="R69" s="66">
        <v>90</v>
      </c>
      <c r="S69" s="18"/>
      <c r="T69" s="66"/>
      <c r="U69" s="66"/>
      <c r="V69" s="66"/>
      <c r="W69" s="66">
        <f>U69+V69</f>
        <v>0</v>
      </c>
      <c r="X69" s="151">
        <v>32196.32</v>
      </c>
      <c r="Y69" s="151">
        <v>71750.009999999995</v>
      </c>
      <c r="Z69" s="8">
        <f>R69*X69</f>
        <v>2897668.8</v>
      </c>
      <c r="AA69" s="122">
        <f>W69*Y69</f>
        <v>0</v>
      </c>
      <c r="AB69" s="18"/>
    </row>
    <row r="70" spans="1:29" s="132" customFormat="1" x14ac:dyDescent="0.25">
      <c r="A70" s="66" t="s">
        <v>386</v>
      </c>
      <c r="B70" s="66" t="s">
        <v>387</v>
      </c>
      <c r="C70" s="66">
        <v>70</v>
      </c>
      <c r="D70" s="66">
        <v>30</v>
      </c>
      <c r="E70" s="66">
        <v>35</v>
      </c>
      <c r="F70" s="333">
        <v>40</v>
      </c>
      <c r="G70" s="54">
        <f>VLOOKUP(A70,'[1]yourspreadsheetname (1)'!$A$2:$C$968, 3, FALSE)</f>
        <v>100</v>
      </c>
      <c r="H70" s="66">
        <v>200</v>
      </c>
      <c r="I70" s="169"/>
      <c r="J70" s="173" t="s">
        <v>122</v>
      </c>
      <c r="K70" s="121">
        <v>773726</v>
      </c>
      <c r="L70" s="274"/>
      <c r="M70" s="66" t="s">
        <v>272</v>
      </c>
      <c r="N70" s="64" t="s">
        <v>260</v>
      </c>
      <c r="O70" s="66">
        <v>8</v>
      </c>
      <c r="P70" s="18"/>
      <c r="Q70" s="18"/>
      <c r="R70" s="66">
        <v>200</v>
      </c>
      <c r="S70" s="18"/>
      <c r="T70" s="18"/>
      <c r="U70" s="66"/>
      <c r="V70" s="66"/>
      <c r="W70" s="66">
        <f t="shared" si="6"/>
        <v>0</v>
      </c>
      <c r="X70" s="118">
        <v>1100</v>
      </c>
      <c r="Y70" s="117">
        <v>1800.01</v>
      </c>
      <c r="Z70" s="8">
        <f t="shared" si="7"/>
        <v>220000</v>
      </c>
      <c r="AA70" s="122">
        <f t="shared" si="8"/>
        <v>0</v>
      </c>
      <c r="AB70" s="18"/>
    </row>
    <row r="71" spans="1:29" s="132" customFormat="1" x14ac:dyDescent="0.25">
      <c r="A71" s="55" t="s">
        <v>270</v>
      </c>
      <c r="B71" s="55" t="s">
        <v>271</v>
      </c>
      <c r="C71" s="55"/>
      <c r="D71" s="55"/>
      <c r="E71" s="55">
        <v>10</v>
      </c>
      <c r="F71" s="521">
        <v>10</v>
      </c>
      <c r="G71" s="92" t="e">
        <f>VLOOKUP(A71,'[1]yourspreadsheetname (1)'!$A$2:$C$968, 3, FALSE)</f>
        <v>#N/A</v>
      </c>
      <c r="H71" s="55">
        <v>50</v>
      </c>
      <c r="I71" s="429"/>
      <c r="J71" s="250" t="s">
        <v>122</v>
      </c>
      <c r="K71" s="245">
        <v>773726</v>
      </c>
      <c r="L71" s="293"/>
      <c r="M71" s="55" t="s">
        <v>272</v>
      </c>
      <c r="N71" s="64" t="s">
        <v>260</v>
      </c>
      <c r="O71" s="66">
        <v>9</v>
      </c>
      <c r="P71" s="18"/>
      <c r="Q71" s="18"/>
      <c r="R71" s="66">
        <v>25</v>
      </c>
      <c r="S71" s="18"/>
      <c r="T71" s="18"/>
      <c r="U71" s="66"/>
      <c r="V71" s="63"/>
      <c r="W71" s="66">
        <f t="shared" si="6"/>
        <v>0</v>
      </c>
      <c r="X71" s="118">
        <v>810.9</v>
      </c>
      <c r="Y71" s="117">
        <v>1687.51</v>
      </c>
      <c r="Z71" s="8">
        <f t="shared" si="7"/>
        <v>20272.5</v>
      </c>
      <c r="AA71" s="122">
        <f t="shared" si="8"/>
        <v>0</v>
      </c>
      <c r="AB71" s="18"/>
    </row>
    <row r="72" spans="1:29" s="132" customFormat="1" x14ac:dyDescent="0.25">
      <c r="A72" s="83" t="s">
        <v>388</v>
      </c>
      <c r="B72" s="66" t="s">
        <v>389</v>
      </c>
      <c r="C72" s="66"/>
      <c r="D72" s="66"/>
      <c r="E72" s="66">
        <v>8</v>
      </c>
      <c r="F72" s="173">
        <v>4</v>
      </c>
      <c r="G72" s="54">
        <v>12</v>
      </c>
      <c r="H72" s="66">
        <v>30</v>
      </c>
      <c r="I72" s="66"/>
      <c r="J72" s="173" t="s">
        <v>122</v>
      </c>
      <c r="K72" s="121">
        <v>773726</v>
      </c>
      <c r="L72" s="66"/>
      <c r="M72" s="66" t="s">
        <v>259</v>
      </c>
      <c r="N72" s="64" t="s">
        <v>260</v>
      </c>
      <c r="O72" s="66">
        <v>10</v>
      </c>
      <c r="P72" s="18"/>
      <c r="Q72" s="18"/>
      <c r="R72" s="66">
        <f>((F72*15)-G72-I72)/2</f>
        <v>24</v>
      </c>
      <c r="S72" s="18">
        <v>12</v>
      </c>
      <c r="T72" s="18"/>
      <c r="U72" s="66"/>
      <c r="V72" s="66"/>
      <c r="W72" s="66">
        <f>U72+V72</f>
        <v>0</v>
      </c>
      <c r="X72" s="118">
        <v>36009</v>
      </c>
      <c r="Y72" s="117">
        <v>36500</v>
      </c>
      <c r="Z72" s="8">
        <f>R72*X72</f>
        <v>864216</v>
      </c>
      <c r="AA72" s="122">
        <f>W72*Y72</f>
        <v>0</v>
      </c>
      <c r="AB72" s="18"/>
    </row>
    <row r="73" spans="1:29" s="132" customFormat="1" x14ac:dyDescent="0.25">
      <c r="A73" s="55" t="s">
        <v>273</v>
      </c>
      <c r="B73" s="92" t="s">
        <v>274</v>
      </c>
      <c r="C73" s="92">
        <v>20</v>
      </c>
      <c r="D73" s="55">
        <v>20</v>
      </c>
      <c r="E73" s="55">
        <v>40</v>
      </c>
      <c r="F73" s="55">
        <v>60</v>
      </c>
      <c r="G73" s="92">
        <f>VLOOKUP(A73,'[1]yourspreadsheetname (1)'!$A$2:$C$968, 3, FALSE)</f>
        <v>200</v>
      </c>
      <c r="H73" s="55">
        <v>490</v>
      </c>
      <c r="I73" s="55">
        <v>50</v>
      </c>
      <c r="J73" s="250" t="s">
        <v>122</v>
      </c>
      <c r="K73" s="245">
        <v>773726</v>
      </c>
      <c r="L73" s="55"/>
      <c r="M73" s="55" t="s">
        <v>259</v>
      </c>
      <c r="N73" s="64" t="s">
        <v>260</v>
      </c>
      <c r="O73" s="66">
        <v>11</v>
      </c>
      <c r="P73" s="18"/>
      <c r="Q73" s="18"/>
      <c r="R73" s="66">
        <v>300</v>
      </c>
      <c r="S73" s="18"/>
      <c r="T73" s="66"/>
      <c r="U73" s="66"/>
      <c r="V73" s="54"/>
      <c r="W73" s="66">
        <f t="shared" si="6"/>
        <v>0</v>
      </c>
      <c r="X73" s="153">
        <v>22260</v>
      </c>
      <c r="Y73" s="117">
        <v>46495</v>
      </c>
      <c r="Z73" s="8">
        <f t="shared" si="7"/>
        <v>6678000</v>
      </c>
      <c r="AA73" s="122">
        <f t="shared" si="8"/>
        <v>0</v>
      </c>
      <c r="AB73" s="18"/>
    </row>
    <row r="74" spans="1:29" s="132" customFormat="1" x14ac:dyDescent="0.25">
      <c r="A74" s="66" t="s">
        <v>390</v>
      </c>
      <c r="B74" s="66" t="s">
        <v>391</v>
      </c>
      <c r="C74" s="66">
        <v>333</v>
      </c>
      <c r="D74" s="54">
        <v>300</v>
      </c>
      <c r="E74" s="54">
        <v>280</v>
      </c>
      <c r="F74" s="333">
        <v>400</v>
      </c>
      <c r="G74" s="54">
        <f>VLOOKUP(A74,'[1]yourspreadsheetname (1)'!$A$2:$C$968, 3, FALSE)</f>
        <v>300</v>
      </c>
      <c r="H74" s="66">
        <v>1800</v>
      </c>
      <c r="I74" s="169"/>
      <c r="J74" s="173" t="s">
        <v>122</v>
      </c>
      <c r="K74" s="121">
        <v>773726</v>
      </c>
      <c r="L74" s="274"/>
      <c r="M74" s="66" t="s">
        <v>283</v>
      </c>
      <c r="N74" s="64" t="s">
        <v>260</v>
      </c>
      <c r="O74" s="66">
        <v>12</v>
      </c>
      <c r="P74" s="18"/>
      <c r="Q74" s="18"/>
      <c r="R74" s="66">
        <v>900</v>
      </c>
      <c r="S74" s="18"/>
      <c r="T74" s="18"/>
      <c r="U74" s="66"/>
      <c r="V74" s="66"/>
      <c r="W74" s="66">
        <f t="shared" ref="W74:W80" si="9">U74+V74</f>
        <v>0</v>
      </c>
      <c r="X74" s="118">
        <v>910</v>
      </c>
      <c r="Y74" s="117">
        <v>1074</v>
      </c>
      <c r="Z74" s="8">
        <f t="shared" ref="Z74:Z80" si="10">R74*X74</f>
        <v>819000</v>
      </c>
      <c r="AA74" s="122">
        <f t="shared" ref="AA74:AA80" si="11">W74*Y74</f>
        <v>0</v>
      </c>
      <c r="AB74" s="18"/>
    </row>
    <row r="75" spans="1:29" s="132" customFormat="1" x14ac:dyDescent="0.25">
      <c r="A75" s="66" t="s">
        <v>392</v>
      </c>
      <c r="B75" s="66" t="s">
        <v>393</v>
      </c>
      <c r="C75" s="66"/>
      <c r="D75" s="66">
        <v>300</v>
      </c>
      <c r="E75" s="66">
        <v>250</v>
      </c>
      <c r="F75" s="210">
        <v>250</v>
      </c>
      <c r="G75" s="54" t="e">
        <f>VLOOKUP(A75,'[1]yourspreadsheetname (1)'!$A$2:$C$968, 3, FALSE)</f>
        <v>#N/A</v>
      </c>
      <c r="H75" s="66">
        <v>1050</v>
      </c>
      <c r="I75" s="169">
        <v>0</v>
      </c>
      <c r="J75" s="173" t="s">
        <v>122</v>
      </c>
      <c r="K75" s="121">
        <v>773726</v>
      </c>
      <c r="L75" s="274"/>
      <c r="M75" s="66" t="s">
        <v>283</v>
      </c>
      <c r="N75" s="64" t="s">
        <v>260</v>
      </c>
      <c r="O75" s="66">
        <v>13</v>
      </c>
      <c r="P75" s="18"/>
      <c r="Q75" s="6"/>
      <c r="R75" s="66">
        <v>2000</v>
      </c>
      <c r="S75" s="19"/>
      <c r="T75" s="66"/>
      <c r="U75" s="66"/>
      <c r="V75" s="66"/>
      <c r="W75" s="66">
        <f t="shared" si="9"/>
        <v>0</v>
      </c>
      <c r="X75" s="118">
        <v>974.6</v>
      </c>
      <c r="Y75" s="117">
        <v>1195</v>
      </c>
      <c r="Z75" s="8">
        <f t="shared" si="10"/>
        <v>1949200</v>
      </c>
      <c r="AA75" s="122">
        <f t="shared" si="11"/>
        <v>0</v>
      </c>
      <c r="AB75" s="37"/>
    </row>
    <row r="76" spans="1:29" s="132" customFormat="1" x14ac:dyDescent="0.25">
      <c r="A76" s="66" t="s">
        <v>394</v>
      </c>
      <c r="B76" s="66" t="s">
        <v>395</v>
      </c>
      <c r="C76" s="66">
        <v>1500</v>
      </c>
      <c r="D76" s="66">
        <v>1450</v>
      </c>
      <c r="E76" s="66">
        <v>1000</v>
      </c>
      <c r="F76" s="333">
        <v>1200</v>
      </c>
      <c r="G76" s="54">
        <f>VLOOKUP(A76,'[1]yourspreadsheetname (1)'!$A$2:$C$968, 3, FALSE)</f>
        <v>1300</v>
      </c>
      <c r="H76" s="66">
        <v>6000</v>
      </c>
      <c r="I76" s="169"/>
      <c r="J76" s="173" t="s">
        <v>122</v>
      </c>
      <c r="K76" s="121">
        <v>773726</v>
      </c>
      <c r="L76" s="274"/>
      <c r="M76" s="66" t="s">
        <v>259</v>
      </c>
      <c r="N76" s="64" t="s">
        <v>260</v>
      </c>
      <c r="O76" s="66">
        <v>14</v>
      </c>
      <c r="P76" s="18"/>
      <c r="Q76" s="18"/>
      <c r="R76" s="66">
        <v>5000</v>
      </c>
      <c r="S76" s="18"/>
      <c r="T76" s="18"/>
      <c r="U76" s="66"/>
      <c r="V76" s="66"/>
      <c r="W76" s="66">
        <f t="shared" si="9"/>
        <v>0</v>
      </c>
      <c r="X76" s="118">
        <v>295.99</v>
      </c>
      <c r="Y76" s="117">
        <v>333.5</v>
      </c>
      <c r="Z76" s="8">
        <f t="shared" si="10"/>
        <v>1479950</v>
      </c>
      <c r="AA76" s="122">
        <f t="shared" si="11"/>
        <v>0</v>
      </c>
      <c r="AB76" s="37"/>
    </row>
    <row r="77" spans="1:29" s="132" customFormat="1" x14ac:dyDescent="0.25">
      <c r="A77" s="55" t="s">
        <v>175</v>
      </c>
      <c r="B77" s="55" t="s">
        <v>176</v>
      </c>
      <c r="C77" s="55"/>
      <c r="D77" s="55"/>
      <c r="E77" s="55">
        <v>10</v>
      </c>
      <c r="F77" s="429">
        <v>10</v>
      </c>
      <c r="G77" s="92">
        <f>VLOOKUP(A77,'[1]yourspreadsheetname (1)'!$A$2:$C$968, 3, FALSE)</f>
        <v>47</v>
      </c>
      <c r="H77" s="55">
        <v>40</v>
      </c>
      <c r="I77" s="429">
        <v>8</v>
      </c>
      <c r="J77" s="250" t="s">
        <v>122</v>
      </c>
      <c r="K77" s="245">
        <v>773726</v>
      </c>
      <c r="L77" s="293"/>
      <c r="M77" s="55" t="s">
        <v>285</v>
      </c>
      <c r="N77" s="64" t="s">
        <v>260</v>
      </c>
      <c r="O77" s="66">
        <v>15</v>
      </c>
      <c r="P77" s="18"/>
      <c r="Q77" s="18"/>
      <c r="R77" s="66">
        <v>80</v>
      </c>
      <c r="S77" s="18"/>
      <c r="T77" s="63"/>
      <c r="U77" s="63"/>
      <c r="V77" s="63"/>
      <c r="W77" s="66">
        <f t="shared" si="9"/>
        <v>0</v>
      </c>
      <c r="X77" s="153">
        <v>325335</v>
      </c>
      <c r="Y77" s="117">
        <v>686999</v>
      </c>
      <c r="Z77" s="8">
        <f t="shared" si="10"/>
        <v>26026800</v>
      </c>
      <c r="AA77" s="122">
        <f t="shared" si="11"/>
        <v>0</v>
      </c>
      <c r="AB77" s="37"/>
    </row>
    <row r="78" spans="1:29" s="132" customFormat="1" x14ac:dyDescent="0.25">
      <c r="A78" s="539" t="s">
        <v>275</v>
      </c>
      <c r="B78" s="55" t="s">
        <v>276</v>
      </c>
      <c r="C78" s="55"/>
      <c r="D78" s="55"/>
      <c r="E78" s="55">
        <v>10</v>
      </c>
      <c r="F78" s="521"/>
      <c r="G78" s="92">
        <f>VLOOKUP(A78,'[1]yourspreadsheetname (1)'!$A$2:$C$968, 3, FALSE)</f>
        <v>0</v>
      </c>
      <c r="H78" s="55">
        <v>50</v>
      </c>
      <c r="I78" s="429"/>
      <c r="J78" s="250" t="s">
        <v>122</v>
      </c>
      <c r="K78" s="245">
        <v>773726</v>
      </c>
      <c r="L78" s="293"/>
      <c r="M78" s="55" t="s">
        <v>272</v>
      </c>
      <c r="N78" s="64" t="s">
        <v>260</v>
      </c>
      <c r="O78" s="66">
        <v>16</v>
      </c>
      <c r="P78" s="18"/>
      <c r="Q78" s="18"/>
      <c r="R78" s="66">
        <v>50</v>
      </c>
      <c r="S78" s="18"/>
      <c r="T78" s="18"/>
      <c r="U78" s="66"/>
      <c r="V78" s="54"/>
      <c r="W78" s="66">
        <f t="shared" si="9"/>
        <v>0</v>
      </c>
      <c r="X78" s="118">
        <v>750</v>
      </c>
      <c r="Y78" s="117">
        <v>1225.01</v>
      </c>
      <c r="Z78" s="8">
        <f t="shared" si="10"/>
        <v>37500</v>
      </c>
      <c r="AA78" s="122">
        <f t="shared" si="11"/>
        <v>0</v>
      </c>
      <c r="AB78" s="37"/>
    </row>
    <row r="79" spans="1:29" s="4" customFormat="1" x14ac:dyDescent="0.25">
      <c r="A79" s="55" t="s">
        <v>277</v>
      </c>
      <c r="B79" s="55" t="s">
        <v>278</v>
      </c>
      <c r="C79" s="55"/>
      <c r="D79" s="55"/>
      <c r="E79" s="55">
        <v>10</v>
      </c>
      <c r="F79" s="55">
        <v>10</v>
      </c>
      <c r="G79" s="430">
        <v>145</v>
      </c>
      <c r="H79" s="56">
        <v>100</v>
      </c>
      <c r="I79" s="55">
        <v>0</v>
      </c>
      <c r="J79" s="55"/>
      <c r="K79" s="245">
        <v>773726</v>
      </c>
      <c r="L79" s="55"/>
      <c r="M79" s="55" t="s">
        <v>272</v>
      </c>
      <c r="N79" s="64" t="s">
        <v>260</v>
      </c>
      <c r="O79" s="66">
        <v>17</v>
      </c>
      <c r="P79" s="18"/>
      <c r="Q79" s="18"/>
      <c r="R79" s="7">
        <v>120</v>
      </c>
      <c r="S79" s="102"/>
      <c r="T79" s="102"/>
      <c r="U79" s="7"/>
      <c r="V79" s="18"/>
      <c r="W79" s="66">
        <f t="shared" si="9"/>
        <v>0</v>
      </c>
      <c r="X79" s="118">
        <v>5999</v>
      </c>
      <c r="Y79" s="150">
        <v>10782.3</v>
      </c>
      <c r="Z79" s="8">
        <f t="shared" si="10"/>
        <v>719880</v>
      </c>
      <c r="AA79" s="122">
        <f t="shared" si="11"/>
        <v>0</v>
      </c>
      <c r="AB79" s="18"/>
      <c r="AC79" s="680"/>
    </row>
    <row r="80" spans="1:29" x14ac:dyDescent="0.25">
      <c r="A80" s="581" t="s">
        <v>396</v>
      </c>
      <c r="B80" s="582" t="s">
        <v>397</v>
      </c>
      <c r="F80" s="2">
        <v>5</v>
      </c>
      <c r="K80" s="121">
        <v>773726</v>
      </c>
      <c r="L80" s="36"/>
      <c r="M80" s="66" t="s">
        <v>259</v>
      </c>
      <c r="N80" s="64" t="s">
        <v>260</v>
      </c>
      <c r="O80" s="381">
        <v>18</v>
      </c>
      <c r="R80" s="2">
        <v>40</v>
      </c>
      <c r="W80" s="66">
        <f t="shared" si="9"/>
        <v>0</v>
      </c>
      <c r="X80" s="667">
        <v>126800</v>
      </c>
      <c r="Y80" s="668">
        <v>78200</v>
      </c>
      <c r="Z80" s="8">
        <f t="shared" si="10"/>
        <v>5072000</v>
      </c>
      <c r="AA80" s="122">
        <f t="shared" si="11"/>
        <v>0</v>
      </c>
    </row>
    <row r="81" spans="1:28" s="617" customFormat="1" x14ac:dyDescent="0.25">
      <c r="A81" s="613"/>
      <c r="B81" s="372"/>
      <c r="C81" s="613"/>
      <c r="D81" s="629"/>
      <c r="E81" s="629"/>
      <c r="F81" s="629"/>
      <c r="G81" s="236"/>
      <c r="H81" s="627"/>
      <c r="I81" s="629"/>
      <c r="J81" s="236"/>
      <c r="K81" s="326"/>
      <c r="L81" s="624"/>
      <c r="M81" s="610"/>
      <c r="N81" s="372"/>
      <c r="O81" s="377"/>
      <c r="P81" s="622"/>
      <c r="Q81" s="613"/>
      <c r="R81" s="327"/>
      <c r="S81" s="236"/>
      <c r="T81" s="236"/>
      <c r="U81" s="629"/>
      <c r="V81" s="629"/>
      <c r="W81" s="327">
        <f t="shared" si="6"/>
        <v>0</v>
      </c>
      <c r="X81" s="373"/>
      <c r="Y81" s="374"/>
      <c r="Z81" s="331">
        <f t="shared" si="7"/>
        <v>0</v>
      </c>
      <c r="AA81" s="374">
        <f t="shared" si="8"/>
        <v>0</v>
      </c>
      <c r="AB81" s="620"/>
    </row>
    <row r="82" spans="1:28" s="4" customFormat="1" ht="36" customHeight="1" x14ac:dyDescent="0.25">
      <c r="A82" s="66" t="s">
        <v>398</v>
      </c>
      <c r="B82" s="54" t="s">
        <v>399</v>
      </c>
      <c r="C82" s="66">
        <v>3500</v>
      </c>
      <c r="D82" s="66"/>
      <c r="E82" s="66">
        <v>2000</v>
      </c>
      <c r="F82" s="66">
        <v>2000</v>
      </c>
      <c r="G82" s="66">
        <v>0</v>
      </c>
      <c r="H82" s="66">
        <v>12000</v>
      </c>
      <c r="I82" s="66">
        <v>12000</v>
      </c>
      <c r="J82" s="66" t="s">
        <v>122</v>
      </c>
      <c r="K82" s="66">
        <v>773724</v>
      </c>
      <c r="L82" s="62"/>
      <c r="M82" s="62"/>
      <c r="N82" s="64"/>
      <c r="O82" s="62">
        <v>1</v>
      </c>
      <c r="P82" s="58"/>
      <c r="Q82" s="7"/>
      <c r="R82" s="18">
        <f>((F82*15)-G82-I82)/2</f>
        <v>9000</v>
      </c>
      <c r="S82" s="12"/>
      <c r="T82" s="18"/>
      <c r="U82" s="7"/>
      <c r="V82" s="7"/>
      <c r="W82" s="66">
        <f t="shared" si="6"/>
        <v>0</v>
      </c>
      <c r="X82" s="8">
        <v>1125.3599999999999</v>
      </c>
      <c r="Y82" s="8">
        <v>2486</v>
      </c>
      <c r="Z82" s="8">
        <f t="shared" si="7"/>
        <v>10128240</v>
      </c>
      <c r="AA82" s="122">
        <f t="shared" si="8"/>
        <v>0</v>
      </c>
      <c r="AB82" s="5"/>
    </row>
    <row r="83" spans="1:28" s="4" customFormat="1" ht="23.25" customHeight="1" x14ac:dyDescent="0.25">
      <c r="A83" s="66" t="s">
        <v>400</v>
      </c>
      <c r="B83" s="54" t="s">
        <v>401</v>
      </c>
      <c r="C83" s="66">
        <v>450</v>
      </c>
      <c r="D83" s="66"/>
      <c r="E83" s="66">
        <v>600</v>
      </c>
      <c r="F83" s="66">
        <v>900</v>
      </c>
      <c r="G83" s="66">
        <v>500</v>
      </c>
      <c r="H83" s="66">
        <v>7200</v>
      </c>
      <c r="I83" s="66">
        <v>3600</v>
      </c>
      <c r="J83" s="66" t="s">
        <v>122</v>
      </c>
      <c r="K83" s="66">
        <v>773724</v>
      </c>
      <c r="L83" s="66"/>
      <c r="M83" s="66"/>
      <c r="N83" s="25"/>
      <c r="O83" s="7">
        <v>2</v>
      </c>
      <c r="P83" s="24"/>
      <c r="Q83" s="18"/>
      <c r="R83" s="18">
        <v>5000</v>
      </c>
      <c r="S83" s="12"/>
      <c r="T83" s="18"/>
      <c r="U83" s="18"/>
      <c r="V83" s="18"/>
      <c r="W83" s="66">
        <f t="shared" si="6"/>
        <v>0</v>
      </c>
      <c r="X83" s="8">
        <v>2136</v>
      </c>
      <c r="Y83" s="8">
        <v>2988</v>
      </c>
      <c r="Z83" s="8">
        <f t="shared" si="7"/>
        <v>10680000</v>
      </c>
      <c r="AA83" s="122">
        <f t="shared" si="8"/>
        <v>0</v>
      </c>
      <c r="AB83" s="18"/>
    </row>
    <row r="84" spans="1:28" s="116" customFormat="1" ht="31.5" customHeight="1" x14ac:dyDescent="0.25">
      <c r="A84" s="66" t="s">
        <v>402</v>
      </c>
      <c r="B84" s="54" t="s">
        <v>403</v>
      </c>
      <c r="C84" s="66"/>
      <c r="D84" s="66"/>
      <c r="E84" s="66">
        <v>200</v>
      </c>
      <c r="F84" s="66">
        <v>500</v>
      </c>
      <c r="G84" s="66">
        <v>0</v>
      </c>
      <c r="H84" s="66">
        <v>2400</v>
      </c>
      <c r="I84" s="66"/>
      <c r="J84" s="66" t="s">
        <v>122</v>
      </c>
      <c r="K84" s="66">
        <v>773724</v>
      </c>
      <c r="L84" s="62"/>
      <c r="M84" s="66"/>
      <c r="N84" s="211"/>
      <c r="O84" s="62">
        <v>3</v>
      </c>
      <c r="P84" s="62"/>
      <c r="Q84" s="66"/>
      <c r="R84" s="18">
        <v>3800</v>
      </c>
      <c r="S84" s="7"/>
      <c r="T84" s="66"/>
      <c r="U84" s="66"/>
      <c r="V84" s="66"/>
      <c r="W84" s="66">
        <f t="shared" si="6"/>
        <v>0</v>
      </c>
      <c r="X84" s="65">
        <v>1250</v>
      </c>
      <c r="Y84" s="65">
        <v>2802.3</v>
      </c>
      <c r="Z84" s="8">
        <f t="shared" si="7"/>
        <v>4750000</v>
      </c>
      <c r="AA84" s="122">
        <f t="shared" si="8"/>
        <v>0</v>
      </c>
      <c r="AB84" s="66"/>
    </row>
    <row r="85" spans="1:28" s="4" customFormat="1" ht="31.5" customHeight="1" x14ac:dyDescent="0.25">
      <c r="A85" s="66" t="s">
        <v>404</v>
      </c>
      <c r="B85" s="54" t="s">
        <v>405</v>
      </c>
      <c r="C85" s="66"/>
      <c r="D85" s="66"/>
      <c r="E85" s="66">
        <v>200</v>
      </c>
      <c r="F85" s="66">
        <v>500</v>
      </c>
      <c r="G85" s="66">
        <v>1890</v>
      </c>
      <c r="H85" s="66">
        <v>2100</v>
      </c>
      <c r="I85" s="66"/>
      <c r="J85" s="66" t="s">
        <v>122</v>
      </c>
      <c r="K85" s="66">
        <v>773724</v>
      </c>
      <c r="L85" s="62"/>
      <c r="M85" s="66"/>
      <c r="N85" s="25"/>
      <c r="O85" s="18">
        <v>4</v>
      </c>
      <c r="P85" s="7"/>
      <c r="Q85" s="18"/>
      <c r="R85" s="18">
        <v>2800</v>
      </c>
      <c r="S85" s="18"/>
      <c r="T85" s="18"/>
      <c r="U85" s="18"/>
      <c r="V85" s="18"/>
      <c r="W85" s="66">
        <f t="shared" si="6"/>
        <v>0</v>
      </c>
      <c r="X85" s="8">
        <v>1465</v>
      </c>
      <c r="Y85" s="8">
        <v>1885</v>
      </c>
      <c r="Z85" s="8">
        <f t="shared" si="7"/>
        <v>4102000</v>
      </c>
      <c r="AA85" s="122">
        <f t="shared" si="8"/>
        <v>0</v>
      </c>
      <c r="AB85" s="18"/>
    </row>
    <row r="86" spans="1:28" s="4" customFormat="1" ht="18" customHeight="1" x14ac:dyDescent="0.25">
      <c r="A86" s="66" t="s">
        <v>406</v>
      </c>
      <c r="B86" s="54" t="s">
        <v>407</v>
      </c>
      <c r="C86" s="66">
        <v>240</v>
      </c>
      <c r="D86" s="66">
        <v>60</v>
      </c>
      <c r="E86" s="66">
        <v>40</v>
      </c>
      <c r="F86" s="66">
        <v>100</v>
      </c>
      <c r="G86" s="66">
        <v>0</v>
      </c>
      <c r="H86" s="66">
        <v>408</v>
      </c>
      <c r="I86" s="66"/>
      <c r="J86" s="66" t="s">
        <v>122</v>
      </c>
      <c r="K86" s="66">
        <v>773724</v>
      </c>
      <c r="L86" s="66"/>
      <c r="M86" s="66"/>
      <c r="N86" s="25"/>
      <c r="O86" s="7">
        <v>5</v>
      </c>
      <c r="P86" s="7"/>
      <c r="Q86" s="18"/>
      <c r="R86" s="18">
        <f>((F86*15)-G86-I86)/2</f>
        <v>750</v>
      </c>
      <c r="S86" s="18"/>
      <c r="T86" s="18"/>
      <c r="U86" s="18"/>
      <c r="V86" s="18"/>
      <c r="W86" s="66">
        <f t="shared" si="6"/>
        <v>0</v>
      </c>
      <c r="X86" s="47">
        <v>1896</v>
      </c>
      <c r="Y86" s="8">
        <v>4653.75</v>
      </c>
      <c r="Z86" s="8">
        <f t="shared" si="7"/>
        <v>1422000</v>
      </c>
      <c r="AA86" s="122">
        <f t="shared" si="8"/>
        <v>0</v>
      </c>
      <c r="AB86" s="680"/>
    </row>
    <row r="87" spans="1:28" s="4" customFormat="1" ht="21" customHeight="1" x14ac:dyDescent="0.25">
      <c r="A87" s="66" t="s">
        <v>249</v>
      </c>
      <c r="B87" s="54" t="s">
        <v>250</v>
      </c>
      <c r="C87" s="66"/>
      <c r="D87" s="66"/>
      <c r="E87" s="66">
        <v>10</v>
      </c>
      <c r="F87" s="66">
        <v>10</v>
      </c>
      <c r="G87" s="66">
        <v>60</v>
      </c>
      <c r="H87" s="66">
        <v>120</v>
      </c>
      <c r="I87" s="66"/>
      <c r="J87" s="66" t="s">
        <v>122</v>
      </c>
      <c r="K87" s="66">
        <v>773724</v>
      </c>
      <c r="L87" s="66"/>
      <c r="M87" s="64"/>
      <c r="N87" s="211"/>
      <c r="O87" s="66">
        <v>6</v>
      </c>
      <c r="P87" s="66"/>
      <c r="Q87" s="18"/>
      <c r="R87" s="18">
        <v>50</v>
      </c>
      <c r="S87" s="18"/>
      <c r="T87" s="18"/>
      <c r="U87" s="18"/>
      <c r="V87" s="6"/>
      <c r="W87" s="66">
        <f t="shared" si="6"/>
        <v>0</v>
      </c>
      <c r="X87" s="47">
        <v>3606.4</v>
      </c>
      <c r="Y87" s="8">
        <v>3543</v>
      </c>
      <c r="Z87" s="8">
        <f t="shared" si="7"/>
        <v>180320</v>
      </c>
      <c r="AA87" s="122">
        <f t="shared" si="8"/>
        <v>0</v>
      </c>
      <c r="AB87" s="31"/>
    </row>
    <row r="88" spans="1:28" s="90" customFormat="1" x14ac:dyDescent="0.25">
      <c r="A88" s="66" t="s">
        <v>408</v>
      </c>
      <c r="B88" s="54" t="s">
        <v>409</v>
      </c>
      <c r="C88" s="66"/>
      <c r="D88" s="66"/>
      <c r="E88" s="66">
        <v>50</v>
      </c>
      <c r="F88" s="66">
        <v>50</v>
      </c>
      <c r="G88" s="66">
        <v>0</v>
      </c>
      <c r="H88" s="66">
        <v>0</v>
      </c>
      <c r="I88" s="66"/>
      <c r="J88" s="66"/>
      <c r="K88" s="66">
        <v>773724</v>
      </c>
      <c r="L88" s="66"/>
      <c r="M88" s="66"/>
      <c r="N88" s="19"/>
      <c r="O88" s="536">
        <v>7</v>
      </c>
      <c r="P88" s="217"/>
      <c r="Q88" s="64"/>
      <c r="R88" s="18">
        <v>400</v>
      </c>
      <c r="S88" s="31"/>
      <c r="T88" s="31"/>
      <c r="U88" s="31"/>
      <c r="V88" s="31"/>
      <c r="W88" s="66">
        <f t="shared" si="6"/>
        <v>0</v>
      </c>
      <c r="X88" s="31">
        <v>13999</v>
      </c>
      <c r="Y88" s="122"/>
      <c r="Z88" s="8">
        <f t="shared" si="7"/>
        <v>5599600</v>
      </c>
      <c r="AA88" s="122">
        <f t="shared" si="8"/>
        <v>0</v>
      </c>
      <c r="AB88" s="31"/>
    </row>
    <row r="89" spans="1:28" s="73" customFormat="1" ht="26.25" customHeight="1" x14ac:dyDescent="0.25">
      <c r="A89" s="66" t="s">
        <v>410</v>
      </c>
      <c r="B89" s="54" t="s">
        <v>411</v>
      </c>
      <c r="C89" s="66">
        <v>15</v>
      </c>
      <c r="D89" s="66">
        <v>15</v>
      </c>
      <c r="E89" s="66">
        <v>15</v>
      </c>
      <c r="F89" s="66">
        <v>15</v>
      </c>
      <c r="G89" s="66">
        <v>0</v>
      </c>
      <c r="H89" s="66">
        <v>120</v>
      </c>
      <c r="I89" s="66"/>
      <c r="J89" s="66"/>
      <c r="K89" s="66">
        <v>773724</v>
      </c>
      <c r="L89" s="54"/>
      <c r="M89" s="63"/>
      <c r="N89" s="13"/>
      <c r="O89" s="537">
        <v>8</v>
      </c>
      <c r="P89" s="229"/>
      <c r="Q89" s="13"/>
      <c r="R89" s="18">
        <v>120</v>
      </c>
      <c r="S89" s="12"/>
      <c r="T89" s="12"/>
      <c r="U89" s="12"/>
      <c r="V89" s="12"/>
      <c r="W89" s="66">
        <f t="shared" si="6"/>
        <v>0</v>
      </c>
      <c r="X89" s="216">
        <v>12855</v>
      </c>
      <c r="Y89" s="122"/>
      <c r="Z89" s="8">
        <f t="shared" si="7"/>
        <v>1542600</v>
      </c>
      <c r="AA89" s="122">
        <f t="shared" si="8"/>
        <v>0</v>
      </c>
      <c r="AB89" s="12"/>
    </row>
    <row r="90" spans="1:28" s="100" customFormat="1" x14ac:dyDescent="0.25">
      <c r="W90" s="327">
        <f t="shared" si="6"/>
        <v>0</v>
      </c>
      <c r="Z90" s="331">
        <f t="shared" si="7"/>
        <v>0</v>
      </c>
      <c r="AA90" s="374">
        <f t="shared" si="8"/>
        <v>0</v>
      </c>
    </row>
    <row r="91" spans="1:28" s="4" customFormat="1" ht="26.25" customHeight="1" x14ac:dyDescent="0.25">
      <c r="A91" s="66" t="s">
        <v>412</v>
      </c>
      <c r="B91" s="54" t="s">
        <v>413</v>
      </c>
      <c r="C91" s="55"/>
      <c r="D91" s="55"/>
      <c r="E91" s="55">
        <v>10</v>
      </c>
      <c r="F91" s="55">
        <v>150</v>
      </c>
      <c r="G91" s="92">
        <v>200</v>
      </c>
      <c r="H91" s="55">
        <v>300</v>
      </c>
      <c r="I91" s="55"/>
      <c r="J91" s="55"/>
      <c r="K91" s="289">
        <v>773725</v>
      </c>
      <c r="L91" s="66"/>
      <c r="M91" s="96" t="s">
        <v>414</v>
      </c>
      <c r="N91" s="273" t="s">
        <v>415</v>
      </c>
      <c r="O91" s="66">
        <v>1</v>
      </c>
      <c r="P91" s="18"/>
      <c r="Q91" s="18"/>
      <c r="R91" s="18">
        <v>1000</v>
      </c>
      <c r="S91" s="18">
        <v>600</v>
      </c>
      <c r="T91" s="18"/>
      <c r="U91" s="18"/>
      <c r="V91" s="18"/>
      <c r="W91" s="66">
        <f t="shared" si="6"/>
        <v>0</v>
      </c>
      <c r="X91" s="95">
        <v>4694</v>
      </c>
      <c r="Y91" s="8">
        <v>12900</v>
      </c>
      <c r="Z91" s="8">
        <f t="shared" si="7"/>
        <v>4694000</v>
      </c>
      <c r="AA91" s="122">
        <f t="shared" si="8"/>
        <v>0</v>
      </c>
      <c r="AB91" s="18"/>
    </row>
    <row r="92" spans="1:28" s="4" customFormat="1" ht="39.4" customHeight="1" x14ac:dyDescent="0.25">
      <c r="A92" s="66" t="s">
        <v>416</v>
      </c>
      <c r="B92" s="54" t="s">
        <v>417</v>
      </c>
      <c r="C92" s="306"/>
      <c r="D92" s="306"/>
      <c r="E92" s="306">
        <v>0</v>
      </c>
      <c r="F92" s="306">
        <v>8</v>
      </c>
      <c r="G92" s="92">
        <f>VLOOKUP(A92,'[1]yourspreadsheetname (1)'!$A$2:$C$968, 3, FALSE)</f>
        <v>0</v>
      </c>
      <c r="H92" s="55">
        <v>0</v>
      </c>
      <c r="I92" s="55"/>
      <c r="J92" s="55"/>
      <c r="K92" s="289">
        <v>773725</v>
      </c>
      <c r="L92" s="66"/>
      <c r="M92" s="66" t="s">
        <v>272</v>
      </c>
      <c r="N92" s="273" t="s">
        <v>415</v>
      </c>
      <c r="O92" s="66">
        <v>2</v>
      </c>
      <c r="P92" s="18" t="s">
        <v>2012</v>
      </c>
      <c r="Q92" s="18"/>
      <c r="R92" s="18">
        <f>((F92*15)-G92-I92)/2</f>
        <v>60</v>
      </c>
      <c r="S92" s="18"/>
      <c r="T92" s="18"/>
      <c r="U92" s="18">
        <v>60</v>
      </c>
      <c r="V92" s="18"/>
      <c r="W92" s="66">
        <f t="shared" si="6"/>
        <v>60</v>
      </c>
      <c r="X92" s="49">
        <v>29661.55</v>
      </c>
      <c r="Y92" s="8">
        <v>26880</v>
      </c>
      <c r="Z92" s="8">
        <f t="shared" si="7"/>
        <v>1779693</v>
      </c>
      <c r="AA92" s="122">
        <f t="shared" si="8"/>
        <v>1612800</v>
      </c>
      <c r="AB92" s="23"/>
    </row>
    <row r="93" spans="1:28" s="90" customFormat="1" ht="39.4" customHeight="1" x14ac:dyDescent="0.25">
      <c r="A93" s="54" t="s">
        <v>418</v>
      </c>
      <c r="B93" s="54" t="s">
        <v>419</v>
      </c>
      <c r="C93" s="54">
        <v>5</v>
      </c>
      <c r="D93" s="54"/>
      <c r="E93" s="54">
        <v>5</v>
      </c>
      <c r="F93" s="54">
        <v>5</v>
      </c>
      <c r="G93" s="54">
        <f>VLOOKUP(A93,'[1]yourspreadsheetname (1)'!$A$2:$C$968, 3, FALSE)</f>
        <v>30</v>
      </c>
      <c r="H93" s="174">
        <v>30</v>
      </c>
      <c r="I93" s="54">
        <v>10</v>
      </c>
      <c r="J93" s="131"/>
      <c r="K93" s="289">
        <v>773725</v>
      </c>
      <c r="L93" s="54"/>
      <c r="M93" s="63" t="s">
        <v>420</v>
      </c>
      <c r="N93" s="273" t="s">
        <v>415</v>
      </c>
      <c r="O93" s="166">
        <v>3</v>
      </c>
      <c r="P93" s="217"/>
      <c r="Q93" s="13"/>
      <c r="R93" s="18">
        <v>20</v>
      </c>
      <c r="S93" s="12"/>
      <c r="T93" s="12"/>
      <c r="U93" s="12"/>
      <c r="V93" s="12"/>
      <c r="W93" s="66">
        <f t="shared" si="6"/>
        <v>0</v>
      </c>
      <c r="X93" s="216">
        <v>215000</v>
      </c>
      <c r="Y93" s="122">
        <v>435000</v>
      </c>
      <c r="Z93" s="8">
        <f t="shared" si="7"/>
        <v>4300000</v>
      </c>
      <c r="AA93" s="122">
        <f t="shared" si="8"/>
        <v>0</v>
      </c>
      <c r="AB93" s="29"/>
    </row>
    <row r="94" spans="1:28" s="4" customFormat="1" ht="45" customHeight="1" x14ac:dyDescent="0.25">
      <c r="A94" s="498" t="s">
        <v>421</v>
      </c>
      <c r="B94" s="498" t="s">
        <v>422</v>
      </c>
      <c r="C94" s="638"/>
      <c r="D94" s="55"/>
      <c r="E94" s="55">
        <v>4</v>
      </c>
      <c r="F94" s="55">
        <v>4</v>
      </c>
      <c r="G94" s="92">
        <f>VLOOKUP(A94,'[1]yourspreadsheetname (1)'!$A$2:$C$968, 3, FALSE)</f>
        <v>0</v>
      </c>
      <c r="H94" s="55">
        <v>12</v>
      </c>
      <c r="I94" s="55"/>
      <c r="J94" s="56"/>
      <c r="K94" s="639">
        <v>773725</v>
      </c>
      <c r="L94" s="55"/>
      <c r="M94" s="60" t="s">
        <v>285</v>
      </c>
      <c r="N94" s="421" t="s">
        <v>415</v>
      </c>
      <c r="O94" s="55">
        <v>4</v>
      </c>
      <c r="P94" s="270"/>
      <c r="Q94" s="6"/>
      <c r="R94" s="237">
        <v>24</v>
      </c>
      <c r="S94" s="18"/>
      <c r="T94" s="18"/>
      <c r="U94" s="18"/>
      <c r="V94" s="6"/>
      <c r="W94" s="66">
        <f t="shared" si="6"/>
        <v>0</v>
      </c>
      <c r="X94" s="47">
        <v>14520</v>
      </c>
      <c r="Y94" s="8">
        <v>31400.77</v>
      </c>
      <c r="Z94" s="8">
        <f t="shared" si="7"/>
        <v>348480</v>
      </c>
      <c r="AA94" s="122">
        <f t="shared" si="8"/>
        <v>0</v>
      </c>
      <c r="AB94" s="6"/>
    </row>
    <row r="95" spans="1:28" s="4" customFormat="1" ht="45" customHeight="1" x14ac:dyDescent="0.25">
      <c r="A95" s="66" t="s">
        <v>423</v>
      </c>
      <c r="B95" s="54" t="s">
        <v>424</v>
      </c>
      <c r="C95" s="12"/>
      <c r="D95" s="18"/>
      <c r="E95" s="18">
        <v>100</v>
      </c>
      <c r="F95" s="18">
        <v>100</v>
      </c>
      <c r="G95" s="54">
        <v>0</v>
      </c>
      <c r="H95" s="66">
        <v>600</v>
      </c>
      <c r="I95" s="18"/>
      <c r="J95" s="7"/>
      <c r="K95" s="289">
        <v>773725</v>
      </c>
      <c r="L95" s="62"/>
      <c r="M95" s="96" t="s">
        <v>425</v>
      </c>
      <c r="N95" s="273" t="s">
        <v>415</v>
      </c>
      <c r="O95" s="66">
        <v>5</v>
      </c>
      <c r="P95" s="270"/>
      <c r="Q95" s="6"/>
      <c r="R95" s="237">
        <v>600</v>
      </c>
      <c r="S95" s="18"/>
      <c r="T95" s="18"/>
      <c r="U95" s="18"/>
      <c r="V95" s="6"/>
      <c r="W95" s="66">
        <f t="shared" si="6"/>
        <v>0</v>
      </c>
      <c r="X95" s="47">
        <v>3630</v>
      </c>
      <c r="Y95" s="8">
        <v>15187.8</v>
      </c>
      <c r="Z95" s="8">
        <f t="shared" si="7"/>
        <v>2178000</v>
      </c>
      <c r="AA95" s="122">
        <f t="shared" si="8"/>
        <v>0</v>
      </c>
      <c r="AB95" s="6"/>
    </row>
    <row r="96" spans="1:28" s="100" customFormat="1" x14ac:dyDescent="0.25">
      <c r="W96" s="327">
        <f t="shared" si="6"/>
        <v>0</v>
      </c>
      <c r="Z96" s="331">
        <f t="shared" si="7"/>
        <v>0</v>
      </c>
      <c r="AA96" s="374">
        <f t="shared" si="8"/>
        <v>0</v>
      </c>
    </row>
    <row r="97" spans="1:28" s="116" customFormat="1" x14ac:dyDescent="0.25">
      <c r="A97" s="55" t="s">
        <v>426</v>
      </c>
      <c r="B97" s="55" t="s">
        <v>427</v>
      </c>
      <c r="C97" s="92">
        <v>100</v>
      </c>
      <c r="D97" s="55">
        <v>100</v>
      </c>
      <c r="E97" s="55">
        <v>250</v>
      </c>
      <c r="F97" s="429">
        <v>150</v>
      </c>
      <c r="G97" s="92" t="e">
        <f>VLOOKUP(A97,'[1]yourspreadsheetname (1)'!$A$2:$C$968, 3, FALSE)</f>
        <v>#N/A</v>
      </c>
      <c r="H97" s="55">
        <v>2025</v>
      </c>
      <c r="I97" s="429"/>
      <c r="J97" s="250" t="s">
        <v>122</v>
      </c>
      <c r="K97" s="55">
        <v>775801</v>
      </c>
      <c r="L97" s="293"/>
      <c r="M97" s="55" t="s">
        <v>283</v>
      </c>
      <c r="N97" s="336" t="s">
        <v>428</v>
      </c>
      <c r="O97" s="66">
        <v>1</v>
      </c>
      <c r="P97" s="18"/>
      <c r="Q97" s="18"/>
      <c r="R97" s="66">
        <v>500</v>
      </c>
      <c r="S97" s="18"/>
      <c r="T97" s="66"/>
      <c r="U97" s="66"/>
      <c r="V97" s="63"/>
      <c r="W97" s="66">
        <f t="shared" si="6"/>
        <v>0</v>
      </c>
      <c r="X97" s="118">
        <v>844</v>
      </c>
      <c r="Y97" s="117">
        <v>1445</v>
      </c>
      <c r="Z97" s="8">
        <f t="shared" si="7"/>
        <v>422000</v>
      </c>
      <c r="AA97" s="122">
        <f t="shared" si="8"/>
        <v>0</v>
      </c>
      <c r="AB97" s="37"/>
    </row>
    <row r="98" spans="1:28" s="116" customFormat="1" x14ac:dyDescent="0.25">
      <c r="A98" s="55" t="s">
        <v>164</v>
      </c>
      <c r="B98" s="55" t="s">
        <v>165</v>
      </c>
      <c r="C98" s="55">
        <v>2200</v>
      </c>
      <c r="D98" s="55">
        <v>1100</v>
      </c>
      <c r="E98" s="55">
        <v>1200</v>
      </c>
      <c r="F98" s="429">
        <v>1200</v>
      </c>
      <c r="G98" s="92">
        <f>VLOOKUP(A98,'[1]yourspreadsheetname (1)'!$A$2:$C$968, 3, FALSE)</f>
        <v>2000</v>
      </c>
      <c r="H98" s="55">
        <v>7500</v>
      </c>
      <c r="I98" s="429"/>
      <c r="J98" s="250" t="s">
        <v>122</v>
      </c>
      <c r="K98" s="55">
        <v>775801</v>
      </c>
      <c r="L98" s="293"/>
      <c r="M98" s="55" t="s">
        <v>272</v>
      </c>
      <c r="N98" s="336" t="s">
        <v>428</v>
      </c>
      <c r="O98" s="66">
        <v>2</v>
      </c>
      <c r="P98" s="24"/>
      <c r="Q98" s="6"/>
      <c r="R98" s="66">
        <f>((F98*15)-G98-I98)/2</f>
        <v>8000</v>
      </c>
      <c r="S98" s="18"/>
      <c r="T98" s="66"/>
      <c r="U98" s="66"/>
      <c r="V98" s="66"/>
      <c r="W98" s="66">
        <f t="shared" si="6"/>
        <v>0</v>
      </c>
      <c r="X98" s="118">
        <v>483.64</v>
      </c>
      <c r="Y98" s="117">
        <v>2062.5100000000002</v>
      </c>
      <c r="Z98" s="8">
        <f t="shared" si="7"/>
        <v>3869120</v>
      </c>
      <c r="AA98" s="122">
        <f t="shared" si="8"/>
        <v>0</v>
      </c>
      <c r="AB98" s="6"/>
    </row>
    <row r="99" spans="1:28" s="116" customFormat="1" x14ac:dyDescent="0.25">
      <c r="A99" s="55" t="s">
        <v>429</v>
      </c>
      <c r="B99" s="55" t="s">
        <v>430</v>
      </c>
      <c r="C99" s="55">
        <v>50</v>
      </c>
      <c r="D99" s="55"/>
      <c r="E99" s="55">
        <v>40</v>
      </c>
      <c r="F99" s="429">
        <v>50</v>
      </c>
      <c r="G99" s="92">
        <f>VLOOKUP(A99,'[1]yourspreadsheetname (1)'!$A$2:$C$968, 3, FALSE)</f>
        <v>0</v>
      </c>
      <c r="H99" s="55">
        <v>425</v>
      </c>
      <c r="I99" s="429">
        <v>0</v>
      </c>
      <c r="J99" s="250" t="s">
        <v>122</v>
      </c>
      <c r="K99" s="55">
        <v>775801</v>
      </c>
      <c r="L99" s="293"/>
      <c r="M99" s="56" t="s">
        <v>272</v>
      </c>
      <c r="N99" s="336" t="s">
        <v>428</v>
      </c>
      <c r="O99" s="66">
        <v>3</v>
      </c>
      <c r="P99" s="7"/>
      <c r="Q99" s="18"/>
      <c r="R99" s="66">
        <v>300</v>
      </c>
      <c r="S99" s="18"/>
      <c r="T99" s="66"/>
      <c r="U99" s="66"/>
      <c r="V99" s="63"/>
      <c r="W99" s="66">
        <f t="shared" ref="W99:W103" si="12">U99+V99</f>
        <v>0</v>
      </c>
      <c r="X99" s="118">
        <v>3209</v>
      </c>
      <c r="Y99" s="117">
        <v>13750</v>
      </c>
      <c r="Z99" s="8">
        <f t="shared" si="7"/>
        <v>962700</v>
      </c>
      <c r="AA99" s="122">
        <f t="shared" si="8"/>
        <v>0</v>
      </c>
      <c r="AB99" s="18"/>
    </row>
    <row r="100" spans="1:28" s="116" customFormat="1" x14ac:dyDescent="0.25">
      <c r="A100" s="239" t="s">
        <v>431</v>
      </c>
      <c r="B100" s="239" t="s">
        <v>432</v>
      </c>
      <c r="C100" s="239">
        <v>7</v>
      </c>
      <c r="D100" s="239">
        <v>6</v>
      </c>
      <c r="E100" s="239">
        <v>7</v>
      </c>
      <c r="F100" s="662">
        <v>7</v>
      </c>
      <c r="G100" s="240">
        <f>VLOOKUP(A100,'[1]yourspreadsheetname (1)'!$A$2:$C$968, 3, FALSE)</f>
        <v>44</v>
      </c>
      <c r="H100" s="239">
        <v>105</v>
      </c>
      <c r="I100" s="663">
        <v>0</v>
      </c>
      <c r="J100" s="664" t="s">
        <v>122</v>
      </c>
      <c r="K100" s="239">
        <v>775801</v>
      </c>
      <c r="L100" s="665"/>
      <c r="M100" s="666" t="s">
        <v>129</v>
      </c>
      <c r="N100" s="336" t="s">
        <v>428</v>
      </c>
      <c r="O100" s="66">
        <v>4</v>
      </c>
      <c r="P100" s="18"/>
      <c r="Q100" s="20"/>
      <c r="R100" s="66">
        <v>30</v>
      </c>
      <c r="S100" s="20"/>
      <c r="T100" s="66"/>
      <c r="U100" s="66"/>
      <c r="V100" s="66"/>
      <c r="W100" s="66">
        <f t="shared" si="12"/>
        <v>0</v>
      </c>
      <c r="X100" s="322">
        <v>1787722</v>
      </c>
      <c r="Y100" s="191">
        <v>2285560</v>
      </c>
      <c r="Z100" s="8">
        <f t="shared" si="7"/>
        <v>53631660</v>
      </c>
      <c r="AA100" s="122">
        <f t="shared" si="8"/>
        <v>0</v>
      </c>
      <c r="AB100" s="20"/>
    </row>
    <row r="101" spans="1:28" s="116" customFormat="1" x14ac:dyDescent="0.25">
      <c r="A101" s="55" t="s">
        <v>166</v>
      </c>
      <c r="B101" s="55" t="s">
        <v>167</v>
      </c>
      <c r="C101" s="55">
        <v>0</v>
      </c>
      <c r="D101" s="55">
        <v>50</v>
      </c>
      <c r="E101" s="55">
        <v>30</v>
      </c>
      <c r="F101" s="55">
        <v>100</v>
      </c>
      <c r="G101" s="92">
        <f>VLOOKUP(A101,'[1]yourspreadsheetname (1)'!$A$2:$C$968, 3, FALSE)</f>
        <v>0</v>
      </c>
      <c r="H101" s="55">
        <v>500</v>
      </c>
      <c r="I101" s="55"/>
      <c r="J101" s="250" t="s">
        <v>122</v>
      </c>
      <c r="K101" s="55">
        <v>775801</v>
      </c>
      <c r="L101" s="55"/>
      <c r="M101" s="510" t="s">
        <v>285</v>
      </c>
      <c r="N101" s="336" t="s">
        <v>428</v>
      </c>
      <c r="O101" s="66">
        <v>5</v>
      </c>
      <c r="P101" s="18"/>
      <c r="Q101" s="18"/>
      <c r="R101" s="66">
        <v>600</v>
      </c>
      <c r="S101" s="18"/>
      <c r="T101" s="66"/>
      <c r="U101" s="66"/>
      <c r="V101" s="66"/>
      <c r="W101" s="66">
        <f t="shared" si="12"/>
        <v>0</v>
      </c>
      <c r="X101" s="118">
        <v>598</v>
      </c>
      <c r="Y101" s="117">
        <v>1225.01</v>
      </c>
      <c r="Z101" s="8">
        <f t="shared" si="7"/>
        <v>358800</v>
      </c>
      <c r="AA101" s="122">
        <f t="shared" si="8"/>
        <v>0</v>
      </c>
      <c r="AB101" s="18"/>
    </row>
    <row r="102" spans="1:28" s="116" customFormat="1" x14ac:dyDescent="0.25">
      <c r="A102" s="66" t="s">
        <v>433</v>
      </c>
      <c r="B102" s="66" t="s">
        <v>434</v>
      </c>
      <c r="C102" s="66">
        <v>20</v>
      </c>
      <c r="D102" s="66"/>
      <c r="E102" s="66">
        <v>30</v>
      </c>
      <c r="F102" s="66">
        <v>50</v>
      </c>
      <c r="G102" s="54">
        <f>VLOOKUP(A102,'[1]yourspreadsheetname (1)'!$A$2:$C$968, 3, FALSE)</f>
        <v>0</v>
      </c>
      <c r="H102" s="66">
        <v>320</v>
      </c>
      <c r="I102" s="66">
        <v>0</v>
      </c>
      <c r="J102" s="173" t="s">
        <v>122</v>
      </c>
      <c r="K102" s="66">
        <v>775801</v>
      </c>
      <c r="L102" s="66"/>
      <c r="M102" s="66" t="s">
        <v>259</v>
      </c>
      <c r="N102" s="336" t="s">
        <v>428</v>
      </c>
      <c r="O102" s="66">
        <v>6</v>
      </c>
      <c r="P102" s="18" t="s">
        <v>2011</v>
      </c>
      <c r="Q102" s="18"/>
      <c r="R102" s="66">
        <v>400</v>
      </c>
      <c r="S102" s="18">
        <v>300</v>
      </c>
      <c r="T102" s="66"/>
      <c r="U102" s="66">
        <v>300</v>
      </c>
      <c r="V102" s="66"/>
      <c r="W102" s="66">
        <f t="shared" si="12"/>
        <v>300</v>
      </c>
      <c r="X102" s="118">
        <v>1399</v>
      </c>
      <c r="Y102" s="117">
        <v>2033.9</v>
      </c>
      <c r="Z102" s="8">
        <f t="shared" si="7"/>
        <v>559600</v>
      </c>
      <c r="AA102" s="122">
        <f t="shared" si="8"/>
        <v>610170</v>
      </c>
      <c r="AB102" s="18"/>
    </row>
    <row r="103" spans="1:28" s="4" customFormat="1" x14ac:dyDescent="0.25">
      <c r="A103" s="83" t="s">
        <v>435</v>
      </c>
      <c r="B103" s="66" t="s">
        <v>436</v>
      </c>
      <c r="C103" s="55">
        <v>66</v>
      </c>
      <c r="D103" s="55">
        <v>70</v>
      </c>
      <c r="E103" s="55">
        <v>80</v>
      </c>
      <c r="F103" s="55">
        <v>120</v>
      </c>
      <c r="G103" s="430">
        <v>250</v>
      </c>
      <c r="H103" s="56">
        <v>400</v>
      </c>
      <c r="I103" s="55">
        <v>0</v>
      </c>
      <c r="J103" s="244"/>
      <c r="K103" s="66">
        <v>775801</v>
      </c>
      <c r="L103" s="66"/>
      <c r="M103" s="66" t="s">
        <v>259</v>
      </c>
      <c r="N103" s="336" t="s">
        <v>428</v>
      </c>
      <c r="O103" s="66">
        <v>7</v>
      </c>
      <c r="P103" s="18" t="s">
        <v>2011</v>
      </c>
      <c r="Q103" s="13"/>
      <c r="R103" s="7">
        <v>800</v>
      </c>
      <c r="S103" s="7">
        <v>600</v>
      </c>
      <c r="T103" s="7"/>
      <c r="U103" s="7">
        <v>600</v>
      </c>
      <c r="V103" s="18"/>
      <c r="W103" s="66">
        <f t="shared" si="12"/>
        <v>600</v>
      </c>
      <c r="X103" s="158">
        <v>970.92</v>
      </c>
      <c r="Y103" s="152">
        <v>1450</v>
      </c>
      <c r="Z103" s="8">
        <f t="shared" si="7"/>
        <v>776736</v>
      </c>
      <c r="AA103" s="122">
        <f t="shared" si="8"/>
        <v>870000</v>
      </c>
      <c r="AB103" s="31"/>
    </row>
    <row r="104" spans="1:28" s="375" customFormat="1" x14ac:dyDescent="0.25">
      <c r="A104" s="327"/>
      <c r="B104" s="327"/>
      <c r="C104" s="327"/>
      <c r="D104" s="327"/>
      <c r="E104" s="327"/>
      <c r="F104" s="442"/>
      <c r="G104" s="236"/>
      <c r="H104" s="327"/>
      <c r="I104" s="442"/>
      <c r="J104" s="433"/>
      <c r="K104" s="327"/>
      <c r="L104" s="448"/>
      <c r="M104" s="327"/>
      <c r="N104" s="630"/>
      <c r="O104" s="327"/>
      <c r="P104" s="327"/>
      <c r="Q104" s="327"/>
      <c r="R104" s="327"/>
      <c r="S104" s="327"/>
      <c r="T104" s="327"/>
      <c r="U104" s="327"/>
      <c r="V104" s="327"/>
      <c r="W104" s="327"/>
      <c r="X104" s="614"/>
      <c r="Y104" s="601"/>
      <c r="Z104" s="331"/>
      <c r="AA104" s="374"/>
      <c r="AB104" s="327"/>
    </row>
    <row r="105" spans="1:28" s="132" customFormat="1" x14ac:dyDescent="0.25">
      <c r="A105" s="66" t="s">
        <v>437</v>
      </c>
      <c r="B105" s="66" t="s">
        <v>438</v>
      </c>
      <c r="C105" s="66">
        <v>12</v>
      </c>
      <c r="D105" s="66">
        <v>10</v>
      </c>
      <c r="E105" s="66">
        <v>20</v>
      </c>
      <c r="F105" s="169">
        <v>15</v>
      </c>
      <c r="G105" s="54" t="e">
        <f>VLOOKUP(A105,'[1]yourspreadsheetname (1)'!$A$2:$C$968, 3, FALSE)</f>
        <v>#N/A</v>
      </c>
      <c r="H105" s="66">
        <v>250</v>
      </c>
      <c r="I105" s="169"/>
      <c r="J105" s="173" t="s">
        <v>122</v>
      </c>
      <c r="K105" s="66">
        <v>775802</v>
      </c>
      <c r="L105" s="274"/>
      <c r="M105" s="66" t="s">
        <v>259</v>
      </c>
      <c r="N105" s="336" t="s">
        <v>439</v>
      </c>
      <c r="O105" s="66">
        <v>1</v>
      </c>
      <c r="P105" s="24" t="s">
        <v>2010</v>
      </c>
      <c r="Q105" s="6"/>
      <c r="R105" s="66">
        <v>40</v>
      </c>
      <c r="S105" s="18"/>
      <c r="T105" s="66"/>
      <c r="U105" s="66">
        <v>40</v>
      </c>
      <c r="V105" s="66"/>
      <c r="W105" s="66">
        <f t="shared" ref="W105:W123" si="13">U105+V105</f>
        <v>40</v>
      </c>
      <c r="X105" s="118">
        <v>19398.77</v>
      </c>
      <c r="Y105" s="117">
        <v>23098</v>
      </c>
      <c r="Z105" s="8">
        <f t="shared" ref="Z105:Z123" si="14">R105*X105</f>
        <v>775950.8</v>
      </c>
      <c r="AA105" s="122">
        <f t="shared" ref="AA105:AA123" si="15">W105*Y105</f>
        <v>923920</v>
      </c>
      <c r="AB105" s="6"/>
    </row>
    <row r="106" spans="1:28" s="116" customFormat="1" x14ac:dyDescent="0.25">
      <c r="A106" s="486" t="s">
        <v>440</v>
      </c>
      <c r="B106" s="486" t="s">
        <v>441</v>
      </c>
      <c r="C106" s="486"/>
      <c r="D106" s="55"/>
      <c r="E106" s="55">
        <v>0</v>
      </c>
      <c r="F106" s="578">
        <v>8</v>
      </c>
      <c r="G106" s="92">
        <f>VLOOKUP(A106,'[1]yourspreadsheetname (1)'!$A$2:$C$968, 3, FALSE)</f>
        <v>39</v>
      </c>
      <c r="H106" s="55">
        <v>60</v>
      </c>
      <c r="I106" s="578"/>
      <c r="J106" s="250" t="s">
        <v>122</v>
      </c>
      <c r="K106" s="55">
        <v>775802</v>
      </c>
      <c r="L106" s="579"/>
      <c r="M106" s="92" t="s">
        <v>263</v>
      </c>
      <c r="N106" s="336" t="s">
        <v>439</v>
      </c>
      <c r="O106" s="54">
        <v>2</v>
      </c>
      <c r="P106" s="24"/>
      <c r="Q106" s="221"/>
      <c r="R106" s="66">
        <v>40</v>
      </c>
      <c r="S106" s="221"/>
      <c r="T106" s="66"/>
      <c r="U106" s="66"/>
      <c r="V106" s="66"/>
      <c r="W106" s="66">
        <f t="shared" si="13"/>
        <v>0</v>
      </c>
      <c r="X106" s="154">
        <v>15635.73</v>
      </c>
      <c r="Y106" s="119">
        <v>23741.89</v>
      </c>
      <c r="Z106" s="8">
        <f t="shared" si="14"/>
        <v>625429.19999999995</v>
      </c>
      <c r="AA106" s="122">
        <f t="shared" si="15"/>
        <v>0</v>
      </c>
      <c r="AB106" s="18"/>
    </row>
    <row r="107" spans="1:28" s="116" customFormat="1" x14ac:dyDescent="0.25">
      <c r="A107" s="66" t="s">
        <v>442</v>
      </c>
      <c r="B107" s="66" t="s">
        <v>443</v>
      </c>
      <c r="C107" s="66">
        <v>20</v>
      </c>
      <c r="D107" s="66">
        <v>10</v>
      </c>
      <c r="E107" s="66">
        <v>20</v>
      </c>
      <c r="F107" s="210">
        <v>15</v>
      </c>
      <c r="G107" s="54">
        <f>VLOOKUP(A107,'[1]yourspreadsheetname (1)'!$A$2:$C$968, 3, FALSE)</f>
        <v>103</v>
      </c>
      <c r="H107" s="66">
        <v>150</v>
      </c>
      <c r="I107" s="169"/>
      <c r="J107" s="173" t="s">
        <v>122</v>
      </c>
      <c r="K107" s="66">
        <v>775802</v>
      </c>
      <c r="L107" s="274"/>
      <c r="M107" s="66" t="s">
        <v>259</v>
      </c>
      <c r="N107" s="336" t="s">
        <v>439</v>
      </c>
      <c r="O107" s="66">
        <v>3</v>
      </c>
      <c r="P107" s="18" t="s">
        <v>2010</v>
      </c>
      <c r="Q107" s="18"/>
      <c r="R107" s="66">
        <v>60</v>
      </c>
      <c r="S107" s="18"/>
      <c r="T107" s="63"/>
      <c r="U107" s="63">
        <v>60</v>
      </c>
      <c r="V107" s="63"/>
      <c r="W107" s="66">
        <f t="shared" si="13"/>
        <v>60</v>
      </c>
      <c r="X107" s="118">
        <v>5700</v>
      </c>
      <c r="Y107" s="117">
        <v>5250</v>
      </c>
      <c r="Z107" s="8">
        <f t="shared" si="14"/>
        <v>342000</v>
      </c>
      <c r="AA107" s="122">
        <f t="shared" si="15"/>
        <v>315000</v>
      </c>
      <c r="AB107" s="18"/>
    </row>
    <row r="108" spans="1:28" s="116" customFormat="1" x14ac:dyDescent="0.25">
      <c r="A108" s="55" t="s">
        <v>444</v>
      </c>
      <c r="B108" s="55" t="s">
        <v>445</v>
      </c>
      <c r="C108" s="55">
        <v>5</v>
      </c>
      <c r="D108" s="55"/>
      <c r="E108" s="55">
        <v>1</v>
      </c>
      <c r="F108" s="92">
        <v>1</v>
      </c>
      <c r="G108" s="92" t="e">
        <f>VLOOKUP(A108,'[1]yourspreadsheetname (1)'!$A$2:$C$968, 3, FALSE)</f>
        <v>#N/A</v>
      </c>
      <c r="H108" s="55">
        <v>5</v>
      </c>
      <c r="I108" s="55"/>
      <c r="J108" s="250" t="s">
        <v>122</v>
      </c>
      <c r="K108" s="55">
        <v>775802</v>
      </c>
      <c r="L108" s="55"/>
      <c r="M108" s="55" t="s">
        <v>263</v>
      </c>
      <c r="N108" s="336" t="s">
        <v>439</v>
      </c>
      <c r="O108" s="66">
        <v>4</v>
      </c>
      <c r="P108" s="135"/>
      <c r="Q108" s="18"/>
      <c r="R108" s="66">
        <v>6</v>
      </c>
      <c r="S108" s="19"/>
      <c r="T108" s="63"/>
      <c r="U108" s="63"/>
      <c r="V108" s="63"/>
      <c r="W108" s="66">
        <f t="shared" si="13"/>
        <v>0</v>
      </c>
      <c r="X108" s="118">
        <v>123798</v>
      </c>
      <c r="Y108" s="117">
        <v>159999</v>
      </c>
      <c r="Z108" s="8">
        <f t="shared" si="14"/>
        <v>742788</v>
      </c>
      <c r="AA108" s="122">
        <f t="shared" si="15"/>
        <v>0</v>
      </c>
      <c r="AB108" s="18"/>
    </row>
    <row r="109" spans="1:28" s="4" customFormat="1" x14ac:dyDescent="0.25">
      <c r="A109" s="259" t="s">
        <v>221</v>
      </c>
      <c r="B109" s="259" t="s">
        <v>222</v>
      </c>
      <c r="C109" s="92"/>
      <c r="D109" s="92"/>
      <c r="E109" s="92">
        <v>1</v>
      </c>
      <c r="F109" s="92">
        <v>90</v>
      </c>
      <c r="G109" s="92" t="e">
        <f>VLOOKUP(A109,'[1]yourspreadsheetname (1)'!$A$2:$C$968, 3, FALSE)</f>
        <v>#N/A</v>
      </c>
      <c r="H109" s="257">
        <v>1</v>
      </c>
      <c r="I109" s="92"/>
      <c r="J109" s="92"/>
      <c r="K109" s="55">
        <v>775802</v>
      </c>
      <c r="L109" s="92"/>
      <c r="M109" s="92" t="s">
        <v>285</v>
      </c>
      <c r="N109" s="336" t="s">
        <v>439</v>
      </c>
      <c r="O109" s="66">
        <v>5</v>
      </c>
      <c r="P109" s="96"/>
      <c r="Q109" s="54"/>
      <c r="R109" s="66">
        <v>600</v>
      </c>
      <c r="S109" s="223"/>
      <c r="T109" s="223"/>
      <c r="U109" s="12"/>
      <c r="V109" s="12"/>
      <c r="W109" s="66">
        <f t="shared" si="13"/>
        <v>0</v>
      </c>
      <c r="X109" s="144"/>
      <c r="Y109" s="119"/>
      <c r="Z109" s="8">
        <f t="shared" si="14"/>
        <v>0</v>
      </c>
      <c r="AA109" s="122">
        <f t="shared" si="15"/>
        <v>0</v>
      </c>
      <c r="AB109" s="12"/>
    </row>
    <row r="110" spans="1:28" s="90" customFormat="1" ht="26.25" customHeight="1" x14ac:dyDescent="0.25">
      <c r="A110" s="60" t="s">
        <v>313</v>
      </c>
      <c r="B110" s="60" t="s">
        <v>314</v>
      </c>
      <c r="C110" s="508"/>
      <c r="D110" s="92"/>
      <c r="E110" s="92">
        <v>10</v>
      </c>
      <c r="F110" s="92">
        <v>10</v>
      </c>
      <c r="G110" s="92">
        <f>VLOOKUP(A110,'[1]yourspreadsheetname (1)'!$A$2:$C$968, 3, FALSE)</f>
        <v>55</v>
      </c>
      <c r="H110" s="257">
        <v>120</v>
      </c>
      <c r="I110" s="92"/>
      <c r="J110" s="92"/>
      <c r="K110" s="55">
        <v>775802</v>
      </c>
      <c r="L110" s="92"/>
      <c r="M110" s="92" t="s">
        <v>285</v>
      </c>
      <c r="N110" s="336" t="s">
        <v>439</v>
      </c>
      <c r="O110" s="54">
        <v>6</v>
      </c>
      <c r="P110" s="12"/>
      <c r="Q110" s="12"/>
      <c r="R110" s="18">
        <v>60</v>
      </c>
      <c r="S110" s="12"/>
      <c r="T110" s="12"/>
      <c r="U110" s="12"/>
      <c r="V110" s="12"/>
      <c r="W110" s="66">
        <f t="shared" si="13"/>
        <v>0</v>
      </c>
      <c r="X110" s="154"/>
      <c r="Y110" s="119"/>
      <c r="Z110" s="8">
        <f t="shared" si="14"/>
        <v>0</v>
      </c>
      <c r="AA110" s="122">
        <f t="shared" si="15"/>
        <v>0</v>
      </c>
      <c r="AB110" s="12"/>
    </row>
    <row r="111" spans="1:28" s="90" customFormat="1" x14ac:dyDescent="0.25">
      <c r="A111" s="92" t="s">
        <v>315</v>
      </c>
      <c r="B111" s="92" t="s">
        <v>316</v>
      </c>
      <c r="C111" s="92"/>
      <c r="D111" s="303"/>
      <c r="E111" s="428">
        <v>4</v>
      </c>
      <c r="F111" s="428">
        <v>1</v>
      </c>
      <c r="G111" s="92">
        <f>VLOOKUP(A111,'[1]yourspreadsheetname (1)'!$A$2:$C$968, 3, FALSE)</f>
        <v>5</v>
      </c>
      <c r="H111" s="257">
        <v>40</v>
      </c>
      <c r="I111" s="303"/>
      <c r="J111" s="303"/>
      <c r="K111" s="55">
        <v>775802</v>
      </c>
      <c r="L111" s="404"/>
      <c r="M111" s="428" t="s">
        <v>285</v>
      </c>
      <c r="N111" s="336" t="s">
        <v>439</v>
      </c>
      <c r="O111" s="126">
        <v>7</v>
      </c>
      <c r="P111" s="12"/>
      <c r="Q111" s="184"/>
      <c r="R111" s="18">
        <f>((F111*15)-G111-I111)/2</f>
        <v>5</v>
      </c>
      <c r="S111" s="110"/>
      <c r="T111" s="110"/>
      <c r="U111" s="110"/>
      <c r="V111" s="229"/>
      <c r="W111" s="66">
        <f t="shared" si="13"/>
        <v>0</v>
      </c>
      <c r="X111" s="155">
        <v>6340</v>
      </c>
      <c r="Y111" s="230"/>
      <c r="Z111" s="8">
        <f t="shared" si="14"/>
        <v>31700</v>
      </c>
      <c r="AA111" s="122">
        <f t="shared" si="15"/>
        <v>0</v>
      </c>
      <c r="AB111" s="229"/>
    </row>
    <row r="112" spans="1:28" s="90" customFormat="1" x14ac:dyDescent="0.25">
      <c r="A112" s="54" t="s">
        <v>446</v>
      </c>
      <c r="B112" s="54" t="s">
        <v>447</v>
      </c>
      <c r="C112" s="54">
        <v>20</v>
      </c>
      <c r="D112" s="54">
        <v>15</v>
      </c>
      <c r="E112" s="54">
        <v>30</v>
      </c>
      <c r="F112" s="54">
        <v>40</v>
      </c>
      <c r="G112" s="54">
        <f>VLOOKUP(A112,'[1]yourspreadsheetname (1)'!$A$2:$C$968, 3, FALSE)</f>
        <v>96</v>
      </c>
      <c r="H112" s="535">
        <v>216</v>
      </c>
      <c r="I112" s="54"/>
      <c r="J112" s="54"/>
      <c r="K112" s="66">
        <v>775802</v>
      </c>
      <c r="L112" s="54"/>
      <c r="M112" s="54" t="s">
        <v>263</v>
      </c>
      <c r="N112" s="336" t="s">
        <v>439</v>
      </c>
      <c r="O112" s="54">
        <v>8</v>
      </c>
      <c r="P112" s="12" t="s">
        <v>2009</v>
      </c>
      <c r="Q112" s="12"/>
      <c r="R112" s="18">
        <v>210</v>
      </c>
      <c r="S112" s="223"/>
      <c r="T112" s="223"/>
      <c r="U112" s="223">
        <v>210</v>
      </c>
      <c r="V112" s="12"/>
      <c r="W112" s="66">
        <f t="shared" si="13"/>
        <v>210</v>
      </c>
      <c r="X112" s="144">
        <v>4439.3</v>
      </c>
      <c r="Y112" s="119">
        <v>4558.99</v>
      </c>
      <c r="Z112" s="8">
        <f t="shared" si="14"/>
        <v>932253</v>
      </c>
      <c r="AA112" s="122">
        <f t="shared" si="15"/>
        <v>957387.89999999991</v>
      </c>
      <c r="AB112" s="12"/>
    </row>
    <row r="113" spans="1:28" s="90" customFormat="1" x14ac:dyDescent="0.25">
      <c r="A113" s="92" t="s">
        <v>448</v>
      </c>
      <c r="B113" s="92" t="s">
        <v>449</v>
      </c>
      <c r="C113" s="92">
        <v>20</v>
      </c>
      <c r="D113" s="92">
        <v>20</v>
      </c>
      <c r="E113" s="92">
        <v>25</v>
      </c>
      <c r="F113" s="92">
        <v>40</v>
      </c>
      <c r="G113" s="92">
        <f>VLOOKUP(A113,'[1]yourspreadsheetname (1)'!$A$2:$C$968, 3, FALSE)</f>
        <v>0</v>
      </c>
      <c r="H113" s="257">
        <v>200</v>
      </c>
      <c r="I113" s="92"/>
      <c r="J113" s="92"/>
      <c r="K113" s="55">
        <v>775802</v>
      </c>
      <c r="L113" s="92"/>
      <c r="M113" s="92" t="s">
        <v>263</v>
      </c>
      <c r="N113" s="336" t="s">
        <v>439</v>
      </c>
      <c r="O113" s="54">
        <v>9</v>
      </c>
      <c r="P113" s="29"/>
      <c r="Q113" s="12"/>
      <c r="R113" s="18">
        <f>((F113*15)-G113-I113)/2</f>
        <v>300</v>
      </c>
      <c r="S113" s="223">
        <v>200</v>
      </c>
      <c r="T113" s="223"/>
      <c r="U113" s="223"/>
      <c r="V113" s="12"/>
      <c r="W113" s="66">
        <f t="shared" si="13"/>
        <v>0</v>
      </c>
      <c r="X113" s="144">
        <v>2495</v>
      </c>
      <c r="Y113" s="119">
        <v>7499</v>
      </c>
      <c r="Z113" s="8">
        <f t="shared" si="14"/>
        <v>748500</v>
      </c>
      <c r="AA113" s="122">
        <f t="shared" si="15"/>
        <v>0</v>
      </c>
      <c r="AB113" s="12"/>
    </row>
    <row r="114" spans="1:28" s="90" customFormat="1" x14ac:dyDescent="0.25">
      <c r="A114" s="92" t="s">
        <v>450</v>
      </c>
      <c r="B114" s="92" t="s">
        <v>451</v>
      </c>
      <c r="C114" s="92">
        <v>6</v>
      </c>
      <c r="D114" s="92"/>
      <c r="E114" s="92">
        <v>5</v>
      </c>
      <c r="F114" s="92">
        <v>5</v>
      </c>
      <c r="G114" s="92">
        <f>VLOOKUP(A114,'[1]yourspreadsheetname (1)'!$A$2:$C$968, 3, FALSE)</f>
        <v>0</v>
      </c>
      <c r="H114" s="257">
        <v>30</v>
      </c>
      <c r="I114" s="92"/>
      <c r="J114" s="92"/>
      <c r="K114" s="55">
        <v>775802</v>
      </c>
      <c r="L114" s="92"/>
      <c r="M114" s="92" t="s">
        <v>259</v>
      </c>
      <c r="N114" s="336" t="s">
        <v>439</v>
      </c>
      <c r="O114" s="54">
        <v>10</v>
      </c>
      <c r="P114" s="12"/>
      <c r="Q114" s="12"/>
      <c r="R114" s="18">
        <v>35</v>
      </c>
      <c r="S114" s="223"/>
      <c r="T114" s="223"/>
      <c r="U114" s="12"/>
      <c r="V114" s="12"/>
      <c r="W114" s="66">
        <f t="shared" si="13"/>
        <v>0</v>
      </c>
      <c r="X114" s="144">
        <v>53000</v>
      </c>
      <c r="Y114" s="119">
        <v>82275</v>
      </c>
      <c r="Z114" s="8">
        <f t="shared" si="14"/>
        <v>1855000</v>
      </c>
      <c r="AA114" s="122">
        <f t="shared" si="15"/>
        <v>0</v>
      </c>
      <c r="AB114" s="12"/>
    </row>
    <row r="115" spans="1:28" s="73" customFormat="1" x14ac:dyDescent="0.25">
      <c r="A115" s="92" t="s">
        <v>452</v>
      </c>
      <c r="B115" s="92" t="s">
        <v>453</v>
      </c>
      <c r="C115" s="92">
        <v>150</v>
      </c>
      <c r="D115" s="92">
        <v>100</v>
      </c>
      <c r="E115" s="92">
        <v>150</v>
      </c>
      <c r="F115" s="92">
        <v>150</v>
      </c>
      <c r="G115" s="92" t="e">
        <f>VLOOKUP(A115,'[1]yourspreadsheetname (1)'!$A$2:$C$968, 3, FALSE)</f>
        <v>#N/A</v>
      </c>
      <c r="H115" s="257">
        <v>1800</v>
      </c>
      <c r="I115" s="92"/>
      <c r="J115" s="92"/>
      <c r="K115" s="55">
        <v>775802</v>
      </c>
      <c r="L115" s="92"/>
      <c r="M115" s="92" t="s">
        <v>263</v>
      </c>
      <c r="N115" s="336" t="s">
        <v>439</v>
      </c>
      <c r="O115" s="54">
        <v>11</v>
      </c>
      <c r="P115" s="12"/>
      <c r="Q115" s="12"/>
      <c r="R115" s="18">
        <v>800</v>
      </c>
      <c r="S115" s="223"/>
      <c r="T115" s="223"/>
      <c r="U115" s="223"/>
      <c r="V115" s="12"/>
      <c r="W115" s="66">
        <f t="shared" si="13"/>
        <v>0</v>
      </c>
      <c r="X115" s="144">
        <v>698</v>
      </c>
      <c r="Y115" s="119">
        <v>1779.99</v>
      </c>
      <c r="Z115" s="8">
        <f t="shared" si="14"/>
        <v>558400</v>
      </c>
      <c r="AA115" s="122">
        <f t="shared" si="15"/>
        <v>0</v>
      </c>
      <c r="AB115" s="12"/>
    </row>
    <row r="116" spans="1:28" s="73" customFormat="1" x14ac:dyDescent="0.25">
      <c r="A116" s="92" t="s">
        <v>454</v>
      </c>
      <c r="B116" s="92" t="s">
        <v>455</v>
      </c>
      <c r="C116" s="92">
        <v>10</v>
      </c>
      <c r="D116" s="259">
        <v>3</v>
      </c>
      <c r="E116" s="259">
        <v>3</v>
      </c>
      <c r="F116" s="259">
        <v>3</v>
      </c>
      <c r="G116" s="92">
        <v>0</v>
      </c>
      <c r="H116" s="257">
        <v>30</v>
      </c>
      <c r="I116" s="259"/>
      <c r="J116" s="259"/>
      <c r="K116" s="55">
        <v>775802</v>
      </c>
      <c r="L116" s="92"/>
      <c r="M116" s="259" t="s">
        <v>263</v>
      </c>
      <c r="N116" s="336" t="s">
        <v>439</v>
      </c>
      <c r="O116" s="54">
        <v>12</v>
      </c>
      <c r="P116" s="12"/>
      <c r="Q116" s="12"/>
      <c r="R116" s="18">
        <v>20</v>
      </c>
      <c r="S116" s="223"/>
      <c r="T116" s="223"/>
      <c r="U116" s="12"/>
      <c r="V116" s="12"/>
      <c r="W116" s="66">
        <f t="shared" si="13"/>
        <v>0</v>
      </c>
      <c r="X116" s="226">
        <v>10806.81</v>
      </c>
      <c r="Y116" s="227">
        <v>18799</v>
      </c>
      <c r="Z116" s="8">
        <f t="shared" si="14"/>
        <v>216136.19999999998</v>
      </c>
      <c r="AA116" s="122">
        <f t="shared" si="15"/>
        <v>0</v>
      </c>
      <c r="AB116" s="217"/>
    </row>
    <row r="117" spans="1:28" s="90" customFormat="1" x14ac:dyDescent="0.25">
      <c r="A117" s="54" t="s">
        <v>456</v>
      </c>
      <c r="B117" s="54" t="s">
        <v>2008</v>
      </c>
      <c r="C117" s="54">
        <v>2</v>
      </c>
      <c r="D117" s="54"/>
      <c r="E117" s="54">
        <v>3</v>
      </c>
      <c r="F117" s="54">
        <v>20</v>
      </c>
      <c r="G117" s="54">
        <f>VLOOKUP(A117,'[1]yourspreadsheetname (1)'!$A$2:$C$968, 3, FALSE)</f>
        <v>0</v>
      </c>
      <c r="H117" s="535">
        <v>30</v>
      </c>
      <c r="I117" s="54"/>
      <c r="J117" s="54"/>
      <c r="K117" s="66">
        <v>775802</v>
      </c>
      <c r="L117" s="54"/>
      <c r="M117" s="54" t="s">
        <v>263</v>
      </c>
      <c r="N117" s="336" t="s">
        <v>439</v>
      </c>
      <c r="O117" s="54">
        <v>13</v>
      </c>
      <c r="P117" s="29" t="s">
        <v>2009</v>
      </c>
      <c r="Q117" s="12"/>
      <c r="R117" s="18">
        <f>((F117*15)-G117-I117)/2</f>
        <v>150</v>
      </c>
      <c r="S117" s="223">
        <v>90</v>
      </c>
      <c r="T117" s="223"/>
      <c r="U117" s="223">
        <v>40</v>
      </c>
      <c r="V117" s="12"/>
      <c r="W117" s="66">
        <f t="shared" si="13"/>
        <v>40</v>
      </c>
      <c r="X117" s="144">
        <v>11285</v>
      </c>
      <c r="Y117" s="119">
        <v>9989.89</v>
      </c>
      <c r="Z117" s="8">
        <f t="shared" si="14"/>
        <v>1692750</v>
      </c>
      <c r="AA117" s="122">
        <f t="shared" si="15"/>
        <v>399595.6</v>
      </c>
      <c r="AB117" s="12"/>
    </row>
    <row r="118" spans="1:28" s="73" customFormat="1" x14ac:dyDescent="0.25">
      <c r="A118" s="324" t="s">
        <v>457</v>
      </c>
      <c r="B118" s="54" t="s">
        <v>458</v>
      </c>
      <c r="C118" s="54"/>
      <c r="D118" s="54">
        <v>50</v>
      </c>
      <c r="E118" s="54">
        <v>50</v>
      </c>
      <c r="F118" s="54">
        <v>100</v>
      </c>
      <c r="G118" s="54">
        <f>VLOOKUP(A118,'[1]yourspreadsheetname (1)'!$A$2:$C$968, 3, FALSE)</f>
        <v>0</v>
      </c>
      <c r="H118" s="535">
        <v>600</v>
      </c>
      <c r="I118" s="54"/>
      <c r="J118" s="54"/>
      <c r="K118" s="66">
        <v>775802</v>
      </c>
      <c r="L118" s="54"/>
      <c r="M118" s="64" t="s">
        <v>259</v>
      </c>
      <c r="N118" s="336" t="s">
        <v>439</v>
      </c>
      <c r="O118" s="54">
        <v>14</v>
      </c>
      <c r="P118" s="12" t="s">
        <v>2010</v>
      </c>
      <c r="Q118" s="12"/>
      <c r="R118" s="18">
        <f>((F118*15)-G118-I118)/2</f>
        <v>750</v>
      </c>
      <c r="S118" s="223">
        <v>500</v>
      </c>
      <c r="T118" s="223"/>
      <c r="U118" s="223">
        <v>600</v>
      </c>
      <c r="V118" s="12"/>
      <c r="W118" s="66">
        <f t="shared" si="13"/>
        <v>600</v>
      </c>
      <c r="X118" s="144">
        <v>4475</v>
      </c>
      <c r="Y118" s="119">
        <v>7147.5</v>
      </c>
      <c r="Z118" s="8">
        <f t="shared" si="14"/>
        <v>3356250</v>
      </c>
      <c r="AA118" s="122">
        <f t="shared" si="15"/>
        <v>4288500</v>
      </c>
      <c r="AB118" s="217"/>
    </row>
    <row r="119" spans="1:28" s="73" customFormat="1" x14ac:dyDescent="0.25">
      <c r="A119" s="92" t="s">
        <v>459</v>
      </c>
      <c r="B119" s="92" t="s">
        <v>460</v>
      </c>
      <c r="C119" s="92"/>
      <c r="D119" s="259"/>
      <c r="E119" s="259">
        <v>10</v>
      </c>
      <c r="F119" s="259">
        <v>6</v>
      </c>
      <c r="G119" s="92">
        <f>VLOOKUP(A119,'[1]yourspreadsheetname (1)'!$A$2:$C$968, 3, FALSE)</f>
        <v>40</v>
      </c>
      <c r="H119" s="257">
        <v>90</v>
      </c>
      <c r="I119" s="259"/>
      <c r="J119" s="259"/>
      <c r="K119" s="55">
        <v>775802</v>
      </c>
      <c r="L119" s="92"/>
      <c r="M119" s="259" t="s">
        <v>259</v>
      </c>
      <c r="N119" s="336" t="s">
        <v>439</v>
      </c>
      <c r="O119" s="54">
        <v>15</v>
      </c>
      <c r="P119" s="29"/>
      <c r="Q119" s="12"/>
      <c r="R119" s="18">
        <f>((F119*15)-G119-I119)/2</f>
        <v>25</v>
      </c>
      <c r="S119" s="223"/>
      <c r="T119" s="223"/>
      <c r="U119" s="12"/>
      <c r="V119" s="12"/>
      <c r="W119" s="66">
        <f t="shared" si="13"/>
        <v>0</v>
      </c>
      <c r="X119" s="226">
        <v>9557.57</v>
      </c>
      <c r="Y119" s="227">
        <v>12791.34</v>
      </c>
      <c r="Z119" s="8">
        <f t="shared" si="14"/>
        <v>238939.25</v>
      </c>
      <c r="AA119" s="122">
        <f t="shared" si="15"/>
        <v>0</v>
      </c>
      <c r="AB119" s="217"/>
    </row>
    <row r="120" spans="1:28" s="90" customFormat="1" ht="15.75" customHeight="1" x14ac:dyDescent="0.25">
      <c r="A120" s="259" t="s">
        <v>461</v>
      </c>
      <c r="B120" s="259" t="s">
        <v>218</v>
      </c>
      <c r="C120" s="92">
        <v>2</v>
      </c>
      <c r="D120" s="92"/>
      <c r="E120" s="92">
        <v>2</v>
      </c>
      <c r="F120" s="92">
        <v>2</v>
      </c>
      <c r="G120" s="92" t="e">
        <f>VLOOKUP(A120,'[1]yourspreadsheetname (1)'!$A$2:$C$968, 3, FALSE)</f>
        <v>#N/A</v>
      </c>
      <c r="H120" s="257">
        <v>24</v>
      </c>
      <c r="I120" s="92"/>
      <c r="J120" s="92"/>
      <c r="K120" s="55">
        <v>775802</v>
      </c>
      <c r="L120" s="92"/>
      <c r="M120" s="92" t="s">
        <v>259</v>
      </c>
      <c r="N120" s="336" t="s">
        <v>439</v>
      </c>
      <c r="O120" s="54">
        <v>16</v>
      </c>
      <c r="P120" s="12"/>
      <c r="Q120" s="12"/>
      <c r="R120" s="18">
        <v>15</v>
      </c>
      <c r="S120" s="223"/>
      <c r="T120" s="223"/>
      <c r="U120" s="12"/>
      <c r="V120" s="12"/>
      <c r="W120" s="66">
        <f t="shared" si="13"/>
        <v>0</v>
      </c>
      <c r="X120" s="144">
        <v>8950</v>
      </c>
      <c r="Y120" s="119">
        <v>10450</v>
      </c>
      <c r="Z120" s="8">
        <f t="shared" si="14"/>
        <v>134250</v>
      </c>
      <c r="AA120" s="122">
        <f t="shared" si="15"/>
        <v>0</v>
      </c>
      <c r="AB120" s="12"/>
    </row>
    <row r="121" spans="1:28" s="4" customFormat="1" ht="16.5" customHeight="1" x14ac:dyDescent="0.25">
      <c r="A121" s="105" t="s">
        <v>462</v>
      </c>
      <c r="B121" s="105" t="s">
        <v>463</v>
      </c>
      <c r="C121" s="498">
        <v>500</v>
      </c>
      <c r="D121" s="482">
        <v>600</v>
      </c>
      <c r="E121" s="482">
        <v>600</v>
      </c>
      <c r="F121" s="482">
        <v>600</v>
      </c>
      <c r="G121" s="430">
        <v>6260</v>
      </c>
      <c r="H121" s="56">
        <v>6000</v>
      </c>
      <c r="I121" s="482">
        <v>480</v>
      </c>
      <c r="J121" s="527" t="s">
        <v>122</v>
      </c>
      <c r="K121" s="66">
        <v>775802</v>
      </c>
      <c r="L121" s="66"/>
      <c r="M121" s="64" t="s">
        <v>263</v>
      </c>
      <c r="N121" s="336" t="s">
        <v>439</v>
      </c>
      <c r="O121" s="66">
        <v>17</v>
      </c>
      <c r="P121" s="18" t="s">
        <v>2009</v>
      </c>
      <c r="Q121" s="6"/>
      <c r="R121" s="7">
        <v>1200</v>
      </c>
      <c r="S121" s="7"/>
      <c r="T121" s="7"/>
      <c r="U121" s="7">
        <v>1200</v>
      </c>
      <c r="V121" s="18"/>
      <c r="W121" s="66">
        <f t="shared" si="13"/>
        <v>1200</v>
      </c>
      <c r="X121" s="160">
        <v>144</v>
      </c>
      <c r="Y121" s="461">
        <v>147.59</v>
      </c>
      <c r="Z121" s="8">
        <f t="shared" si="14"/>
        <v>172800</v>
      </c>
      <c r="AA121" s="122">
        <f t="shared" si="15"/>
        <v>177108</v>
      </c>
      <c r="AB121" s="31"/>
    </row>
    <row r="122" spans="1:28" s="4" customFormat="1" ht="16.5" customHeight="1" x14ac:dyDescent="0.25">
      <c r="A122" s="498" t="s">
        <v>464</v>
      </c>
      <c r="B122" s="498" t="s">
        <v>465</v>
      </c>
      <c r="C122" s="498"/>
      <c r="D122" s="482">
        <v>200</v>
      </c>
      <c r="E122" s="482">
        <v>200</v>
      </c>
      <c r="F122" s="482">
        <v>200</v>
      </c>
      <c r="G122" s="430">
        <v>0</v>
      </c>
      <c r="H122" s="56">
        <v>0</v>
      </c>
      <c r="I122" s="482">
        <v>0</v>
      </c>
      <c r="J122" s="527" t="s">
        <v>122</v>
      </c>
      <c r="K122" s="55">
        <v>775802</v>
      </c>
      <c r="L122" s="55"/>
      <c r="M122" s="55" t="s">
        <v>285</v>
      </c>
      <c r="N122" s="336" t="s">
        <v>439</v>
      </c>
      <c r="O122" s="66">
        <v>18</v>
      </c>
      <c r="P122" s="18"/>
      <c r="Q122" s="6"/>
      <c r="R122" s="7">
        <f>((F122*15)-G122-I122)/2</f>
        <v>1500</v>
      </c>
      <c r="S122" s="7"/>
      <c r="T122" s="7"/>
      <c r="U122" s="7"/>
      <c r="V122" s="18"/>
      <c r="W122" s="66">
        <f t="shared" si="13"/>
        <v>0</v>
      </c>
      <c r="X122" s="160">
        <v>55.38</v>
      </c>
      <c r="Y122" s="461">
        <v>90</v>
      </c>
      <c r="Z122" s="8">
        <f t="shared" si="14"/>
        <v>83070</v>
      </c>
      <c r="AA122" s="122">
        <f t="shared" si="15"/>
        <v>0</v>
      </c>
      <c r="AB122" s="31"/>
    </row>
    <row r="123" spans="1:28" s="4" customFormat="1" x14ac:dyDescent="0.25">
      <c r="A123" s="68" t="s">
        <v>466</v>
      </c>
      <c r="B123" s="66" t="s">
        <v>467</v>
      </c>
      <c r="C123" s="55">
        <v>6000</v>
      </c>
      <c r="D123" s="55">
        <v>3200</v>
      </c>
      <c r="E123" s="55">
        <v>3100</v>
      </c>
      <c r="F123" s="55">
        <v>5000</v>
      </c>
      <c r="G123" s="430">
        <v>12000</v>
      </c>
      <c r="H123" s="56">
        <v>24000</v>
      </c>
      <c r="I123" s="55">
        <v>4000</v>
      </c>
      <c r="J123" s="244"/>
      <c r="K123" s="66">
        <v>775802</v>
      </c>
      <c r="L123" s="66"/>
      <c r="M123" s="66" t="s">
        <v>259</v>
      </c>
      <c r="N123" s="336" t="s">
        <v>439</v>
      </c>
      <c r="O123" s="66">
        <v>19</v>
      </c>
      <c r="P123" s="18" t="s">
        <v>2010</v>
      </c>
      <c r="Q123" s="13"/>
      <c r="R123" s="7">
        <v>30000</v>
      </c>
      <c r="S123" s="7"/>
      <c r="T123" s="7"/>
      <c r="U123" s="7">
        <v>27000</v>
      </c>
      <c r="V123" s="18"/>
      <c r="W123" s="66">
        <f t="shared" si="13"/>
        <v>27000</v>
      </c>
      <c r="X123" s="160">
        <v>110.26</v>
      </c>
      <c r="Y123" s="152">
        <v>113.9</v>
      </c>
      <c r="Z123" s="8">
        <f t="shared" si="14"/>
        <v>3307800</v>
      </c>
      <c r="AA123" s="122">
        <f t="shared" si="15"/>
        <v>3075300</v>
      </c>
      <c r="AB123" s="31"/>
    </row>
    <row r="124" spans="1:28" s="375" customFormat="1" x14ac:dyDescent="0.25">
      <c r="A124" s="564"/>
      <c r="B124" s="327"/>
      <c r="C124" s="327"/>
      <c r="D124" s="327"/>
      <c r="E124" s="327"/>
      <c r="F124" s="327"/>
      <c r="G124" s="434"/>
      <c r="H124" s="377"/>
      <c r="I124" s="327"/>
      <c r="J124" s="329"/>
      <c r="K124" s="376"/>
      <c r="L124" s="327"/>
      <c r="M124" s="327"/>
      <c r="N124" s="372"/>
      <c r="O124" s="327"/>
      <c r="P124" s="327"/>
      <c r="Q124" s="372"/>
      <c r="R124" s="377"/>
      <c r="S124" s="377"/>
      <c r="T124" s="377"/>
      <c r="U124" s="377"/>
      <c r="V124" s="327"/>
      <c r="W124" s="327"/>
      <c r="X124" s="621"/>
      <c r="Y124" s="603"/>
      <c r="Z124" s="331"/>
      <c r="AA124" s="374"/>
      <c r="AB124" s="329"/>
    </row>
    <row r="125" spans="1:28" s="116" customFormat="1" x14ac:dyDescent="0.25">
      <c r="A125" s="54" t="s">
        <v>468</v>
      </c>
      <c r="B125" s="54" t="s">
        <v>469</v>
      </c>
      <c r="C125" s="54">
        <v>0</v>
      </c>
      <c r="D125" s="54">
        <v>810</v>
      </c>
      <c r="E125" s="54">
        <v>900</v>
      </c>
      <c r="F125" s="54">
        <v>900</v>
      </c>
      <c r="G125" s="54" t="e">
        <f>VLOOKUP(A125,'[1]yourspreadsheetname (1)'!$A$2:$C$968, 3, FALSE)</f>
        <v>#N/A</v>
      </c>
      <c r="H125" s="54">
        <v>0</v>
      </c>
      <c r="I125" s="54"/>
      <c r="J125" s="611">
        <v>45809</v>
      </c>
      <c r="K125" s="54">
        <v>775800</v>
      </c>
      <c r="L125" s="54"/>
      <c r="M125" s="54" t="s">
        <v>1931</v>
      </c>
      <c r="N125" s="64" t="s">
        <v>791</v>
      </c>
      <c r="O125" s="54">
        <v>1</v>
      </c>
      <c r="P125" s="54" t="s">
        <v>2017</v>
      </c>
      <c r="Q125" s="54"/>
      <c r="R125" s="18">
        <v>6000</v>
      </c>
      <c r="S125" s="54"/>
      <c r="T125" s="12"/>
      <c r="U125" s="54">
        <v>6000</v>
      </c>
      <c r="V125" s="54"/>
      <c r="W125" s="66">
        <f t="shared" ref="W125:W156" si="16">U125+V125</f>
        <v>6000</v>
      </c>
      <c r="X125" s="206">
        <v>1287</v>
      </c>
      <c r="Y125" s="207">
        <v>1062</v>
      </c>
      <c r="Z125" s="8">
        <f t="shared" ref="Z125:Z156" si="17">R125*X125</f>
        <v>7722000</v>
      </c>
      <c r="AA125" s="122">
        <f t="shared" ref="AA125:AA156" si="18">W125*Y125</f>
        <v>6372000</v>
      </c>
      <c r="AB125" s="54"/>
    </row>
    <row r="126" spans="1:28" s="116" customFormat="1" x14ac:dyDescent="0.25">
      <c r="A126" s="54" t="s">
        <v>470</v>
      </c>
      <c r="B126" s="54" t="s">
        <v>471</v>
      </c>
      <c r="C126" s="54"/>
      <c r="D126" s="54">
        <v>300</v>
      </c>
      <c r="E126" s="54">
        <v>300</v>
      </c>
      <c r="F126" s="54">
        <v>700</v>
      </c>
      <c r="G126" s="54">
        <f>VLOOKUP(A126,'[1]yourspreadsheetname (1)'!$A$2:$C$968, 3, FALSE)</f>
        <v>0</v>
      </c>
      <c r="H126" s="54">
        <v>0</v>
      </c>
      <c r="I126" s="54"/>
      <c r="J126" s="611">
        <v>45809</v>
      </c>
      <c r="K126" s="54">
        <v>775800</v>
      </c>
      <c r="L126" s="54"/>
      <c r="M126" s="54" t="s">
        <v>2018</v>
      </c>
      <c r="N126" s="64" t="s">
        <v>791</v>
      </c>
      <c r="O126" s="54">
        <v>2</v>
      </c>
      <c r="P126" s="54" t="s">
        <v>2017</v>
      </c>
      <c r="Q126" s="54"/>
      <c r="R126" s="18">
        <v>5300</v>
      </c>
      <c r="S126" s="54">
        <v>3500</v>
      </c>
      <c r="T126" s="12"/>
      <c r="U126" s="54">
        <v>3500</v>
      </c>
      <c r="V126" s="54"/>
      <c r="W126" s="66">
        <f t="shared" si="16"/>
        <v>3500</v>
      </c>
      <c r="X126" s="206">
        <v>825.25</v>
      </c>
      <c r="Y126" s="207">
        <v>1473.44</v>
      </c>
      <c r="Z126" s="8">
        <f t="shared" si="17"/>
        <v>4373825</v>
      </c>
      <c r="AA126" s="122">
        <f t="shared" si="18"/>
        <v>5157040</v>
      </c>
      <c r="AB126" s="54"/>
    </row>
    <row r="127" spans="1:28" s="116" customFormat="1" x14ac:dyDescent="0.25">
      <c r="A127" s="92" t="s">
        <v>474</v>
      </c>
      <c r="B127" s="92" t="s">
        <v>475</v>
      </c>
      <c r="C127" s="92"/>
      <c r="D127" s="92"/>
      <c r="E127" s="92">
        <v>200</v>
      </c>
      <c r="F127" s="92">
        <v>120</v>
      </c>
      <c r="G127" s="92">
        <f>VLOOKUP(A127,'[1]yourspreadsheetname (1)'!$A$2:$C$968, 3, FALSE)</f>
        <v>1100</v>
      </c>
      <c r="H127" s="92">
        <v>1400</v>
      </c>
      <c r="I127" s="92"/>
      <c r="J127" s="92"/>
      <c r="K127" s="92">
        <v>775800</v>
      </c>
      <c r="L127" s="404"/>
      <c r="M127" s="60" t="s">
        <v>259</v>
      </c>
      <c r="N127" s="64" t="s">
        <v>791</v>
      </c>
      <c r="O127" s="54">
        <v>3</v>
      </c>
      <c r="P127" s="54"/>
      <c r="Q127" s="96"/>
      <c r="R127" s="18">
        <f>((F127*15)-G127-I127)/2</f>
        <v>350</v>
      </c>
      <c r="S127" s="54"/>
      <c r="T127" s="12"/>
      <c r="U127" s="54"/>
      <c r="V127" s="54"/>
      <c r="W127" s="66">
        <f t="shared" si="16"/>
        <v>0</v>
      </c>
      <c r="X127" s="206">
        <v>1824.87</v>
      </c>
      <c r="Y127" s="207">
        <v>3599</v>
      </c>
      <c r="Z127" s="8">
        <f t="shared" si="17"/>
        <v>638704.5</v>
      </c>
      <c r="AA127" s="122">
        <f t="shared" si="18"/>
        <v>0</v>
      </c>
      <c r="AB127" s="54"/>
    </row>
    <row r="128" spans="1:28" s="116" customFormat="1" x14ac:dyDescent="0.25">
      <c r="A128" s="92" t="s">
        <v>476</v>
      </c>
      <c r="B128" s="60" t="s">
        <v>477</v>
      </c>
      <c r="C128" s="60">
        <v>0</v>
      </c>
      <c r="D128" s="92">
        <v>200</v>
      </c>
      <c r="E128" s="92">
        <v>300</v>
      </c>
      <c r="F128" s="92">
        <v>300</v>
      </c>
      <c r="G128" s="92">
        <f>VLOOKUP(A128,'[1]yourspreadsheetname (1)'!$A$2:$C$968, 3, FALSE)</f>
        <v>1860</v>
      </c>
      <c r="H128" s="92">
        <v>2000</v>
      </c>
      <c r="I128" s="92"/>
      <c r="J128" s="92"/>
      <c r="K128" s="92">
        <v>775800</v>
      </c>
      <c r="L128" s="92"/>
      <c r="M128" s="92" t="s">
        <v>272</v>
      </c>
      <c r="N128" s="64" t="s">
        <v>791</v>
      </c>
      <c r="O128" s="54">
        <v>4</v>
      </c>
      <c r="P128" s="54"/>
      <c r="Q128" s="96"/>
      <c r="R128" s="18">
        <v>1300</v>
      </c>
      <c r="S128" s="54"/>
      <c r="T128" s="12"/>
      <c r="U128" s="54"/>
      <c r="V128" s="96"/>
      <c r="W128" s="66">
        <f t="shared" si="16"/>
        <v>0</v>
      </c>
      <c r="X128" s="206">
        <v>65.849999999999994</v>
      </c>
      <c r="Y128" s="207">
        <v>100.8</v>
      </c>
      <c r="Z128" s="8">
        <f t="shared" si="17"/>
        <v>85604.999999999985</v>
      </c>
      <c r="AA128" s="122">
        <f t="shared" si="18"/>
        <v>0</v>
      </c>
      <c r="AB128" s="96"/>
    </row>
    <row r="129" spans="1:28" s="116" customFormat="1" ht="15.75" customHeight="1" x14ac:dyDescent="0.25">
      <c r="A129" s="92" t="s">
        <v>478</v>
      </c>
      <c r="B129" s="92" t="s">
        <v>479</v>
      </c>
      <c r="C129" s="92">
        <v>500</v>
      </c>
      <c r="D129" s="92">
        <v>700</v>
      </c>
      <c r="E129" s="92">
        <v>900</v>
      </c>
      <c r="F129" s="92">
        <v>1400</v>
      </c>
      <c r="G129" s="92">
        <f>VLOOKUP(A129,'[1]yourspreadsheetname (1)'!$A$2:$C$968, 3, FALSE)</f>
        <v>0</v>
      </c>
      <c r="H129" s="92">
        <v>10800</v>
      </c>
      <c r="I129" s="92">
        <v>5400</v>
      </c>
      <c r="J129" s="588"/>
      <c r="K129" s="92">
        <v>775800</v>
      </c>
      <c r="L129" s="92"/>
      <c r="M129" s="92" t="s">
        <v>259</v>
      </c>
      <c r="N129" s="64" t="s">
        <v>791</v>
      </c>
      <c r="O129" s="54">
        <v>5</v>
      </c>
      <c r="P129" s="54"/>
      <c r="Q129" s="54"/>
      <c r="R129" s="18">
        <f>((F129*15)-G129-I129)/2</f>
        <v>7800</v>
      </c>
      <c r="S129" s="121">
        <v>6000</v>
      </c>
      <c r="T129" s="110"/>
      <c r="U129" s="54"/>
      <c r="V129" s="54"/>
      <c r="W129" s="66">
        <f t="shared" si="16"/>
        <v>0</v>
      </c>
      <c r="X129" s="206">
        <v>1615</v>
      </c>
      <c r="Y129" s="207">
        <v>2068</v>
      </c>
      <c r="Z129" s="8">
        <f t="shared" si="17"/>
        <v>12597000</v>
      </c>
      <c r="AA129" s="122">
        <f t="shared" si="18"/>
        <v>0</v>
      </c>
      <c r="AB129" s="54"/>
    </row>
    <row r="130" spans="1:28" s="116" customFormat="1" x14ac:dyDescent="0.25">
      <c r="A130" s="54" t="s">
        <v>480</v>
      </c>
      <c r="B130" s="54" t="s">
        <v>481</v>
      </c>
      <c r="C130" s="54">
        <v>1500</v>
      </c>
      <c r="D130" s="54">
        <v>1500</v>
      </c>
      <c r="E130" s="54">
        <v>1800</v>
      </c>
      <c r="F130" s="54">
        <v>1600</v>
      </c>
      <c r="G130" s="54">
        <f>VLOOKUP(A130,'[1]yourspreadsheetname (1)'!$A$2:$C$968, 3, FALSE)</f>
        <v>9100</v>
      </c>
      <c r="H130" s="54">
        <v>17800</v>
      </c>
      <c r="I130" s="54">
        <v>1600</v>
      </c>
      <c r="J130" s="54"/>
      <c r="K130" s="54">
        <v>775800</v>
      </c>
      <c r="L130" s="54"/>
      <c r="M130" s="54" t="s">
        <v>259</v>
      </c>
      <c r="N130" s="64" t="s">
        <v>791</v>
      </c>
      <c r="O130" s="54">
        <v>6</v>
      </c>
      <c r="P130" s="54" t="s">
        <v>2019</v>
      </c>
      <c r="Q130" s="54"/>
      <c r="R130" s="18">
        <v>6600</v>
      </c>
      <c r="S130" s="54"/>
      <c r="T130" s="12"/>
      <c r="U130" s="54">
        <v>6600</v>
      </c>
      <c r="V130" s="54"/>
      <c r="W130" s="66">
        <f t="shared" si="16"/>
        <v>6600</v>
      </c>
      <c r="X130" s="206">
        <v>84.5</v>
      </c>
      <c r="Y130" s="207">
        <v>102.3</v>
      </c>
      <c r="Z130" s="8">
        <f t="shared" si="17"/>
        <v>557700</v>
      </c>
      <c r="AA130" s="122">
        <f t="shared" si="18"/>
        <v>675180</v>
      </c>
      <c r="AB130" s="54"/>
    </row>
    <row r="131" spans="1:28" s="116" customFormat="1" x14ac:dyDescent="0.25">
      <c r="A131" s="54" t="s">
        <v>482</v>
      </c>
      <c r="B131" s="54" t="s">
        <v>483</v>
      </c>
      <c r="C131" s="54">
        <v>500</v>
      </c>
      <c r="D131" s="54">
        <v>450</v>
      </c>
      <c r="E131" s="54">
        <v>600</v>
      </c>
      <c r="F131" s="54">
        <v>600</v>
      </c>
      <c r="G131" s="54">
        <f>VLOOKUP(A131,'[1]yourspreadsheetname (1)'!$A$2:$C$968, 3, FALSE)</f>
        <v>1020</v>
      </c>
      <c r="H131" s="54">
        <v>4800</v>
      </c>
      <c r="I131" s="54"/>
      <c r="J131" s="54"/>
      <c r="K131" s="54">
        <v>775800</v>
      </c>
      <c r="L131" s="54"/>
      <c r="M131" s="54" t="s">
        <v>263</v>
      </c>
      <c r="N131" s="64" t="s">
        <v>791</v>
      </c>
      <c r="O131" s="54">
        <v>7</v>
      </c>
      <c r="P131" s="54" t="s">
        <v>2020</v>
      </c>
      <c r="Q131" s="54"/>
      <c r="R131" s="18">
        <v>4000</v>
      </c>
      <c r="S131" s="54"/>
      <c r="T131" s="12"/>
      <c r="U131" s="54">
        <v>4000</v>
      </c>
      <c r="V131" s="54"/>
      <c r="W131" s="66">
        <f t="shared" si="16"/>
        <v>4000</v>
      </c>
      <c r="X131" s="206">
        <v>384.1</v>
      </c>
      <c r="Y131" s="207">
        <v>556.99</v>
      </c>
      <c r="Z131" s="8">
        <f t="shared" si="17"/>
        <v>1536400</v>
      </c>
      <c r="AA131" s="122">
        <f t="shared" si="18"/>
        <v>2227960</v>
      </c>
      <c r="AB131" s="54"/>
    </row>
    <row r="132" spans="1:28" s="4" customFormat="1" x14ac:dyDescent="0.25">
      <c r="A132" s="66" t="s">
        <v>487</v>
      </c>
      <c r="B132" s="66" t="s">
        <v>488</v>
      </c>
      <c r="C132" s="66"/>
      <c r="D132" s="66">
        <v>200</v>
      </c>
      <c r="E132" s="66">
        <v>300</v>
      </c>
      <c r="F132" s="66">
        <v>600</v>
      </c>
      <c r="G132" s="54">
        <f>VLOOKUP(A132,'[1]yourspreadsheetname (1)'!$A$2:$C$968, 3, FALSE)</f>
        <v>0</v>
      </c>
      <c r="H132" s="273">
        <v>1800</v>
      </c>
      <c r="I132" s="199"/>
      <c r="J132" s="384" t="s">
        <v>122</v>
      </c>
      <c r="K132" s="54">
        <v>775800</v>
      </c>
      <c r="L132" s="66"/>
      <c r="M132" s="66" t="s">
        <v>259</v>
      </c>
      <c r="N132" s="64" t="s">
        <v>791</v>
      </c>
      <c r="O132" s="66">
        <v>8</v>
      </c>
      <c r="P132" s="54" t="s">
        <v>2019</v>
      </c>
      <c r="Q132" s="64"/>
      <c r="R132" s="18">
        <v>4500</v>
      </c>
      <c r="S132" s="66"/>
      <c r="T132" s="66"/>
      <c r="U132" s="66">
        <v>3000</v>
      </c>
      <c r="V132" s="66"/>
      <c r="W132" s="66">
        <f t="shared" si="16"/>
        <v>3000</v>
      </c>
      <c r="X132" s="140">
        <v>489</v>
      </c>
      <c r="Y132" s="141">
        <v>525</v>
      </c>
      <c r="Z132" s="8">
        <f t="shared" si="17"/>
        <v>2200500</v>
      </c>
      <c r="AA132" s="122">
        <f t="shared" si="18"/>
        <v>1575000</v>
      </c>
      <c r="AB132" s="103"/>
    </row>
    <row r="133" spans="1:28" s="4" customFormat="1" x14ac:dyDescent="0.25">
      <c r="A133" s="499" t="s">
        <v>489</v>
      </c>
      <c r="B133" s="243" t="s">
        <v>490</v>
      </c>
      <c r="C133" s="55"/>
      <c r="D133" s="55">
        <v>300</v>
      </c>
      <c r="E133" s="55">
        <v>500</v>
      </c>
      <c r="F133" s="55">
        <v>500</v>
      </c>
      <c r="G133" s="92" t="e">
        <f>VLOOKUP(A133,'[1]yourspreadsheetname (1)'!$A$2:$C$968, 3, FALSE)</f>
        <v>#N/A</v>
      </c>
      <c r="H133" s="421">
        <v>6050</v>
      </c>
      <c r="I133" s="591"/>
      <c r="J133" s="502" t="s">
        <v>122</v>
      </c>
      <c r="K133" s="92">
        <v>775800</v>
      </c>
      <c r="L133" s="93"/>
      <c r="M133" s="55" t="s">
        <v>259</v>
      </c>
      <c r="N133" s="64" t="s">
        <v>791</v>
      </c>
      <c r="O133" s="54">
        <v>9</v>
      </c>
      <c r="P133" s="54" t="s">
        <v>2020</v>
      </c>
      <c r="Q133" s="66"/>
      <c r="R133" s="18">
        <v>3000</v>
      </c>
      <c r="S133" s="66"/>
      <c r="T133" s="66"/>
      <c r="U133" s="66">
        <v>3000</v>
      </c>
      <c r="V133" s="66"/>
      <c r="W133" s="66">
        <f t="shared" si="16"/>
        <v>3000</v>
      </c>
      <c r="X133" s="140">
        <v>330</v>
      </c>
      <c r="Y133" s="141">
        <v>357.7</v>
      </c>
      <c r="Z133" s="8">
        <f t="shared" si="17"/>
        <v>990000</v>
      </c>
      <c r="AA133" s="122">
        <f t="shared" si="18"/>
        <v>1073100</v>
      </c>
      <c r="AB133" s="680"/>
    </row>
    <row r="134" spans="1:28" s="4" customFormat="1" x14ac:dyDescent="0.25">
      <c r="A134" s="92" t="s">
        <v>493</v>
      </c>
      <c r="B134" s="55" t="s">
        <v>494</v>
      </c>
      <c r="C134" s="56"/>
      <c r="D134" s="56">
        <v>200</v>
      </c>
      <c r="E134" s="56">
        <v>250</v>
      </c>
      <c r="F134" s="548">
        <v>300</v>
      </c>
      <c r="G134" s="92" t="e">
        <f>VLOOKUP(A134,'[1]yourspreadsheetname (1)'!$A$2:$C$968, 3, FALSE)</f>
        <v>#N/A</v>
      </c>
      <c r="H134" s="421">
        <v>2420</v>
      </c>
      <c r="I134" s="594"/>
      <c r="J134" s="502" t="s">
        <v>122</v>
      </c>
      <c r="K134" s="92">
        <v>775800</v>
      </c>
      <c r="L134" s="93"/>
      <c r="M134" s="55" t="s">
        <v>263</v>
      </c>
      <c r="N134" s="64" t="s">
        <v>791</v>
      </c>
      <c r="O134" s="66">
        <v>10</v>
      </c>
      <c r="P134" s="66"/>
      <c r="Q134" s="66"/>
      <c r="R134" s="18">
        <v>2300</v>
      </c>
      <c r="S134" s="66">
        <v>1200</v>
      </c>
      <c r="T134" s="66"/>
      <c r="U134" s="66"/>
      <c r="V134" s="66"/>
      <c r="W134" s="66">
        <f t="shared" si="16"/>
        <v>0</v>
      </c>
      <c r="X134" s="140">
        <v>2100</v>
      </c>
      <c r="Y134" s="141">
        <v>4999</v>
      </c>
      <c r="Z134" s="8">
        <f t="shared" si="17"/>
        <v>4830000</v>
      </c>
      <c r="AA134" s="122">
        <f t="shared" si="18"/>
        <v>0</v>
      </c>
      <c r="AB134" s="103"/>
    </row>
    <row r="135" spans="1:28" s="4" customFormat="1" x14ac:dyDescent="0.25">
      <c r="A135" s="66" t="s">
        <v>495</v>
      </c>
      <c r="B135" s="66" t="s">
        <v>496</v>
      </c>
      <c r="C135" s="66"/>
      <c r="D135" s="66"/>
      <c r="E135" s="66">
        <v>100</v>
      </c>
      <c r="F135" s="534">
        <v>150</v>
      </c>
      <c r="G135" s="54">
        <f>VLOOKUP(A135,'[1]yourspreadsheetname (1)'!$A$2:$C$968, 3, FALSE)</f>
        <v>0</v>
      </c>
      <c r="H135" s="273">
        <v>600</v>
      </c>
      <c r="I135" s="618"/>
      <c r="J135" s="384" t="s">
        <v>122</v>
      </c>
      <c r="K135" s="54">
        <v>775800</v>
      </c>
      <c r="L135" s="64"/>
      <c r="M135" s="66" t="s">
        <v>259</v>
      </c>
      <c r="N135" s="64" t="s">
        <v>791</v>
      </c>
      <c r="O135" s="54">
        <v>11</v>
      </c>
      <c r="P135" s="54" t="s">
        <v>2019</v>
      </c>
      <c r="Q135" s="66"/>
      <c r="R135" s="18">
        <v>1100</v>
      </c>
      <c r="S135" s="66"/>
      <c r="T135" s="66"/>
      <c r="U135" s="66">
        <v>600</v>
      </c>
      <c r="V135" s="66"/>
      <c r="W135" s="66">
        <f t="shared" si="16"/>
        <v>600</v>
      </c>
      <c r="X135" s="140">
        <v>432</v>
      </c>
      <c r="Y135" s="141">
        <v>508</v>
      </c>
      <c r="Z135" s="8">
        <f t="shared" si="17"/>
        <v>475200</v>
      </c>
      <c r="AA135" s="122">
        <f t="shared" si="18"/>
        <v>304800</v>
      </c>
      <c r="AB135" s="680"/>
    </row>
    <row r="136" spans="1:28" s="4" customFormat="1" x14ac:dyDescent="0.25">
      <c r="A136" s="66" t="s">
        <v>497</v>
      </c>
      <c r="B136" s="66" t="s">
        <v>498</v>
      </c>
      <c r="C136" s="66">
        <v>370</v>
      </c>
      <c r="D136" s="66">
        <v>442</v>
      </c>
      <c r="E136" s="66">
        <v>500</v>
      </c>
      <c r="F136" s="66">
        <v>500</v>
      </c>
      <c r="G136" s="54">
        <f>VLOOKUP(A136,'[1]yourspreadsheetname (1)'!$A$2:$C$968, 3, FALSE)</f>
        <v>1600</v>
      </c>
      <c r="H136" s="273">
        <v>6050</v>
      </c>
      <c r="I136" s="628"/>
      <c r="J136" s="384" t="s">
        <v>122</v>
      </c>
      <c r="K136" s="54">
        <v>775800</v>
      </c>
      <c r="L136" s="64"/>
      <c r="M136" s="66" t="s">
        <v>259</v>
      </c>
      <c r="N136" s="64" t="s">
        <v>791</v>
      </c>
      <c r="O136" s="66">
        <v>12</v>
      </c>
      <c r="P136" s="54" t="s">
        <v>2019</v>
      </c>
      <c r="Q136" s="66"/>
      <c r="R136" s="18">
        <v>2900</v>
      </c>
      <c r="S136" s="66"/>
      <c r="T136" s="66"/>
      <c r="U136" s="66">
        <v>2900</v>
      </c>
      <c r="V136" s="66"/>
      <c r="W136" s="66">
        <f t="shared" si="16"/>
        <v>2900</v>
      </c>
      <c r="X136" s="140">
        <v>1398</v>
      </c>
      <c r="Y136" s="141">
        <v>1475</v>
      </c>
      <c r="Z136" s="8">
        <f t="shared" si="17"/>
        <v>4054200</v>
      </c>
      <c r="AA136" s="122">
        <f t="shared" si="18"/>
        <v>4277500</v>
      </c>
      <c r="AB136" s="103"/>
    </row>
    <row r="137" spans="1:28" s="4" customFormat="1" x14ac:dyDescent="0.25">
      <c r="A137" s="66" t="s">
        <v>501</v>
      </c>
      <c r="B137" s="66" t="s">
        <v>502</v>
      </c>
      <c r="C137" s="66">
        <v>1200</v>
      </c>
      <c r="D137" s="295">
        <v>750</v>
      </c>
      <c r="E137" s="295">
        <v>1400</v>
      </c>
      <c r="F137" s="295">
        <v>1300</v>
      </c>
      <c r="G137" s="171">
        <v>6200</v>
      </c>
      <c r="H137" s="62">
        <v>14200</v>
      </c>
      <c r="I137" s="66">
        <v>4200</v>
      </c>
      <c r="J137" s="296" t="s">
        <v>122</v>
      </c>
      <c r="K137" s="54">
        <v>775800</v>
      </c>
      <c r="L137" s="170"/>
      <c r="M137" s="66" t="s">
        <v>259</v>
      </c>
      <c r="N137" s="64" t="s">
        <v>791</v>
      </c>
      <c r="O137" s="54">
        <v>13</v>
      </c>
      <c r="P137" s="54" t="s">
        <v>2019</v>
      </c>
      <c r="Q137" s="7"/>
      <c r="R137" s="7">
        <v>4500</v>
      </c>
      <c r="S137" s="7"/>
      <c r="T137" s="7"/>
      <c r="U137" s="7">
        <v>4500</v>
      </c>
      <c r="V137" s="18"/>
      <c r="W137" s="66">
        <f t="shared" si="16"/>
        <v>4500</v>
      </c>
      <c r="X137" s="118">
        <v>104.4</v>
      </c>
      <c r="Y137" s="118">
        <v>113.68</v>
      </c>
      <c r="Z137" s="8">
        <f t="shared" si="17"/>
        <v>469800</v>
      </c>
      <c r="AA137" s="122">
        <f t="shared" si="18"/>
        <v>511560.00000000006</v>
      </c>
      <c r="AB137" s="31"/>
    </row>
    <row r="138" spans="1:28" s="116" customFormat="1" x14ac:dyDescent="0.25">
      <c r="A138" s="486" t="s">
        <v>503</v>
      </c>
      <c r="B138" s="486" t="s">
        <v>504</v>
      </c>
      <c r="C138" s="486">
        <v>0</v>
      </c>
      <c r="D138" s="92">
        <v>8</v>
      </c>
      <c r="E138" s="92">
        <v>8</v>
      </c>
      <c r="F138" s="92">
        <v>16</v>
      </c>
      <c r="G138" s="92">
        <f>VLOOKUP(A138,'[1]yourspreadsheetname (1)'!$A$2:$C$968, 3, FALSE)</f>
        <v>0</v>
      </c>
      <c r="H138" s="92">
        <v>104</v>
      </c>
      <c r="I138" s="92"/>
      <c r="J138" s="92"/>
      <c r="K138" s="92">
        <v>775800</v>
      </c>
      <c r="L138" s="259"/>
      <c r="M138" s="294" t="s">
        <v>272</v>
      </c>
      <c r="N138" s="64" t="s">
        <v>791</v>
      </c>
      <c r="O138" s="66">
        <v>14</v>
      </c>
      <c r="P138" s="54"/>
      <c r="Q138" s="54"/>
      <c r="R138" s="18">
        <f>((F138*15)-G138-I138)/2</f>
        <v>120</v>
      </c>
      <c r="S138" s="54"/>
      <c r="T138" s="12"/>
      <c r="U138" s="54"/>
      <c r="V138" s="54"/>
      <c r="W138" s="66">
        <f t="shared" si="16"/>
        <v>0</v>
      </c>
      <c r="X138" s="206">
        <v>2893.42</v>
      </c>
      <c r="Y138" s="207">
        <v>3976.53</v>
      </c>
      <c r="Z138" s="8">
        <f t="shared" si="17"/>
        <v>347210.4</v>
      </c>
      <c r="AA138" s="122">
        <f t="shared" si="18"/>
        <v>0</v>
      </c>
      <c r="AB138" s="54"/>
    </row>
    <row r="139" spans="1:28" s="132" customFormat="1" x14ac:dyDescent="0.25">
      <c r="A139" s="92" t="s">
        <v>505</v>
      </c>
      <c r="B139" s="92" t="s">
        <v>506</v>
      </c>
      <c r="C139" s="92">
        <v>200</v>
      </c>
      <c r="D139" s="92">
        <v>150</v>
      </c>
      <c r="E139" s="92">
        <v>300</v>
      </c>
      <c r="F139" s="92">
        <v>300</v>
      </c>
      <c r="G139" s="92">
        <f>VLOOKUP(A139,'[1]yourspreadsheetname (1)'!$A$2:$C$968, 3, FALSE)</f>
        <v>0</v>
      </c>
      <c r="H139" s="92">
        <v>1800</v>
      </c>
      <c r="I139" s="92"/>
      <c r="J139" s="92"/>
      <c r="K139" s="92">
        <v>775800</v>
      </c>
      <c r="L139" s="92"/>
      <c r="M139" s="92" t="s">
        <v>272</v>
      </c>
      <c r="N139" s="64" t="s">
        <v>791</v>
      </c>
      <c r="O139" s="54">
        <v>15</v>
      </c>
      <c r="P139" s="54"/>
      <c r="Q139" s="54"/>
      <c r="R139" s="18">
        <f>((F139*15)-G139-I139)/2</f>
        <v>2250</v>
      </c>
      <c r="S139" s="54"/>
      <c r="T139" s="12"/>
      <c r="U139" s="54"/>
      <c r="V139" s="54"/>
      <c r="W139" s="66">
        <f t="shared" si="16"/>
        <v>0</v>
      </c>
      <c r="X139" s="206">
        <v>390</v>
      </c>
      <c r="Y139" s="207">
        <v>842.55</v>
      </c>
      <c r="Z139" s="8">
        <f t="shared" si="17"/>
        <v>877500</v>
      </c>
      <c r="AA139" s="122">
        <f t="shared" si="18"/>
        <v>0</v>
      </c>
      <c r="AB139" s="54"/>
    </row>
    <row r="140" spans="1:28" s="132" customFormat="1" x14ac:dyDescent="0.25">
      <c r="A140" s="92" t="s">
        <v>507</v>
      </c>
      <c r="B140" s="92" t="s">
        <v>508</v>
      </c>
      <c r="C140" s="92"/>
      <c r="D140" s="92">
        <v>0</v>
      </c>
      <c r="E140" s="92">
        <v>30</v>
      </c>
      <c r="F140" s="92">
        <v>30</v>
      </c>
      <c r="G140" s="92" t="e">
        <f>VLOOKUP(A140,'[1]yourspreadsheetname (1)'!$A$2:$C$968, 3, FALSE)</f>
        <v>#N/A</v>
      </c>
      <c r="H140" s="92">
        <v>180</v>
      </c>
      <c r="I140" s="92"/>
      <c r="J140" s="92"/>
      <c r="K140" s="92">
        <v>775800</v>
      </c>
      <c r="L140" s="404"/>
      <c r="M140" s="586" t="s">
        <v>285</v>
      </c>
      <c r="N140" s="64" t="s">
        <v>791</v>
      </c>
      <c r="O140" s="66">
        <v>16</v>
      </c>
      <c r="P140" s="54"/>
      <c r="Q140" s="54"/>
      <c r="R140" s="18">
        <v>240</v>
      </c>
      <c r="S140" s="54"/>
      <c r="T140" s="12"/>
      <c r="U140" s="54"/>
      <c r="V140" s="54"/>
      <c r="W140" s="66">
        <f t="shared" si="16"/>
        <v>0</v>
      </c>
      <c r="X140" s="206">
        <v>340.8</v>
      </c>
      <c r="Y140" s="207">
        <v>969.73</v>
      </c>
      <c r="Z140" s="8">
        <f t="shared" si="17"/>
        <v>81792</v>
      </c>
      <c r="AA140" s="122">
        <f t="shared" si="18"/>
        <v>0</v>
      </c>
      <c r="AB140" s="54"/>
    </row>
    <row r="141" spans="1:28" s="132" customFormat="1" x14ac:dyDescent="0.25">
      <c r="A141" s="92" t="s">
        <v>509</v>
      </c>
      <c r="B141" s="92" t="s">
        <v>510</v>
      </c>
      <c r="C141" s="92">
        <v>400</v>
      </c>
      <c r="D141" s="92">
        <v>300</v>
      </c>
      <c r="E141" s="92">
        <v>300</v>
      </c>
      <c r="F141" s="92">
        <v>450</v>
      </c>
      <c r="G141" s="92">
        <f>VLOOKUP(A141,'[1]yourspreadsheetname (1)'!$A$2:$C$968, 3, FALSE)</f>
        <v>0</v>
      </c>
      <c r="H141" s="92">
        <v>1800</v>
      </c>
      <c r="I141" s="92"/>
      <c r="J141" s="92"/>
      <c r="K141" s="92">
        <v>775800</v>
      </c>
      <c r="L141" s="92"/>
      <c r="M141" s="92" t="s">
        <v>272</v>
      </c>
      <c r="N141" s="64" t="s">
        <v>791</v>
      </c>
      <c r="O141" s="54">
        <v>17</v>
      </c>
      <c r="P141" s="54"/>
      <c r="Q141" s="54"/>
      <c r="R141" s="18">
        <v>3500</v>
      </c>
      <c r="S141" s="54"/>
      <c r="T141" s="12"/>
      <c r="U141" s="54"/>
      <c r="V141" s="54"/>
      <c r="W141" s="66">
        <f t="shared" si="16"/>
        <v>0</v>
      </c>
      <c r="X141" s="145">
        <v>597.23</v>
      </c>
      <c r="Y141" s="207">
        <v>756.29</v>
      </c>
      <c r="Z141" s="8">
        <f t="shared" si="17"/>
        <v>2090305</v>
      </c>
      <c r="AA141" s="122">
        <f t="shared" si="18"/>
        <v>0</v>
      </c>
      <c r="AB141" s="54"/>
    </row>
    <row r="142" spans="1:28" s="116" customFormat="1" x14ac:dyDescent="0.25">
      <c r="A142" s="54" t="s">
        <v>511</v>
      </c>
      <c r="B142" s="54" t="s">
        <v>512</v>
      </c>
      <c r="C142" s="54">
        <v>400</v>
      </c>
      <c r="D142" s="54">
        <v>350</v>
      </c>
      <c r="E142" s="54">
        <v>120</v>
      </c>
      <c r="F142" s="54">
        <v>210</v>
      </c>
      <c r="G142" s="54">
        <v>1300</v>
      </c>
      <c r="H142" s="54">
        <v>0</v>
      </c>
      <c r="I142" s="54"/>
      <c r="J142" s="54"/>
      <c r="K142" s="54">
        <v>775800</v>
      </c>
      <c r="L142" s="81"/>
      <c r="M142" s="54" t="s">
        <v>259</v>
      </c>
      <c r="N142" s="64" t="s">
        <v>791</v>
      </c>
      <c r="O142" s="66">
        <v>18</v>
      </c>
      <c r="P142" s="54" t="s">
        <v>2019</v>
      </c>
      <c r="Q142" s="54"/>
      <c r="R142" s="18">
        <v>900</v>
      </c>
      <c r="S142" s="54"/>
      <c r="T142" s="12"/>
      <c r="U142" s="54">
        <v>900</v>
      </c>
      <c r="V142" s="54"/>
      <c r="W142" s="66">
        <f t="shared" si="16"/>
        <v>900</v>
      </c>
      <c r="X142" s="206">
        <v>1122</v>
      </c>
      <c r="Y142" s="207">
        <v>1354.4</v>
      </c>
      <c r="Z142" s="8">
        <f t="shared" si="17"/>
        <v>1009800</v>
      </c>
      <c r="AA142" s="122">
        <f t="shared" si="18"/>
        <v>1218960</v>
      </c>
      <c r="AB142" s="54"/>
    </row>
    <row r="143" spans="1:28" s="116" customFormat="1" x14ac:dyDescent="0.25">
      <c r="A143" s="92" t="s">
        <v>513</v>
      </c>
      <c r="B143" s="92" t="s">
        <v>514</v>
      </c>
      <c r="C143" s="92">
        <v>200</v>
      </c>
      <c r="D143" s="92"/>
      <c r="E143" s="92">
        <v>100</v>
      </c>
      <c r="F143" s="92">
        <v>150</v>
      </c>
      <c r="G143" s="92">
        <f>VLOOKUP(A143,'[1]yourspreadsheetname (1)'!$A$2:$C$968, 3, FALSE)</f>
        <v>0</v>
      </c>
      <c r="H143" s="92">
        <v>0</v>
      </c>
      <c r="I143" s="92"/>
      <c r="J143" s="92"/>
      <c r="K143" s="92">
        <v>775800</v>
      </c>
      <c r="L143" s="404"/>
      <c r="M143" s="60" t="s">
        <v>285</v>
      </c>
      <c r="N143" s="64" t="s">
        <v>791</v>
      </c>
      <c r="O143" s="54">
        <v>19</v>
      </c>
      <c r="P143" s="96"/>
      <c r="Q143" s="96"/>
      <c r="R143" s="18">
        <v>1100</v>
      </c>
      <c r="S143" s="54"/>
      <c r="T143" s="12"/>
      <c r="U143" s="54"/>
      <c r="V143" s="54"/>
      <c r="W143" s="66">
        <f t="shared" si="16"/>
        <v>0</v>
      </c>
      <c r="X143" s="206">
        <v>263.5</v>
      </c>
      <c r="Y143" s="207">
        <v>398</v>
      </c>
      <c r="Z143" s="8">
        <f t="shared" si="17"/>
        <v>289850</v>
      </c>
      <c r="AA143" s="122">
        <f t="shared" si="18"/>
        <v>0</v>
      </c>
      <c r="AB143" s="54"/>
    </row>
    <row r="144" spans="1:28" s="116" customFormat="1" x14ac:dyDescent="0.25">
      <c r="A144" s="54" t="s">
        <v>515</v>
      </c>
      <c r="B144" s="54" t="s">
        <v>516</v>
      </c>
      <c r="C144" s="54"/>
      <c r="D144" s="54"/>
      <c r="E144" s="54">
        <v>1300</v>
      </c>
      <c r="F144" s="54">
        <v>1500</v>
      </c>
      <c r="G144" s="54" t="e">
        <f>VLOOKUP(A144,'[1]yourspreadsheetname (1)'!$A$2:$C$968, 3, FALSE)</f>
        <v>#N/A</v>
      </c>
      <c r="H144" s="54">
        <v>12800</v>
      </c>
      <c r="I144" s="54"/>
      <c r="J144" s="96"/>
      <c r="K144" s="54">
        <v>775800</v>
      </c>
      <c r="L144" s="124"/>
      <c r="M144" s="96" t="s">
        <v>259</v>
      </c>
      <c r="N144" s="64" t="s">
        <v>791</v>
      </c>
      <c r="O144" s="66">
        <v>20</v>
      </c>
      <c r="P144" s="54" t="s">
        <v>2019</v>
      </c>
      <c r="Q144" s="96"/>
      <c r="R144" s="18">
        <v>9500</v>
      </c>
      <c r="S144" s="54"/>
      <c r="T144" s="12"/>
      <c r="U144" s="54">
        <v>9500</v>
      </c>
      <c r="V144" s="54"/>
      <c r="W144" s="66">
        <f t="shared" si="16"/>
        <v>9500</v>
      </c>
      <c r="X144" s="206">
        <v>346.96</v>
      </c>
      <c r="Y144" s="207">
        <v>395.7</v>
      </c>
      <c r="Z144" s="8">
        <f t="shared" si="17"/>
        <v>3296120</v>
      </c>
      <c r="AA144" s="122">
        <f t="shared" si="18"/>
        <v>3759150</v>
      </c>
      <c r="AB144" s="276"/>
    </row>
    <row r="145" spans="1:28" s="116" customFormat="1" x14ac:dyDescent="0.25">
      <c r="A145" s="474" t="s">
        <v>517</v>
      </c>
      <c r="B145" s="54" t="s">
        <v>518</v>
      </c>
      <c r="C145" s="54"/>
      <c r="D145" s="121">
        <v>150</v>
      </c>
      <c r="E145" s="121">
        <v>150</v>
      </c>
      <c r="F145" s="121">
        <v>150</v>
      </c>
      <c r="G145" s="54">
        <f>VLOOKUP(A145,'[1]yourspreadsheetname (1)'!$A$2:$C$968, 3, FALSE)</f>
        <v>0</v>
      </c>
      <c r="H145" s="54">
        <v>1500</v>
      </c>
      <c r="I145" s="54"/>
      <c r="J145" s="54"/>
      <c r="K145" s="54">
        <v>775800</v>
      </c>
      <c r="L145" s="124"/>
      <c r="M145" s="121" t="s">
        <v>259</v>
      </c>
      <c r="N145" s="64" t="s">
        <v>791</v>
      </c>
      <c r="O145" s="54">
        <v>21</v>
      </c>
      <c r="P145" s="54" t="s">
        <v>2019</v>
      </c>
      <c r="Q145" s="127"/>
      <c r="R145" s="18">
        <v>1200</v>
      </c>
      <c r="S145" s="54"/>
      <c r="T145" s="12"/>
      <c r="U145" s="125">
        <v>1200</v>
      </c>
      <c r="V145" s="130"/>
      <c r="W145" s="66">
        <f t="shared" si="16"/>
        <v>1200</v>
      </c>
      <c r="X145" s="206">
        <v>591.99</v>
      </c>
      <c r="Y145" s="207">
        <v>625</v>
      </c>
      <c r="Z145" s="8">
        <f t="shared" si="17"/>
        <v>710388</v>
      </c>
      <c r="AA145" s="122">
        <f t="shared" si="18"/>
        <v>750000</v>
      </c>
      <c r="AB145" s="130"/>
    </row>
    <row r="146" spans="1:28" s="116" customFormat="1" ht="15.75" customHeight="1" x14ac:dyDescent="0.25">
      <c r="A146" s="486" t="s">
        <v>519</v>
      </c>
      <c r="B146" s="486" t="s">
        <v>520</v>
      </c>
      <c r="C146" s="486"/>
      <c r="D146" s="92"/>
      <c r="E146" s="92">
        <v>60</v>
      </c>
      <c r="F146" s="92">
        <v>120</v>
      </c>
      <c r="G146" s="92" t="e">
        <f>VLOOKUP(A146,'[1]yourspreadsheetname (1)'!$A$2:$C$968, 3, FALSE)</f>
        <v>#N/A</v>
      </c>
      <c r="H146" s="92">
        <v>660</v>
      </c>
      <c r="I146" s="92"/>
      <c r="J146" s="92"/>
      <c r="K146" s="92">
        <v>775800</v>
      </c>
      <c r="L146" s="92"/>
      <c r="M146" s="245" t="s">
        <v>263</v>
      </c>
      <c r="N146" s="64" t="s">
        <v>791</v>
      </c>
      <c r="O146" s="66">
        <v>22</v>
      </c>
      <c r="P146" s="54"/>
      <c r="Q146" s="83"/>
      <c r="R146" s="18">
        <v>900</v>
      </c>
      <c r="S146" s="54"/>
      <c r="T146" s="12"/>
      <c r="U146" s="54"/>
      <c r="V146" s="54"/>
      <c r="W146" s="66">
        <f t="shared" si="16"/>
        <v>0</v>
      </c>
      <c r="X146" s="206">
        <v>1056</v>
      </c>
      <c r="Y146" s="207">
        <v>2389.9899999999998</v>
      </c>
      <c r="Z146" s="8">
        <f t="shared" si="17"/>
        <v>950400</v>
      </c>
      <c r="AA146" s="122">
        <f t="shared" si="18"/>
        <v>0</v>
      </c>
      <c r="AB146" s="54"/>
    </row>
    <row r="147" spans="1:28" s="132" customFormat="1" x14ac:dyDescent="0.25">
      <c r="A147" s="92" t="s">
        <v>472</v>
      </c>
      <c r="B147" s="92" t="s">
        <v>473</v>
      </c>
      <c r="C147" s="92">
        <v>750</v>
      </c>
      <c r="D147" s="92">
        <v>500</v>
      </c>
      <c r="E147" s="92">
        <v>500</v>
      </c>
      <c r="F147" s="92">
        <v>450</v>
      </c>
      <c r="G147" s="92">
        <f>VLOOKUP(A147,'[1]yourspreadsheetname (1)'!$A$2:$C$968, 3, FALSE)</f>
        <v>1400</v>
      </c>
      <c r="H147" s="92">
        <v>3000</v>
      </c>
      <c r="I147" s="92"/>
      <c r="J147" s="92"/>
      <c r="K147" s="92">
        <v>775800</v>
      </c>
      <c r="L147" s="92"/>
      <c r="M147" s="245" t="s">
        <v>259</v>
      </c>
      <c r="N147" s="64" t="s">
        <v>791</v>
      </c>
      <c r="O147" s="54">
        <v>23</v>
      </c>
      <c r="P147" s="54"/>
      <c r="Q147" s="54"/>
      <c r="R147" s="18">
        <v>2700</v>
      </c>
      <c r="S147" s="54">
        <v>2000</v>
      </c>
      <c r="T147" s="12"/>
      <c r="U147" s="54"/>
      <c r="V147" s="54"/>
      <c r="W147" s="66">
        <f>U147+V147</f>
        <v>0</v>
      </c>
      <c r="X147" s="206">
        <v>192.15</v>
      </c>
      <c r="Y147" s="207">
        <v>278</v>
      </c>
      <c r="Z147" s="8">
        <f>R147*X147</f>
        <v>518805</v>
      </c>
      <c r="AA147" s="122">
        <f>W147*Y147</f>
        <v>0</v>
      </c>
      <c r="AB147" s="54"/>
    </row>
    <row r="148" spans="1:28" s="4" customFormat="1" x14ac:dyDescent="0.25">
      <c r="A148" s="569" t="s">
        <v>484</v>
      </c>
      <c r="B148" s="54" t="s">
        <v>485</v>
      </c>
      <c r="C148" s="66">
        <v>3000</v>
      </c>
      <c r="D148" s="66">
        <v>2560</v>
      </c>
      <c r="E148" s="66">
        <v>3000</v>
      </c>
      <c r="F148" s="66">
        <v>3000</v>
      </c>
      <c r="G148" s="54">
        <f>VLOOKUP(A148,'[1]yourspreadsheetname (1)'!$A$2:$C$968, 3, FALSE)</f>
        <v>12000</v>
      </c>
      <c r="H148" s="273">
        <v>24300</v>
      </c>
      <c r="I148" s="201"/>
      <c r="J148" s="384" t="s">
        <v>486</v>
      </c>
      <c r="K148" s="54">
        <v>775800</v>
      </c>
      <c r="L148" s="66"/>
      <c r="M148" s="63" t="s">
        <v>1933</v>
      </c>
      <c r="N148" s="273"/>
      <c r="O148" s="66"/>
      <c r="P148" s="66"/>
      <c r="Q148" s="63"/>
      <c r="R148" s="18">
        <v>16500</v>
      </c>
      <c r="S148" s="66"/>
      <c r="T148" s="66"/>
      <c r="U148" s="66"/>
      <c r="V148" s="63"/>
      <c r="W148" s="66">
        <f>U148+V148</f>
        <v>0</v>
      </c>
      <c r="X148" s="140">
        <v>176.99</v>
      </c>
      <c r="Y148" s="141">
        <v>231</v>
      </c>
      <c r="Z148" s="8">
        <f>R148*X148</f>
        <v>2920335</v>
      </c>
      <c r="AA148" s="122">
        <f>W148*Y148</f>
        <v>0</v>
      </c>
      <c r="AB148" s="38"/>
    </row>
    <row r="149" spans="1:28" s="4" customFormat="1" x14ac:dyDescent="0.25">
      <c r="A149" s="388" t="s">
        <v>491</v>
      </c>
      <c r="B149" s="63" t="s">
        <v>492</v>
      </c>
      <c r="C149" s="66"/>
      <c r="D149" s="66">
        <v>500</v>
      </c>
      <c r="E149" s="66">
        <v>1000</v>
      </c>
      <c r="F149" s="66">
        <v>1000</v>
      </c>
      <c r="G149" s="54">
        <f>VLOOKUP(A149,'[1]yourspreadsheetname (1)'!$A$2:$C$968, 3, FALSE)</f>
        <v>0</v>
      </c>
      <c r="H149" s="273">
        <v>7000</v>
      </c>
      <c r="I149" s="628"/>
      <c r="J149" s="384" t="s">
        <v>486</v>
      </c>
      <c r="K149" s="54">
        <v>775800</v>
      </c>
      <c r="L149" s="64"/>
      <c r="M149" s="66" t="s">
        <v>1933</v>
      </c>
      <c r="N149" s="273"/>
      <c r="O149" s="66"/>
      <c r="P149" s="54"/>
      <c r="Q149" s="66"/>
      <c r="R149" s="18">
        <v>4000</v>
      </c>
      <c r="S149" s="66"/>
      <c r="T149" s="66"/>
      <c r="U149" s="66"/>
      <c r="V149" s="66"/>
      <c r="W149" s="66">
        <f>U149+V149</f>
        <v>0</v>
      </c>
      <c r="X149" s="140">
        <v>173.4</v>
      </c>
      <c r="Y149" s="141">
        <v>239.99</v>
      </c>
      <c r="Z149" s="8">
        <f>R149*X149</f>
        <v>693600</v>
      </c>
      <c r="AA149" s="122">
        <f>W149*Y149</f>
        <v>0</v>
      </c>
      <c r="AB149" s="103"/>
    </row>
    <row r="150" spans="1:28" s="4" customFormat="1" x14ac:dyDescent="0.25">
      <c r="A150" s="66" t="s">
        <v>499</v>
      </c>
      <c r="B150" s="66" t="s">
        <v>500</v>
      </c>
      <c r="C150" s="66">
        <v>120</v>
      </c>
      <c r="D150" s="66">
        <v>20</v>
      </c>
      <c r="E150" s="66">
        <v>25</v>
      </c>
      <c r="F150" s="66">
        <v>25</v>
      </c>
      <c r="G150" s="54" t="e">
        <f>VLOOKUP(A150,'[1]yourspreadsheetname (1)'!$A$2:$C$968, 3, FALSE)</f>
        <v>#N/A</v>
      </c>
      <c r="H150" s="273">
        <v>400</v>
      </c>
      <c r="I150" s="199"/>
      <c r="J150" s="384" t="s">
        <v>486</v>
      </c>
      <c r="K150" s="54">
        <v>775800</v>
      </c>
      <c r="L150" s="64"/>
      <c r="M150" s="66" t="s">
        <v>1933</v>
      </c>
      <c r="N150" s="273"/>
      <c r="O150" s="66"/>
      <c r="P150" s="66"/>
      <c r="Q150" s="66"/>
      <c r="R150" s="18">
        <v>140</v>
      </c>
      <c r="S150" s="66"/>
      <c r="T150" s="66"/>
      <c r="U150" s="66"/>
      <c r="V150" s="66"/>
      <c r="W150" s="66">
        <f>U150+V150</f>
        <v>0</v>
      </c>
      <c r="X150" s="140">
        <v>520.15</v>
      </c>
      <c r="Y150" s="141">
        <v>892.82</v>
      </c>
      <c r="Z150" s="8">
        <f>R150*X150</f>
        <v>72821</v>
      </c>
      <c r="AA150" s="122">
        <f>W150*Y150</f>
        <v>0</v>
      </c>
      <c r="AB150" s="22"/>
    </row>
    <row r="151" spans="1:28" s="617" customFormat="1" ht="15.75" customHeight="1" x14ac:dyDescent="0.25">
      <c r="A151" s="619"/>
      <c r="B151" s="619"/>
      <c r="C151" s="236"/>
      <c r="D151" s="236"/>
      <c r="E151" s="236"/>
      <c r="F151" s="236"/>
      <c r="G151" s="236"/>
      <c r="H151" s="606"/>
      <c r="I151" s="236"/>
      <c r="J151" s="236"/>
      <c r="K151" s="236"/>
      <c r="L151" s="236"/>
      <c r="M151" s="236"/>
      <c r="N151" s="372"/>
      <c r="O151" s="236"/>
      <c r="P151" s="236"/>
      <c r="Q151" s="236"/>
      <c r="R151" s="327"/>
      <c r="S151" s="606"/>
      <c r="T151" s="606"/>
      <c r="U151" s="236"/>
      <c r="V151" s="236"/>
      <c r="W151" s="327">
        <f t="shared" si="16"/>
        <v>0</v>
      </c>
      <c r="X151" s="625"/>
      <c r="Y151" s="612"/>
      <c r="Z151" s="331">
        <f t="shared" si="17"/>
        <v>0</v>
      </c>
      <c r="AA151" s="374">
        <f t="shared" si="18"/>
        <v>0</v>
      </c>
      <c r="AB151" s="236"/>
    </row>
    <row r="152" spans="1:28" s="90" customFormat="1" x14ac:dyDescent="0.25">
      <c r="A152" s="54" t="s">
        <v>521</v>
      </c>
      <c r="B152" s="54" t="s">
        <v>522</v>
      </c>
      <c r="C152" s="54">
        <v>10</v>
      </c>
      <c r="D152" s="54"/>
      <c r="E152" s="54">
        <v>2</v>
      </c>
      <c r="F152" s="54"/>
      <c r="G152" s="54">
        <f>VLOOKUP(A152,'[1]yourspreadsheetname (1)'!$A$2:$C$968, 3, FALSE)</f>
        <v>0</v>
      </c>
      <c r="H152" s="535">
        <v>70</v>
      </c>
      <c r="I152" s="54"/>
      <c r="J152" s="54"/>
      <c r="K152" s="54"/>
      <c r="L152" s="54"/>
      <c r="M152" s="54"/>
      <c r="N152" s="64"/>
      <c r="O152" s="54"/>
      <c r="P152" s="12"/>
      <c r="Q152" s="12"/>
      <c r="R152" s="18">
        <v>10</v>
      </c>
      <c r="S152" s="223"/>
      <c r="T152" s="223"/>
      <c r="U152" s="12"/>
      <c r="V152" s="12"/>
      <c r="W152" s="66">
        <f t="shared" si="16"/>
        <v>0</v>
      </c>
      <c r="X152" s="144">
        <v>27333</v>
      </c>
      <c r="Y152" s="119">
        <v>115533.26</v>
      </c>
      <c r="Z152" s="8">
        <f t="shared" si="17"/>
        <v>273330</v>
      </c>
      <c r="AA152" s="122">
        <f t="shared" si="18"/>
        <v>0</v>
      </c>
      <c r="AB152" s="12"/>
    </row>
    <row r="153" spans="1:28" s="132" customFormat="1" x14ac:dyDescent="0.25">
      <c r="A153" s="66" t="s">
        <v>523</v>
      </c>
      <c r="B153" s="54" t="s">
        <v>524</v>
      </c>
      <c r="C153" s="66">
        <v>1</v>
      </c>
      <c r="D153" s="66"/>
      <c r="E153" s="66">
        <v>1</v>
      </c>
      <c r="F153" s="209">
        <v>1</v>
      </c>
      <c r="G153" s="54">
        <v>0</v>
      </c>
      <c r="H153" s="66">
        <v>5</v>
      </c>
      <c r="I153" s="623"/>
      <c r="J153" s="173" t="s">
        <v>122</v>
      </c>
      <c r="K153" s="96"/>
      <c r="L153" s="626"/>
      <c r="M153" s="96"/>
      <c r="N153" s="273"/>
      <c r="O153" s="96"/>
      <c r="P153" s="676"/>
      <c r="Q153" s="676"/>
      <c r="R153" s="66">
        <v>5</v>
      </c>
      <c r="S153" s="677"/>
      <c r="T153" s="66"/>
      <c r="U153" s="66"/>
      <c r="V153" s="63"/>
      <c r="W153" s="66">
        <f t="shared" si="16"/>
        <v>0</v>
      </c>
      <c r="X153" s="189"/>
      <c r="Y153" s="190"/>
      <c r="Z153" s="8">
        <f t="shared" si="17"/>
        <v>0</v>
      </c>
      <c r="AA153" s="122">
        <f t="shared" si="18"/>
        <v>0</v>
      </c>
      <c r="AB153" s="37"/>
    </row>
    <row r="154" spans="1:28" s="132" customFormat="1" x14ac:dyDescent="0.25">
      <c r="A154" s="63" t="s">
        <v>525</v>
      </c>
      <c r="B154" s="63" t="s">
        <v>526</v>
      </c>
      <c r="C154" s="63">
        <v>5</v>
      </c>
      <c r="D154" s="63"/>
      <c r="E154" s="63">
        <v>1</v>
      </c>
      <c r="F154" s="333">
        <v>1</v>
      </c>
      <c r="G154" s="54">
        <f>VLOOKUP(A154,'[1]yourspreadsheetname (1)'!$A$2:$C$968, 3, FALSE)</f>
        <v>6</v>
      </c>
      <c r="H154" s="66">
        <v>6</v>
      </c>
      <c r="I154" s="169"/>
      <c r="J154" s="173" t="s">
        <v>122</v>
      </c>
      <c r="K154" s="96"/>
      <c r="L154" s="274"/>
      <c r="M154" s="66"/>
      <c r="N154" s="64"/>
      <c r="O154" s="66"/>
      <c r="P154" s="18"/>
      <c r="Q154" s="18"/>
      <c r="R154" s="66">
        <v>4</v>
      </c>
      <c r="S154" s="18"/>
      <c r="T154" s="18"/>
      <c r="U154" s="63"/>
      <c r="V154" s="63"/>
      <c r="W154" s="66">
        <f t="shared" si="16"/>
        <v>0</v>
      </c>
      <c r="X154" s="118">
        <v>160045</v>
      </c>
      <c r="Y154" s="117">
        <v>438381.44</v>
      </c>
      <c r="Z154" s="8">
        <f t="shared" si="17"/>
        <v>640180</v>
      </c>
      <c r="AA154" s="122">
        <f t="shared" si="18"/>
        <v>0</v>
      </c>
      <c r="AB154" s="37"/>
    </row>
    <row r="155" spans="1:28" s="116" customFormat="1" x14ac:dyDescent="0.25">
      <c r="A155" s="323" t="s">
        <v>527</v>
      </c>
      <c r="B155" s="63" t="s">
        <v>528</v>
      </c>
      <c r="C155" s="63"/>
      <c r="D155" s="63"/>
      <c r="E155" s="63"/>
      <c r="F155" s="333">
        <v>1</v>
      </c>
      <c r="G155" s="54">
        <v>0</v>
      </c>
      <c r="H155" s="66">
        <v>0</v>
      </c>
      <c r="I155" s="169"/>
      <c r="J155" s="173"/>
      <c r="K155" s="96"/>
      <c r="L155" s="274"/>
      <c r="M155" s="66"/>
      <c r="N155" s="64"/>
      <c r="O155" s="66"/>
      <c r="P155" s="18"/>
      <c r="Q155" s="18"/>
      <c r="R155" s="66">
        <v>6</v>
      </c>
      <c r="S155" s="18"/>
      <c r="T155" s="18"/>
      <c r="U155" s="6"/>
      <c r="V155" s="6"/>
      <c r="W155" s="66">
        <f t="shared" si="16"/>
        <v>0</v>
      </c>
      <c r="X155" s="118">
        <v>985500</v>
      </c>
      <c r="Y155" s="117">
        <v>1786892.01</v>
      </c>
      <c r="Z155" s="8">
        <f t="shared" si="17"/>
        <v>5913000</v>
      </c>
      <c r="AA155" s="122">
        <f t="shared" si="18"/>
        <v>0</v>
      </c>
      <c r="AB155" s="18"/>
    </row>
    <row r="156" spans="1:28" s="132" customFormat="1" x14ac:dyDescent="0.25">
      <c r="A156" s="66" t="s">
        <v>529</v>
      </c>
      <c r="B156" s="66" t="s">
        <v>530</v>
      </c>
      <c r="C156" s="66">
        <v>7</v>
      </c>
      <c r="D156" s="66"/>
      <c r="E156" s="66">
        <v>6</v>
      </c>
      <c r="F156" s="169">
        <v>6</v>
      </c>
      <c r="G156" s="54">
        <f>VLOOKUP(A156,'[1]yourspreadsheetname (1)'!$A$2:$C$968, 3, FALSE)</f>
        <v>0</v>
      </c>
      <c r="H156" s="66">
        <v>36</v>
      </c>
      <c r="I156" s="169"/>
      <c r="J156" s="173" t="s">
        <v>122</v>
      </c>
      <c r="K156" s="96"/>
      <c r="L156" s="274"/>
      <c r="M156" s="66"/>
      <c r="N156" s="336"/>
      <c r="O156" s="66"/>
      <c r="P156" s="18"/>
      <c r="Q156" s="18"/>
      <c r="R156" s="66">
        <v>36</v>
      </c>
      <c r="S156" s="18"/>
      <c r="T156" s="66"/>
      <c r="U156" s="66"/>
      <c r="V156" s="66"/>
      <c r="W156" s="66">
        <f t="shared" si="16"/>
        <v>0</v>
      </c>
      <c r="X156" s="118">
        <v>1249</v>
      </c>
      <c r="Y156" s="117">
        <v>1486.95</v>
      </c>
      <c r="Z156" s="8">
        <f t="shared" si="17"/>
        <v>44964</v>
      </c>
      <c r="AA156" s="122">
        <f t="shared" si="18"/>
        <v>0</v>
      </c>
      <c r="AB156" s="37"/>
    </row>
    <row r="157" spans="1:28" s="116" customFormat="1" x14ac:dyDescent="0.25">
      <c r="A157" s="323" t="s">
        <v>531</v>
      </c>
      <c r="B157" s="63" t="s">
        <v>532</v>
      </c>
      <c r="C157" s="276"/>
      <c r="D157" s="276"/>
      <c r="E157" s="276"/>
      <c r="F157" s="633"/>
      <c r="G157" s="54">
        <f>VLOOKUP(A157,'[1]yourspreadsheetname (1)'!$A$2:$C$968, 3, FALSE)</f>
        <v>0</v>
      </c>
      <c r="H157" s="276"/>
      <c r="I157" s="209"/>
      <c r="J157" s="276"/>
      <c r="K157" s="96"/>
      <c r="L157" s="471"/>
      <c r="M157" s="323"/>
      <c r="N157" s="171"/>
      <c r="O157" s="171"/>
      <c r="P157" s="171"/>
      <c r="Q157" s="77"/>
      <c r="R157" s="77">
        <v>180</v>
      </c>
      <c r="S157" s="77"/>
      <c r="T157" s="77"/>
      <c r="U157" s="77"/>
      <c r="V157" s="31"/>
      <c r="W157" s="66">
        <f t="shared" ref="W157:W186" si="19">U157+V157</f>
        <v>0</v>
      </c>
      <c r="X157" s="265">
        <v>7078</v>
      </c>
      <c r="Y157" s="36">
        <v>9177.5</v>
      </c>
      <c r="Z157" s="8">
        <f t="shared" ref="Z157:Z186" si="20">R157*X157</f>
        <v>1274040</v>
      </c>
      <c r="AA157" s="122">
        <f t="shared" ref="AA157:AA186" si="21">W157*Y157</f>
        <v>0</v>
      </c>
      <c r="AB157" s="37"/>
    </row>
    <row r="158" spans="1:28" s="116" customFormat="1" ht="26.25" customHeight="1" x14ac:dyDescent="0.25">
      <c r="A158" s="96" t="s">
        <v>533</v>
      </c>
      <c r="B158" s="96" t="s">
        <v>534</v>
      </c>
      <c r="C158" s="96">
        <v>30</v>
      </c>
      <c r="D158" s="63"/>
      <c r="E158" s="63">
        <v>2</v>
      </c>
      <c r="F158" s="169"/>
      <c r="G158" s="54">
        <f>VLOOKUP(A158,'[1]yourspreadsheetname (1)'!$A$2:$C$968, 3, FALSE)</f>
        <v>0</v>
      </c>
      <c r="H158" s="66">
        <v>10</v>
      </c>
      <c r="I158" s="169"/>
      <c r="J158" s="173" t="s">
        <v>122</v>
      </c>
      <c r="K158" s="96"/>
      <c r="L158" s="274"/>
      <c r="M158" s="66"/>
      <c r="N158" s="336"/>
      <c r="O158" s="66"/>
      <c r="P158" s="18"/>
      <c r="Q158" s="18"/>
      <c r="R158" s="66">
        <v>12</v>
      </c>
      <c r="S158" s="18"/>
      <c r="T158" s="63"/>
      <c r="U158" s="63"/>
      <c r="V158" s="63"/>
      <c r="W158" s="66">
        <f t="shared" si="19"/>
        <v>0</v>
      </c>
      <c r="X158" s="118">
        <v>182.26</v>
      </c>
      <c r="Y158" s="117">
        <v>174.7</v>
      </c>
      <c r="Z158" s="8">
        <f t="shared" si="20"/>
        <v>2187.12</v>
      </c>
      <c r="AA158" s="122">
        <f t="shared" si="21"/>
        <v>0</v>
      </c>
      <c r="AB158" s="37"/>
    </row>
    <row r="159" spans="1:28" s="116" customFormat="1" x14ac:dyDescent="0.25">
      <c r="A159" s="273" t="s">
        <v>535</v>
      </c>
      <c r="B159" s="273" t="s">
        <v>536</v>
      </c>
      <c r="C159" s="273"/>
      <c r="D159" s="273"/>
      <c r="E159" s="66">
        <v>30</v>
      </c>
      <c r="F159" s="66">
        <v>25</v>
      </c>
      <c r="G159" s="66">
        <v>0</v>
      </c>
      <c r="H159" s="319">
        <v>180</v>
      </c>
      <c r="I159" s="273"/>
      <c r="J159" s="66" t="s">
        <v>122</v>
      </c>
      <c r="K159" s="187"/>
      <c r="L159" s="66"/>
      <c r="M159" s="63"/>
      <c r="N159" s="64"/>
      <c r="O159" s="66"/>
      <c r="P159" s="66"/>
      <c r="Q159" s="66"/>
      <c r="R159" s="52">
        <v>120</v>
      </c>
      <c r="S159" s="186"/>
      <c r="T159" s="186"/>
      <c r="U159" s="66"/>
      <c r="V159" s="63"/>
      <c r="W159" s="66">
        <f t="shared" si="19"/>
        <v>0</v>
      </c>
      <c r="X159" s="67">
        <v>3850</v>
      </c>
      <c r="Y159" s="65"/>
      <c r="Z159" s="8">
        <f t="shared" si="20"/>
        <v>462000</v>
      </c>
      <c r="AA159" s="122">
        <f t="shared" si="21"/>
        <v>0</v>
      </c>
      <c r="AB159" s="172"/>
    </row>
    <row r="160" spans="1:28" s="4" customFormat="1" x14ac:dyDescent="0.25">
      <c r="A160" s="66" t="s">
        <v>537</v>
      </c>
      <c r="B160" s="66" t="s">
        <v>538</v>
      </c>
      <c r="C160" s="66"/>
      <c r="D160" s="210"/>
      <c r="E160" s="210">
        <v>24</v>
      </c>
      <c r="F160" s="210"/>
      <c r="G160" s="171">
        <v>0</v>
      </c>
      <c r="H160" s="66">
        <v>140</v>
      </c>
      <c r="I160" s="169"/>
      <c r="J160" s="173" t="s">
        <v>122</v>
      </c>
      <c r="K160" s="66"/>
      <c r="L160" s="274"/>
      <c r="M160" s="66"/>
      <c r="N160" s="336"/>
      <c r="O160" s="66"/>
      <c r="P160" s="18"/>
      <c r="Q160" s="6"/>
      <c r="R160" s="66">
        <v>42</v>
      </c>
      <c r="S160" s="19"/>
      <c r="T160" s="19"/>
      <c r="U160" s="18"/>
      <c r="V160" s="6"/>
      <c r="W160" s="66">
        <f t="shared" si="19"/>
        <v>0</v>
      </c>
      <c r="X160" s="118">
        <v>102202</v>
      </c>
      <c r="Y160" s="117">
        <v>213018.5</v>
      </c>
      <c r="Z160" s="8">
        <f t="shared" si="20"/>
        <v>4292484</v>
      </c>
      <c r="AA160" s="122">
        <f t="shared" si="21"/>
        <v>0</v>
      </c>
      <c r="AB160" s="18"/>
    </row>
    <row r="161" spans="1:28" s="4" customFormat="1" x14ac:dyDescent="0.25">
      <c r="A161" s="66" t="s">
        <v>539</v>
      </c>
      <c r="B161" s="66" t="s">
        <v>540</v>
      </c>
      <c r="C161" s="66"/>
      <c r="D161" s="210"/>
      <c r="E161" s="210">
        <v>12</v>
      </c>
      <c r="F161" s="210"/>
      <c r="G161" s="171">
        <v>0</v>
      </c>
      <c r="H161" s="66">
        <v>60</v>
      </c>
      <c r="I161" s="169"/>
      <c r="J161" s="173" t="s">
        <v>122</v>
      </c>
      <c r="K161" s="66"/>
      <c r="L161" s="274"/>
      <c r="M161" s="66"/>
      <c r="N161" s="336"/>
      <c r="O161" s="66"/>
      <c r="P161" s="18"/>
      <c r="Q161" s="6"/>
      <c r="R161" s="66">
        <v>20</v>
      </c>
      <c r="S161" s="19"/>
      <c r="T161" s="19"/>
      <c r="U161" s="18"/>
      <c r="V161" s="6"/>
      <c r="W161" s="66">
        <f t="shared" si="19"/>
        <v>0</v>
      </c>
      <c r="X161" s="118">
        <v>511183</v>
      </c>
      <c r="Y161" s="117">
        <v>1214425.45</v>
      </c>
      <c r="Z161" s="8">
        <f t="shared" si="20"/>
        <v>10223660</v>
      </c>
      <c r="AA161" s="122">
        <f t="shared" si="21"/>
        <v>0</v>
      </c>
      <c r="AB161" s="18"/>
    </row>
    <row r="162" spans="1:28" s="4" customFormat="1" x14ac:dyDescent="0.25">
      <c r="A162" s="68" t="s">
        <v>541</v>
      </c>
      <c r="B162" s="54" t="s">
        <v>542</v>
      </c>
      <c r="C162" s="64"/>
      <c r="D162" s="54"/>
      <c r="E162" s="54"/>
      <c r="F162" s="54">
        <v>40</v>
      </c>
      <c r="G162" s="171">
        <v>0</v>
      </c>
      <c r="H162" s="68"/>
      <c r="I162" s="66">
        <v>0</v>
      </c>
      <c r="J162" s="129" t="s">
        <v>122</v>
      </c>
      <c r="K162" s="174"/>
      <c r="L162" s="66"/>
      <c r="M162" s="66"/>
      <c r="N162" s="64"/>
      <c r="O162" s="66"/>
      <c r="P162" s="6"/>
      <c r="Q162" s="18"/>
      <c r="R162" s="19">
        <v>320</v>
      </c>
      <c r="S162" s="18"/>
      <c r="T162" s="18"/>
      <c r="U162" s="275"/>
      <c r="V162" s="18"/>
      <c r="W162" s="66">
        <f t="shared" si="19"/>
        <v>0</v>
      </c>
      <c r="X162" s="118">
        <v>6300</v>
      </c>
      <c r="Y162" s="117"/>
      <c r="Z162" s="8">
        <f t="shared" si="20"/>
        <v>2016000</v>
      </c>
      <c r="AA162" s="122">
        <f t="shared" si="21"/>
        <v>0</v>
      </c>
      <c r="AB162" s="18"/>
    </row>
    <row r="163" spans="1:28" s="116" customFormat="1" x14ac:dyDescent="0.25">
      <c r="A163" s="171" t="s">
        <v>543</v>
      </c>
      <c r="B163" s="631" t="s">
        <v>544</v>
      </c>
      <c r="C163" s="276"/>
      <c r="D163" s="54">
        <v>2</v>
      </c>
      <c r="E163" s="166">
        <v>2</v>
      </c>
      <c r="F163" s="171">
        <v>2</v>
      </c>
      <c r="G163" s="54">
        <f>VLOOKUP(A163,'[1]yourspreadsheetname (1)'!$A$2:$C$968, 3, FALSE)</f>
        <v>0</v>
      </c>
      <c r="H163" s="66">
        <v>10</v>
      </c>
      <c r="I163" s="66"/>
      <c r="J163" s="173" t="s">
        <v>122</v>
      </c>
      <c r="K163" s="66"/>
      <c r="L163" s="66"/>
      <c r="M163" s="63"/>
      <c r="N163" s="336"/>
      <c r="O163" s="66"/>
      <c r="P163" s="6"/>
      <c r="Q163" s="6"/>
      <c r="R163" s="66">
        <v>10</v>
      </c>
      <c r="S163" s="18"/>
      <c r="T163" s="54"/>
      <c r="U163" s="54"/>
      <c r="V163" s="54"/>
      <c r="W163" s="66">
        <f t="shared" si="19"/>
        <v>0</v>
      </c>
      <c r="X163" s="118">
        <v>284500</v>
      </c>
      <c r="Y163" s="117">
        <v>328559</v>
      </c>
      <c r="Z163" s="8">
        <f t="shared" si="20"/>
        <v>2845000</v>
      </c>
      <c r="AA163" s="122">
        <f t="shared" si="21"/>
        <v>0</v>
      </c>
      <c r="AB163" s="6"/>
    </row>
    <row r="164" spans="1:28" s="132" customFormat="1" x14ac:dyDescent="0.25">
      <c r="A164" s="66" t="s">
        <v>545</v>
      </c>
      <c r="B164" s="66" t="s">
        <v>546</v>
      </c>
      <c r="C164" s="66">
        <v>20</v>
      </c>
      <c r="D164" s="66">
        <v>15</v>
      </c>
      <c r="E164" s="66">
        <v>20</v>
      </c>
      <c r="F164" s="169">
        <v>20</v>
      </c>
      <c r="G164" s="54">
        <f>VLOOKUP(A164,'[1]yourspreadsheetname (1)'!$A$2:$C$968, 3, FALSE)</f>
        <v>0</v>
      </c>
      <c r="H164" s="66">
        <v>120</v>
      </c>
      <c r="I164" s="169"/>
      <c r="J164" s="173" t="s">
        <v>122</v>
      </c>
      <c r="K164" s="66"/>
      <c r="L164" s="274"/>
      <c r="M164" s="66"/>
      <c r="N164" s="336"/>
      <c r="O164" s="66"/>
      <c r="P164" s="18"/>
      <c r="Q164" s="18"/>
      <c r="R164" s="66">
        <f>((F164*15)-G164-I164)/2</f>
        <v>150</v>
      </c>
      <c r="S164" s="18"/>
      <c r="T164" s="63"/>
      <c r="U164" s="63"/>
      <c r="V164" s="63"/>
      <c r="W164" s="66">
        <f t="shared" si="19"/>
        <v>0</v>
      </c>
      <c r="X164" s="118">
        <v>174.75</v>
      </c>
      <c r="Y164" s="117">
        <v>29250</v>
      </c>
      <c r="Z164" s="8">
        <f t="shared" si="20"/>
        <v>26212.5</v>
      </c>
      <c r="AA164" s="122">
        <f t="shared" si="21"/>
        <v>0</v>
      </c>
      <c r="AB164" s="37"/>
    </row>
    <row r="165" spans="1:28" s="90" customFormat="1" x14ac:dyDescent="0.25">
      <c r="A165" s="54" t="s">
        <v>547</v>
      </c>
      <c r="B165" s="54" t="s">
        <v>548</v>
      </c>
      <c r="C165" s="54"/>
      <c r="D165" s="54"/>
      <c r="E165" s="54">
        <v>10</v>
      </c>
      <c r="F165" s="54">
        <v>10</v>
      </c>
      <c r="G165" s="54">
        <v>0</v>
      </c>
      <c r="H165" s="535">
        <v>110</v>
      </c>
      <c r="I165" s="54"/>
      <c r="J165" s="126"/>
      <c r="K165" s="54"/>
      <c r="L165" s="54"/>
      <c r="M165" s="64"/>
      <c r="N165" s="64"/>
      <c r="O165" s="54"/>
      <c r="P165" s="12"/>
      <c r="Q165" s="12"/>
      <c r="R165" s="18">
        <v>60</v>
      </c>
      <c r="S165" s="12"/>
      <c r="T165" s="12"/>
      <c r="U165" s="12"/>
      <c r="V165" s="29"/>
      <c r="W165" s="66">
        <f t="shared" si="19"/>
        <v>0</v>
      </c>
      <c r="X165" s="144">
        <v>2180</v>
      </c>
      <c r="Y165" s="119">
        <v>4227.4799999999996</v>
      </c>
      <c r="Z165" s="8">
        <f t="shared" si="20"/>
        <v>130800</v>
      </c>
      <c r="AA165" s="122">
        <f t="shared" si="21"/>
        <v>0</v>
      </c>
      <c r="AB165" s="217"/>
    </row>
    <row r="166" spans="1:28" s="90" customFormat="1" x14ac:dyDescent="0.25">
      <c r="A166" s="81" t="s">
        <v>549</v>
      </c>
      <c r="B166" s="81" t="s">
        <v>550</v>
      </c>
      <c r="C166" s="173"/>
      <c r="D166" s="173"/>
      <c r="E166" s="173">
        <v>2</v>
      </c>
      <c r="F166" s="173">
        <v>1</v>
      </c>
      <c r="G166" s="54">
        <v>0</v>
      </c>
      <c r="H166" s="535">
        <v>0</v>
      </c>
      <c r="I166" s="173"/>
      <c r="J166" s="173"/>
      <c r="K166" s="54"/>
      <c r="L166" s="66"/>
      <c r="M166" s="173"/>
      <c r="N166" s="64"/>
      <c r="O166" s="173"/>
      <c r="P166" s="76"/>
      <c r="Q166" s="76"/>
      <c r="R166" s="18">
        <v>6</v>
      </c>
      <c r="S166" s="76"/>
      <c r="T166" s="18"/>
      <c r="U166" s="31"/>
      <c r="V166" s="31"/>
      <c r="W166" s="66">
        <f t="shared" si="19"/>
        <v>0</v>
      </c>
      <c r="X166" s="151">
        <v>93683</v>
      </c>
      <c r="Y166" s="151">
        <v>139824</v>
      </c>
      <c r="Z166" s="8">
        <f t="shared" si="20"/>
        <v>562098</v>
      </c>
      <c r="AA166" s="122">
        <f t="shared" si="21"/>
        <v>0</v>
      </c>
      <c r="AB166" s="31"/>
    </row>
    <row r="167" spans="1:28" s="73" customFormat="1" x14ac:dyDescent="0.25">
      <c r="A167" s="127" t="s">
        <v>317</v>
      </c>
      <c r="B167" s="127" t="s">
        <v>318</v>
      </c>
      <c r="C167" s="81">
        <v>20</v>
      </c>
      <c r="D167" s="54"/>
      <c r="E167" s="54">
        <v>0</v>
      </c>
      <c r="F167" s="54">
        <v>2</v>
      </c>
      <c r="G167" s="54">
        <f>VLOOKUP(A167,'[1]yourspreadsheetname (1)'!$A$2:$C$968, 3, FALSE)</f>
        <v>7</v>
      </c>
      <c r="H167" s="535">
        <v>10</v>
      </c>
      <c r="I167" s="54"/>
      <c r="J167" s="54"/>
      <c r="K167" s="54"/>
      <c r="L167" s="54"/>
      <c r="M167" s="54"/>
      <c r="N167" s="64"/>
      <c r="O167" s="54"/>
      <c r="P167" s="12"/>
      <c r="Q167" s="12"/>
      <c r="R167" s="18">
        <v>10</v>
      </c>
      <c r="S167" s="223"/>
      <c r="T167" s="223"/>
      <c r="U167" s="12"/>
      <c r="V167" s="12"/>
      <c r="W167" s="66">
        <f t="shared" si="19"/>
        <v>0</v>
      </c>
      <c r="X167" s="144">
        <v>7132</v>
      </c>
      <c r="Y167" s="119"/>
      <c r="Z167" s="8">
        <f t="shared" si="20"/>
        <v>71320</v>
      </c>
      <c r="AA167" s="122">
        <f t="shared" si="21"/>
        <v>0</v>
      </c>
      <c r="AB167" s="12"/>
    </row>
    <row r="168" spans="1:28" s="73" customFormat="1" x14ac:dyDescent="0.25">
      <c r="A168" s="81" t="s">
        <v>219</v>
      </c>
      <c r="B168" s="82" t="s">
        <v>220</v>
      </c>
      <c r="C168" s="82">
        <v>60</v>
      </c>
      <c r="D168" s="54"/>
      <c r="E168" s="54">
        <v>80</v>
      </c>
      <c r="F168" s="54">
        <v>60</v>
      </c>
      <c r="G168" s="54">
        <f>VLOOKUP(A168,'[1]yourspreadsheetname (1)'!$A$2:$C$968, 3, FALSE)</f>
        <v>0</v>
      </c>
      <c r="H168" s="535">
        <v>480</v>
      </c>
      <c r="I168" s="54"/>
      <c r="J168" s="54"/>
      <c r="K168" s="54"/>
      <c r="L168" s="54"/>
      <c r="M168" s="54"/>
      <c r="N168" s="64"/>
      <c r="O168" s="54"/>
      <c r="P168" s="12"/>
      <c r="Q168" s="12"/>
      <c r="R168" s="18">
        <f>((F168*15)-G168-I168)/2</f>
        <v>450</v>
      </c>
      <c r="S168" s="223"/>
      <c r="T168" s="223"/>
      <c r="U168" s="223"/>
      <c r="V168" s="12"/>
      <c r="W168" s="66">
        <f t="shared" si="19"/>
        <v>0</v>
      </c>
      <c r="X168" s="144">
        <v>4350</v>
      </c>
      <c r="Y168" s="119">
        <v>22996.9</v>
      </c>
      <c r="Z168" s="8">
        <f t="shared" si="20"/>
        <v>1957500</v>
      </c>
      <c r="AA168" s="122">
        <f t="shared" si="21"/>
        <v>0</v>
      </c>
      <c r="AB168" s="12"/>
    </row>
    <row r="169" spans="1:28" s="116" customFormat="1" x14ac:dyDescent="0.25">
      <c r="A169" s="66" t="s">
        <v>551</v>
      </c>
      <c r="B169" s="66" t="s">
        <v>552</v>
      </c>
      <c r="C169" s="66"/>
      <c r="D169" s="66"/>
      <c r="E169" s="66">
        <v>1</v>
      </c>
      <c r="F169" s="333">
        <v>1</v>
      </c>
      <c r="G169" s="54">
        <f>VLOOKUP(A169,'[1]yourspreadsheetname (1)'!$A$2:$C$968, 3, FALSE)</f>
        <v>0</v>
      </c>
      <c r="H169" s="66">
        <v>6</v>
      </c>
      <c r="I169" s="169"/>
      <c r="J169" s="173" t="s">
        <v>122</v>
      </c>
      <c r="K169" s="66"/>
      <c r="L169" s="274"/>
      <c r="M169" s="66"/>
      <c r="N169" s="336"/>
      <c r="O169" s="66"/>
      <c r="P169" s="6"/>
      <c r="Q169" s="18"/>
      <c r="R169" s="66">
        <v>4</v>
      </c>
      <c r="S169" s="18"/>
      <c r="T169" s="63"/>
      <c r="U169" s="63"/>
      <c r="V169" s="63"/>
      <c r="W169" s="66">
        <f t="shared" si="19"/>
        <v>0</v>
      </c>
      <c r="X169" s="118">
        <v>159000</v>
      </c>
      <c r="Y169" s="117">
        <v>235000</v>
      </c>
      <c r="Z169" s="8">
        <f t="shared" si="20"/>
        <v>636000</v>
      </c>
      <c r="AA169" s="122">
        <f t="shared" si="21"/>
        <v>0</v>
      </c>
      <c r="AB169" s="18"/>
    </row>
    <row r="170" spans="1:28" s="132" customFormat="1" x14ac:dyDescent="0.25">
      <c r="A170" s="66" t="s">
        <v>125</v>
      </c>
      <c r="B170" s="66" t="s">
        <v>126</v>
      </c>
      <c r="C170" s="66"/>
      <c r="D170" s="66"/>
      <c r="E170" s="66">
        <v>0</v>
      </c>
      <c r="F170" s="169">
        <v>0</v>
      </c>
      <c r="G170" s="54">
        <v>48</v>
      </c>
      <c r="H170" s="66">
        <v>0</v>
      </c>
      <c r="I170" s="169"/>
      <c r="J170" s="173" t="s">
        <v>122</v>
      </c>
      <c r="K170" s="66"/>
      <c r="L170" s="274"/>
      <c r="M170" s="66"/>
      <c r="N170" s="336"/>
      <c r="O170" s="66"/>
      <c r="P170" s="18"/>
      <c r="Q170" s="18"/>
      <c r="R170" s="66">
        <v>24</v>
      </c>
      <c r="S170" s="52"/>
      <c r="T170" s="63"/>
      <c r="U170" s="63"/>
      <c r="V170" s="63"/>
      <c r="W170" s="66">
        <f t="shared" si="19"/>
        <v>0</v>
      </c>
      <c r="X170" s="118">
        <v>165000</v>
      </c>
      <c r="Y170" s="117">
        <v>319444.44</v>
      </c>
      <c r="Z170" s="8">
        <f t="shared" si="20"/>
        <v>3960000</v>
      </c>
      <c r="AA170" s="122">
        <f t="shared" si="21"/>
        <v>0</v>
      </c>
      <c r="AB170" s="22"/>
    </row>
    <row r="171" spans="1:28" s="132" customFormat="1" x14ac:dyDescent="0.25">
      <c r="A171" s="54" t="s">
        <v>553</v>
      </c>
      <c r="B171" s="54" t="s">
        <v>554</v>
      </c>
      <c r="C171" s="54"/>
      <c r="D171" s="54"/>
      <c r="E171" s="54">
        <v>10</v>
      </c>
      <c r="F171" s="54">
        <v>20</v>
      </c>
      <c r="G171" s="54">
        <v>120</v>
      </c>
      <c r="H171" s="54">
        <v>120</v>
      </c>
      <c r="I171" s="54"/>
      <c r="J171" s="130"/>
      <c r="K171" s="54"/>
      <c r="L171" s="54"/>
      <c r="M171" s="54"/>
      <c r="N171" s="64"/>
      <c r="O171" s="54"/>
      <c r="P171" s="54"/>
      <c r="Q171" s="54"/>
      <c r="R171" s="18">
        <f>((F171*15)-G171-I171)/2</f>
        <v>90</v>
      </c>
      <c r="S171" s="54"/>
      <c r="T171" s="12"/>
      <c r="U171" s="54"/>
      <c r="V171" s="54"/>
      <c r="W171" s="66">
        <f t="shared" si="19"/>
        <v>0</v>
      </c>
      <c r="X171" s="206">
        <v>133.66</v>
      </c>
      <c r="Y171" s="207">
        <v>356</v>
      </c>
      <c r="Z171" s="8">
        <f t="shared" si="20"/>
        <v>12029.4</v>
      </c>
      <c r="AA171" s="122">
        <f t="shared" si="21"/>
        <v>0</v>
      </c>
      <c r="AB171" s="130"/>
    </row>
    <row r="172" spans="1:28" s="116" customFormat="1" x14ac:dyDescent="0.25">
      <c r="A172" s="54" t="s">
        <v>555</v>
      </c>
      <c r="B172" s="54" t="s">
        <v>556</v>
      </c>
      <c r="C172" s="54">
        <v>100</v>
      </c>
      <c r="D172" s="54">
        <v>400</v>
      </c>
      <c r="E172" s="54">
        <v>400</v>
      </c>
      <c r="F172" s="54">
        <v>210</v>
      </c>
      <c r="G172" s="54">
        <f>VLOOKUP(A172,'[1]yourspreadsheetname (1)'!$A$2:$C$968, 3, FALSE)</f>
        <v>0</v>
      </c>
      <c r="H172" s="54">
        <v>2000</v>
      </c>
      <c r="I172" s="54"/>
      <c r="J172" s="54"/>
      <c r="K172" s="54"/>
      <c r="L172" s="54"/>
      <c r="M172" s="64"/>
      <c r="N172" s="64"/>
      <c r="O172" s="54"/>
      <c r="P172" s="54"/>
      <c r="Q172" s="54"/>
      <c r="R172" s="18">
        <v>1600</v>
      </c>
      <c r="S172" s="54"/>
      <c r="T172" s="12"/>
      <c r="U172" s="54"/>
      <c r="V172" s="54"/>
      <c r="W172" s="66">
        <f t="shared" si="19"/>
        <v>0</v>
      </c>
      <c r="X172" s="206">
        <v>7067.94</v>
      </c>
      <c r="Y172" s="207">
        <v>14048.71</v>
      </c>
      <c r="Z172" s="8">
        <f t="shared" si="20"/>
        <v>11308704</v>
      </c>
      <c r="AA172" s="122">
        <f t="shared" si="21"/>
        <v>0</v>
      </c>
      <c r="AB172" s="54"/>
    </row>
    <row r="173" spans="1:28" s="116" customFormat="1" ht="15.75" customHeight="1" x14ac:dyDescent="0.25">
      <c r="A173" s="54" t="s">
        <v>190</v>
      </c>
      <c r="B173" s="54" t="s">
        <v>191</v>
      </c>
      <c r="C173" s="54">
        <v>0</v>
      </c>
      <c r="D173" s="54">
        <v>75</v>
      </c>
      <c r="E173" s="54">
        <v>50</v>
      </c>
      <c r="F173" s="54">
        <v>40</v>
      </c>
      <c r="G173" s="54">
        <f>VLOOKUP(A173,'[1]yourspreadsheetname (1)'!$A$2:$C$968, 3, FALSE)</f>
        <v>380</v>
      </c>
      <c r="H173" s="54">
        <v>300</v>
      </c>
      <c r="I173" s="54"/>
      <c r="J173" s="123"/>
      <c r="K173" s="54"/>
      <c r="L173" s="54"/>
      <c r="M173" s="54"/>
      <c r="N173" s="64"/>
      <c r="O173" s="54"/>
      <c r="P173" s="54"/>
      <c r="Q173" s="54"/>
      <c r="R173" s="18">
        <v>120</v>
      </c>
      <c r="S173" s="54"/>
      <c r="T173" s="12"/>
      <c r="U173" s="54"/>
      <c r="V173" s="54"/>
      <c r="W173" s="66">
        <f t="shared" si="19"/>
        <v>0</v>
      </c>
      <c r="X173" s="206">
        <v>338</v>
      </c>
      <c r="Y173" s="207">
        <v>4120.6099999999997</v>
      </c>
      <c r="Z173" s="8">
        <f t="shared" si="20"/>
        <v>40560</v>
      </c>
      <c r="AA173" s="122">
        <f t="shared" si="21"/>
        <v>0</v>
      </c>
      <c r="AB173" s="54"/>
    </row>
    <row r="174" spans="1:28" s="116" customFormat="1" x14ac:dyDescent="0.25">
      <c r="A174" s="54" t="s">
        <v>557</v>
      </c>
      <c r="B174" s="54" t="s">
        <v>558</v>
      </c>
      <c r="C174" s="54">
        <v>0</v>
      </c>
      <c r="D174" s="54">
        <v>0</v>
      </c>
      <c r="E174" s="54">
        <v>0</v>
      </c>
      <c r="F174" s="54">
        <v>0</v>
      </c>
      <c r="G174" s="54">
        <f>VLOOKUP(A174,'[1]yourspreadsheetname (1)'!$A$2:$C$968, 3, FALSE)</f>
        <v>0</v>
      </c>
      <c r="H174" s="54">
        <v>100</v>
      </c>
      <c r="I174" s="54"/>
      <c r="J174" s="54"/>
      <c r="K174" s="54"/>
      <c r="L174" s="54"/>
      <c r="M174" s="54"/>
      <c r="N174" s="64"/>
      <c r="O174" s="54"/>
      <c r="P174" s="54"/>
      <c r="Q174" s="54"/>
      <c r="R174" s="18">
        <v>120</v>
      </c>
      <c r="S174" s="54"/>
      <c r="T174" s="12"/>
      <c r="U174" s="54"/>
      <c r="V174" s="54"/>
      <c r="W174" s="66">
        <f t="shared" si="19"/>
        <v>0</v>
      </c>
      <c r="X174" s="206">
        <v>1210</v>
      </c>
      <c r="Y174" s="207">
        <v>1851.29</v>
      </c>
      <c r="Z174" s="8">
        <f t="shared" si="20"/>
        <v>145200</v>
      </c>
      <c r="AA174" s="122">
        <f t="shared" si="21"/>
        <v>0</v>
      </c>
      <c r="AB174" s="54"/>
    </row>
    <row r="175" spans="1:28" s="116" customFormat="1" x14ac:dyDescent="0.25">
      <c r="A175" s="187" t="s">
        <v>559</v>
      </c>
      <c r="B175" s="83" t="s">
        <v>560</v>
      </c>
      <c r="C175" s="83"/>
      <c r="D175" s="54"/>
      <c r="E175" s="54">
        <v>30</v>
      </c>
      <c r="F175" s="54">
        <v>30</v>
      </c>
      <c r="G175" s="54">
        <v>0</v>
      </c>
      <c r="H175" s="54">
        <v>300</v>
      </c>
      <c r="I175" s="54"/>
      <c r="J175" s="54"/>
      <c r="K175" s="54"/>
      <c r="L175" s="54"/>
      <c r="M175" s="507"/>
      <c r="N175" s="64"/>
      <c r="O175" s="54"/>
      <c r="P175" s="54"/>
      <c r="Q175" s="83"/>
      <c r="R175" s="18">
        <v>300</v>
      </c>
      <c r="S175" s="54"/>
      <c r="T175" s="12"/>
      <c r="U175" s="54"/>
      <c r="V175" s="54"/>
      <c r="W175" s="66">
        <f t="shared" si="19"/>
        <v>0</v>
      </c>
      <c r="X175" s="206">
        <v>1035.5</v>
      </c>
      <c r="Y175" s="207">
        <v>1880.63</v>
      </c>
      <c r="Z175" s="8">
        <f t="shared" si="20"/>
        <v>310650</v>
      </c>
      <c r="AA175" s="122">
        <f t="shared" si="21"/>
        <v>0</v>
      </c>
      <c r="AB175" s="54"/>
    </row>
    <row r="176" spans="1:28" s="116" customFormat="1" x14ac:dyDescent="0.25">
      <c r="A176" s="64" t="s">
        <v>203</v>
      </c>
      <c r="B176" s="64" t="s">
        <v>561</v>
      </c>
      <c r="C176" s="54">
        <v>30</v>
      </c>
      <c r="D176" s="54"/>
      <c r="E176" s="54">
        <v>50</v>
      </c>
      <c r="F176" s="54">
        <v>30</v>
      </c>
      <c r="G176" s="54" t="e">
        <f>VLOOKUP(A176,'[1]yourspreadsheetname (1)'!$A$2:$C$968, 3, FALSE)</f>
        <v>#N/A</v>
      </c>
      <c r="H176" s="54">
        <v>300</v>
      </c>
      <c r="I176" s="54"/>
      <c r="J176" s="54"/>
      <c r="K176" s="54"/>
      <c r="L176" s="81"/>
      <c r="M176" s="54"/>
      <c r="N176" s="64"/>
      <c r="O176" s="54"/>
      <c r="P176" s="54"/>
      <c r="Q176" s="54"/>
      <c r="R176" s="18" t="e">
        <f>((F176*15)-G176-I176)/2</f>
        <v>#N/A</v>
      </c>
      <c r="S176" s="54"/>
      <c r="T176" s="12"/>
      <c r="U176" s="54"/>
      <c r="V176" s="54"/>
      <c r="W176" s="66">
        <f t="shared" si="19"/>
        <v>0</v>
      </c>
      <c r="X176" s="206">
        <v>1315</v>
      </c>
      <c r="Y176" s="207">
        <v>3411.36</v>
      </c>
      <c r="Z176" s="8" t="e">
        <f t="shared" si="20"/>
        <v>#N/A</v>
      </c>
      <c r="AA176" s="122">
        <f t="shared" si="21"/>
        <v>0</v>
      </c>
      <c r="AB176" s="54"/>
    </row>
    <row r="177" spans="1:28" s="116" customFormat="1" x14ac:dyDescent="0.25">
      <c r="A177" s="64" t="s">
        <v>562</v>
      </c>
      <c r="B177" s="64" t="s">
        <v>563</v>
      </c>
      <c r="C177" s="64"/>
      <c r="D177" s="96">
        <v>150</v>
      </c>
      <c r="E177" s="96">
        <v>150</v>
      </c>
      <c r="F177" s="96">
        <v>150</v>
      </c>
      <c r="G177" s="54">
        <f>VLOOKUP(A177,'[1]yourspreadsheetname (1)'!$A$2:$C$968, 3, FALSE)</f>
        <v>0</v>
      </c>
      <c r="H177" s="54">
        <v>900</v>
      </c>
      <c r="I177" s="54"/>
      <c r="J177" s="54"/>
      <c r="K177" s="54"/>
      <c r="L177" s="54"/>
      <c r="M177" s="54"/>
      <c r="N177" s="64"/>
      <c r="O177" s="54"/>
      <c r="P177" s="96"/>
      <c r="Q177" s="54"/>
      <c r="R177" s="18">
        <v>1000</v>
      </c>
      <c r="S177" s="54"/>
      <c r="T177" s="12"/>
      <c r="U177" s="54"/>
      <c r="V177" s="54"/>
      <c r="W177" s="66">
        <f t="shared" si="19"/>
        <v>0</v>
      </c>
      <c r="X177" s="206">
        <v>3159.37</v>
      </c>
      <c r="Y177" s="207">
        <v>3727.7</v>
      </c>
      <c r="Z177" s="8">
        <f t="shared" si="20"/>
        <v>3159370</v>
      </c>
      <c r="AA177" s="122">
        <f t="shared" si="21"/>
        <v>0</v>
      </c>
      <c r="AB177" s="54"/>
    </row>
    <row r="178" spans="1:28" s="4" customFormat="1" x14ac:dyDescent="0.25">
      <c r="A178" s="387" t="s">
        <v>311</v>
      </c>
      <c r="B178" s="63" t="s">
        <v>312</v>
      </c>
      <c r="C178" s="386"/>
      <c r="D178" s="66"/>
      <c r="E178" s="66">
        <v>1000</v>
      </c>
      <c r="F178" s="534">
        <v>1000</v>
      </c>
      <c r="G178" s="54">
        <f>VLOOKUP(A178,'[1]yourspreadsheetname (1)'!$A$2:$C$968, 3, FALSE)</f>
        <v>0</v>
      </c>
      <c r="H178" s="273">
        <v>4000</v>
      </c>
      <c r="I178" s="618"/>
      <c r="J178" s="384" t="s">
        <v>122</v>
      </c>
      <c r="K178" s="199"/>
      <c r="L178" s="64"/>
      <c r="M178" s="66"/>
      <c r="N178" s="273"/>
      <c r="O178" s="66"/>
      <c r="P178" s="63"/>
      <c r="Q178" s="66"/>
      <c r="R178" s="18">
        <v>7500</v>
      </c>
      <c r="S178" s="66"/>
      <c r="T178" s="66"/>
      <c r="U178" s="66"/>
      <c r="V178" s="66"/>
      <c r="W178" s="62">
        <f t="shared" si="19"/>
        <v>0</v>
      </c>
      <c r="X178" s="140">
        <v>306.7</v>
      </c>
      <c r="Y178" s="141">
        <v>568.53</v>
      </c>
      <c r="Z178" s="185">
        <f t="shared" si="20"/>
        <v>2300250</v>
      </c>
      <c r="AA178" s="65">
        <f t="shared" si="21"/>
        <v>0</v>
      </c>
      <c r="AB178" s="103"/>
    </row>
    <row r="179" spans="1:28" s="4" customFormat="1" x14ac:dyDescent="0.25">
      <c r="A179" s="66" t="s">
        <v>564</v>
      </c>
      <c r="B179" s="66" t="s">
        <v>565</v>
      </c>
      <c r="C179" s="66">
        <v>1000</v>
      </c>
      <c r="D179" s="66">
        <v>1000</v>
      </c>
      <c r="E179" s="66">
        <v>1300</v>
      </c>
      <c r="F179" s="534">
        <v>1500</v>
      </c>
      <c r="G179" s="54">
        <f>VLOOKUP(A179,'[1]yourspreadsheetname (1)'!$A$2:$C$968, 3, FALSE)</f>
        <v>0</v>
      </c>
      <c r="H179" s="273">
        <v>9000</v>
      </c>
      <c r="I179" s="632">
        <v>0</v>
      </c>
      <c r="J179" s="384" t="s">
        <v>486</v>
      </c>
      <c r="K179" s="199"/>
      <c r="L179" s="64"/>
      <c r="M179" s="66" t="s">
        <v>129</v>
      </c>
      <c r="N179" s="273"/>
      <c r="O179" s="66"/>
      <c r="P179" s="54"/>
      <c r="Q179" s="63"/>
      <c r="R179" s="18">
        <v>12000</v>
      </c>
      <c r="S179" s="66">
        <v>2025</v>
      </c>
      <c r="T179" s="66"/>
      <c r="U179" s="66"/>
      <c r="V179" s="66"/>
      <c r="W179" s="62">
        <f t="shared" si="19"/>
        <v>0</v>
      </c>
      <c r="X179" s="140">
        <v>440</v>
      </c>
      <c r="Y179" s="141">
        <v>498.15</v>
      </c>
      <c r="Z179" s="185">
        <f t="shared" si="20"/>
        <v>5280000</v>
      </c>
      <c r="AA179" s="65">
        <f t="shared" si="21"/>
        <v>0</v>
      </c>
      <c r="AB179" s="103"/>
    </row>
    <row r="180" spans="1:28" s="4" customFormat="1" ht="15.75" customHeight="1" x14ac:dyDescent="0.25">
      <c r="A180" s="66" t="s">
        <v>566</v>
      </c>
      <c r="B180" s="66" t="s">
        <v>567</v>
      </c>
      <c r="C180" s="66"/>
      <c r="D180" s="66"/>
      <c r="E180" s="66">
        <v>800</v>
      </c>
      <c r="F180" s="66">
        <v>1000</v>
      </c>
      <c r="G180" s="54">
        <f>VLOOKUP(A180,'[1]yourspreadsheetname (1)'!$A$2:$C$968, 3, FALSE)</f>
        <v>3500</v>
      </c>
      <c r="H180" s="273">
        <v>9600</v>
      </c>
      <c r="I180" s="628"/>
      <c r="J180" s="384" t="s">
        <v>486</v>
      </c>
      <c r="K180" s="199"/>
      <c r="L180" s="64"/>
      <c r="M180" s="66" t="s">
        <v>129</v>
      </c>
      <c r="N180" s="273"/>
      <c r="O180" s="66"/>
      <c r="P180" s="54"/>
      <c r="Q180" s="63"/>
      <c r="R180" s="18">
        <v>5600</v>
      </c>
      <c r="S180" s="66">
        <v>1440</v>
      </c>
      <c r="T180" s="66"/>
      <c r="U180" s="66"/>
      <c r="V180" s="66"/>
      <c r="W180" s="62">
        <f t="shared" si="19"/>
        <v>0</v>
      </c>
      <c r="X180" s="140">
        <v>210</v>
      </c>
      <c r="Y180" s="141">
        <v>371</v>
      </c>
      <c r="Z180" s="185">
        <f t="shared" si="20"/>
        <v>1176000</v>
      </c>
      <c r="AA180" s="65">
        <f t="shared" si="21"/>
        <v>0</v>
      </c>
      <c r="AB180" s="103"/>
    </row>
    <row r="181" spans="1:28" s="4" customFormat="1" x14ac:dyDescent="0.25">
      <c r="A181" s="66" t="s">
        <v>568</v>
      </c>
      <c r="B181" s="63" t="s">
        <v>569</v>
      </c>
      <c r="C181" s="66"/>
      <c r="D181" s="84"/>
      <c r="E181" s="68">
        <v>2400</v>
      </c>
      <c r="F181" s="68">
        <v>2400</v>
      </c>
      <c r="G181" s="54">
        <f>VLOOKUP(A181,'[1]yourspreadsheetname (1)'!$A$2:$C$968, 3, FALSE)</f>
        <v>0</v>
      </c>
      <c r="H181" s="273">
        <v>14000</v>
      </c>
      <c r="I181" s="635"/>
      <c r="J181" s="384" t="s">
        <v>486</v>
      </c>
      <c r="K181" s="199"/>
      <c r="L181" s="66"/>
      <c r="M181" s="68" t="s">
        <v>129</v>
      </c>
      <c r="N181" s="273"/>
      <c r="O181" s="66"/>
      <c r="P181" s="84"/>
      <c r="Q181" s="68"/>
      <c r="R181" s="18">
        <v>18000</v>
      </c>
      <c r="S181" s="186">
        <v>9000</v>
      </c>
      <c r="T181" s="186"/>
      <c r="U181" s="84"/>
      <c r="V181" s="84"/>
      <c r="W181" s="62">
        <f t="shared" si="19"/>
        <v>0</v>
      </c>
      <c r="X181" s="140">
        <v>336.95</v>
      </c>
      <c r="Y181" s="141">
        <v>438</v>
      </c>
      <c r="Z181" s="185">
        <f t="shared" si="20"/>
        <v>6065100</v>
      </c>
      <c r="AA181" s="65">
        <f t="shared" si="21"/>
        <v>0</v>
      </c>
      <c r="AB181" s="680"/>
    </row>
    <row r="182" spans="1:28" s="4" customFormat="1" ht="15.75" customHeight="1" x14ac:dyDescent="0.25">
      <c r="A182" s="66" t="s">
        <v>570</v>
      </c>
      <c r="B182" s="66" t="s">
        <v>571</v>
      </c>
      <c r="C182" s="66"/>
      <c r="D182" s="173">
        <v>4300</v>
      </c>
      <c r="E182" s="173">
        <v>5500</v>
      </c>
      <c r="F182" s="173">
        <v>5300</v>
      </c>
      <c r="G182" s="54">
        <f>VLOOKUP(A182,'[1]yourspreadsheetname (1)'!$A$2:$C$968, 3, FALSE)</f>
        <v>9000</v>
      </c>
      <c r="H182" s="273">
        <v>46320</v>
      </c>
      <c r="I182" s="199"/>
      <c r="J182" s="384" t="s">
        <v>486</v>
      </c>
      <c r="K182" s="199"/>
      <c r="L182" s="64"/>
      <c r="M182" s="66" t="s">
        <v>129</v>
      </c>
      <c r="N182" s="273"/>
      <c r="O182" s="66"/>
      <c r="P182" s="66"/>
      <c r="Q182" s="66"/>
      <c r="R182" s="18">
        <v>35000</v>
      </c>
      <c r="S182" s="66">
        <v>11030</v>
      </c>
      <c r="T182" s="66"/>
      <c r="U182" s="66"/>
      <c r="V182" s="291"/>
      <c r="W182" s="62">
        <f t="shared" si="19"/>
        <v>0</v>
      </c>
      <c r="X182" s="140">
        <v>132.5</v>
      </c>
      <c r="Y182" s="141">
        <v>118.18</v>
      </c>
      <c r="Z182" s="185">
        <f t="shared" si="20"/>
        <v>4637500</v>
      </c>
      <c r="AA182" s="65">
        <f t="shared" si="21"/>
        <v>0</v>
      </c>
      <c r="AB182" s="103"/>
    </row>
    <row r="183" spans="1:28" s="4" customFormat="1" x14ac:dyDescent="0.25">
      <c r="A183" s="66" t="s">
        <v>120</v>
      </c>
      <c r="B183" s="66" t="s">
        <v>121</v>
      </c>
      <c r="C183" s="66">
        <v>50</v>
      </c>
      <c r="D183" s="66">
        <v>55</v>
      </c>
      <c r="E183" s="66">
        <v>50</v>
      </c>
      <c r="F183" s="66">
        <v>50</v>
      </c>
      <c r="G183" s="171">
        <v>325</v>
      </c>
      <c r="H183" s="319">
        <v>400</v>
      </c>
      <c r="I183" s="66">
        <v>70</v>
      </c>
      <c r="J183" s="66" t="s">
        <v>122</v>
      </c>
      <c r="K183" s="187"/>
      <c r="L183" s="66"/>
      <c r="M183" s="66"/>
      <c r="N183" s="64"/>
      <c r="O183" s="66"/>
      <c r="P183" s="273"/>
      <c r="Q183" s="66"/>
      <c r="R183" s="186">
        <v>200</v>
      </c>
      <c r="S183" s="52">
        <v>200</v>
      </c>
      <c r="T183" s="52"/>
      <c r="U183" s="275"/>
      <c r="V183" s="18"/>
      <c r="W183" s="66">
        <f t="shared" si="19"/>
        <v>0</v>
      </c>
      <c r="X183" s="47">
        <v>9200</v>
      </c>
      <c r="Y183" s="8">
        <v>8897.06</v>
      </c>
      <c r="Z183" s="8">
        <f t="shared" si="20"/>
        <v>1840000</v>
      </c>
      <c r="AA183" s="122">
        <f t="shared" si="21"/>
        <v>0</v>
      </c>
      <c r="AB183" s="69"/>
    </row>
    <row r="184" spans="1:28" s="36" customFormat="1" x14ac:dyDescent="0.25">
      <c r="A184" s="66" t="s">
        <v>228</v>
      </c>
      <c r="B184" s="66" t="s">
        <v>229</v>
      </c>
      <c r="C184" s="66"/>
      <c r="D184" s="66"/>
      <c r="E184" s="66">
        <v>30</v>
      </c>
      <c r="F184" s="66">
        <v>50</v>
      </c>
      <c r="G184" s="171">
        <v>150</v>
      </c>
      <c r="H184" s="66">
        <v>200</v>
      </c>
      <c r="I184" s="66"/>
      <c r="J184" s="173" t="s">
        <v>122</v>
      </c>
      <c r="K184" s="187"/>
      <c r="L184" s="66"/>
      <c r="M184" s="66"/>
      <c r="N184" s="64"/>
      <c r="O184" s="66"/>
      <c r="P184" s="66"/>
      <c r="Q184" s="66"/>
      <c r="R184" s="66">
        <v>300</v>
      </c>
      <c r="S184" s="18">
        <v>300</v>
      </c>
      <c r="T184" s="18"/>
      <c r="U184" s="18"/>
      <c r="V184" s="18"/>
      <c r="W184" s="66">
        <f t="shared" si="19"/>
        <v>0</v>
      </c>
      <c r="X184" s="118">
        <v>5023</v>
      </c>
      <c r="Y184" s="117">
        <v>5845</v>
      </c>
      <c r="Z184" s="8">
        <f t="shared" si="20"/>
        <v>1506900</v>
      </c>
      <c r="AA184" s="122">
        <f t="shared" si="21"/>
        <v>0</v>
      </c>
      <c r="AB184" s="18"/>
    </row>
    <row r="185" spans="1:28" x14ac:dyDescent="0.25">
      <c r="A185" s="62" t="s">
        <v>238</v>
      </c>
      <c r="B185" s="62" t="s">
        <v>239</v>
      </c>
      <c r="C185" s="62">
        <v>56</v>
      </c>
      <c r="D185" s="528">
        <v>120</v>
      </c>
      <c r="E185" s="528">
        <v>100</v>
      </c>
      <c r="F185" s="528">
        <v>120</v>
      </c>
      <c r="G185" s="529">
        <v>492</v>
      </c>
      <c r="H185" s="66">
        <v>600</v>
      </c>
      <c r="I185" s="530">
        <v>0</v>
      </c>
      <c r="J185" s="173" t="s">
        <v>122</v>
      </c>
      <c r="K185" s="187"/>
      <c r="L185" s="531"/>
      <c r="M185" s="532"/>
      <c r="N185" s="64"/>
      <c r="O185" s="66"/>
      <c r="P185" s="62"/>
      <c r="Q185" s="532"/>
      <c r="R185" s="66">
        <v>500</v>
      </c>
      <c r="S185" s="39">
        <v>500</v>
      </c>
      <c r="T185" s="39"/>
      <c r="U185" s="107"/>
      <c r="V185" s="673"/>
      <c r="W185" s="66">
        <f t="shared" si="19"/>
        <v>0</v>
      </c>
      <c r="X185" s="452">
        <v>609</v>
      </c>
      <c r="Y185" s="454">
        <v>966.81</v>
      </c>
      <c r="Z185" s="8">
        <f t="shared" si="20"/>
        <v>304500</v>
      </c>
      <c r="AA185" s="122">
        <f t="shared" si="21"/>
        <v>0</v>
      </c>
      <c r="AB185" s="7"/>
    </row>
    <row r="186" spans="1:28" s="90" customFormat="1" x14ac:dyDescent="0.25">
      <c r="A186" s="81" t="s">
        <v>217</v>
      </c>
      <c r="B186" s="81" t="s">
        <v>218</v>
      </c>
      <c r="C186" s="54">
        <v>2</v>
      </c>
      <c r="D186" s="54"/>
      <c r="E186" s="54">
        <v>2</v>
      </c>
      <c r="F186" s="54">
        <v>2</v>
      </c>
      <c r="G186" s="54" t="e">
        <f>VLOOKUP(A186,'[1]yourspreadsheetname (1)'!$A$2:$C$968, 3, FALSE)</f>
        <v>#N/A</v>
      </c>
      <c r="H186" s="535">
        <v>24</v>
      </c>
      <c r="I186" s="54"/>
      <c r="J186" s="54"/>
      <c r="K186" s="187"/>
      <c r="L186" s="54"/>
      <c r="M186" s="54"/>
      <c r="N186" s="64"/>
      <c r="O186" s="66"/>
      <c r="P186" s="54"/>
      <c r="Q186" s="54"/>
      <c r="R186" s="66" t="e">
        <f>((F186*15)-G186-I186)/2</f>
        <v>#N/A</v>
      </c>
      <c r="S186" s="223">
        <v>15</v>
      </c>
      <c r="T186" s="223"/>
      <c r="U186" s="12"/>
      <c r="V186" s="12"/>
      <c r="W186" s="66">
        <f t="shared" si="19"/>
        <v>0</v>
      </c>
      <c r="X186" s="144">
        <v>6895</v>
      </c>
      <c r="Y186" s="119">
        <v>16013.51</v>
      </c>
      <c r="Z186" s="8" t="e">
        <f t="shared" si="20"/>
        <v>#N/A</v>
      </c>
      <c r="AA186" s="122">
        <f t="shared" si="21"/>
        <v>0</v>
      </c>
      <c r="AB186" s="12"/>
    </row>
    <row r="188" spans="1:28" s="4" customFormat="1" x14ac:dyDescent="0.25">
      <c r="A188" s="126" t="s">
        <v>321</v>
      </c>
      <c r="B188" s="81" t="s">
        <v>322</v>
      </c>
      <c r="C188" s="173"/>
      <c r="D188" s="173"/>
      <c r="E188" s="173"/>
      <c r="F188" s="173">
        <v>60</v>
      </c>
      <c r="G188" s="54">
        <v>0</v>
      </c>
      <c r="H188" s="535">
        <v>0</v>
      </c>
      <c r="I188" s="173"/>
      <c r="J188" s="173"/>
      <c r="K188" s="187"/>
      <c r="L188" s="173"/>
      <c r="M188" s="68"/>
      <c r="N188" s="64"/>
      <c r="O188" s="66"/>
      <c r="P188" s="173"/>
      <c r="Q188" s="173"/>
      <c r="R188" s="66">
        <f>((F188*15)-G188-I188)/2</f>
        <v>450</v>
      </c>
      <c r="S188" s="76"/>
      <c r="T188" s="76"/>
      <c r="U188" s="31"/>
      <c r="V188" s="31"/>
      <c r="W188" s="66">
        <f>U188+V188</f>
        <v>0</v>
      </c>
      <c r="X188" s="151">
        <v>3081</v>
      </c>
      <c r="Y188" s="151">
        <v>9524.61</v>
      </c>
      <c r="Z188" s="8">
        <f>R188*X188</f>
        <v>1386450</v>
      </c>
      <c r="AA188" s="122">
        <f>W188*Y188</f>
        <v>0</v>
      </c>
      <c r="AB188" s="31"/>
    </row>
    <row r="189" spans="1:28" s="116" customFormat="1" x14ac:dyDescent="0.25">
      <c r="A189" s="68" t="s">
        <v>123</v>
      </c>
      <c r="B189" s="68" t="s">
        <v>124</v>
      </c>
      <c r="C189" s="54">
        <v>33</v>
      </c>
      <c r="D189" s="54">
        <v>60</v>
      </c>
      <c r="E189" s="54">
        <v>100</v>
      </c>
      <c r="F189" s="54">
        <v>200</v>
      </c>
      <c r="G189" s="171">
        <v>0</v>
      </c>
      <c r="H189" s="68">
        <v>1200</v>
      </c>
      <c r="I189" s="66">
        <v>0</v>
      </c>
      <c r="J189" s="129" t="s">
        <v>122</v>
      </c>
      <c r="K189" s="187"/>
      <c r="L189" s="66"/>
      <c r="M189" s="66"/>
      <c r="N189" s="64"/>
      <c r="O189" s="66"/>
      <c r="P189" s="6"/>
      <c r="Q189" s="18"/>
      <c r="R189" s="19">
        <v>1200</v>
      </c>
      <c r="S189" s="18">
        <v>1200</v>
      </c>
      <c r="T189" s="18"/>
      <c r="U189" s="275"/>
      <c r="V189" s="18"/>
      <c r="W189" s="66">
        <f>U189+V189</f>
        <v>0</v>
      </c>
      <c r="X189" s="118">
        <v>555.99</v>
      </c>
      <c r="Y189" s="117">
        <v>1200.01</v>
      </c>
      <c r="Z189" s="8">
        <f>R189*X189</f>
        <v>667188</v>
      </c>
      <c r="AA189" s="122">
        <f>W189*Y189</f>
        <v>0</v>
      </c>
      <c r="AB189" s="18"/>
    </row>
    <row r="190" spans="1:28" s="4" customFormat="1" x14ac:dyDescent="0.25">
      <c r="A190" s="584" t="s">
        <v>331</v>
      </c>
      <c r="B190" s="584" t="s">
        <v>332</v>
      </c>
      <c r="C190" s="66"/>
      <c r="D190" s="66"/>
      <c r="E190" s="66">
        <v>16</v>
      </c>
      <c r="F190" s="66">
        <v>40</v>
      </c>
      <c r="G190" s="54">
        <v>0</v>
      </c>
      <c r="H190" s="62">
        <v>100</v>
      </c>
      <c r="I190" s="66"/>
      <c r="J190" s="66" t="s">
        <v>122</v>
      </c>
      <c r="K190" s="634"/>
      <c r="L190" s="62"/>
      <c r="M190" s="66"/>
      <c r="N190" s="211"/>
      <c r="O190" s="66"/>
      <c r="P190" s="62"/>
      <c r="Q190" s="18"/>
      <c r="R190" s="18">
        <f>((F190*15)-G190-I190)/2</f>
        <v>300</v>
      </c>
      <c r="S190" s="18"/>
      <c r="T190" s="18"/>
      <c r="U190" s="18"/>
      <c r="V190" s="18"/>
      <c r="W190" s="66">
        <f>U190+V190</f>
        <v>0</v>
      </c>
      <c r="X190" s="45">
        <v>4412.3500000000004</v>
      </c>
      <c r="Y190" s="8">
        <v>4412.3500000000004</v>
      </c>
      <c r="Z190" s="8">
        <f>R190*X190</f>
        <v>1323705</v>
      </c>
      <c r="AA190" s="122">
        <f>W190*Y190</f>
        <v>0</v>
      </c>
      <c r="AB190" s="680"/>
    </row>
    <row r="191" spans="1:28" ht="15" customHeight="1" x14ac:dyDescent="0.25">
      <c r="Z191" s="598" t="e">
        <f>SUM(Z3:Z190)</f>
        <v>#N/A</v>
      </c>
      <c r="AA191" s="598">
        <f>SUM(AA3:AA190)</f>
        <v>175731031.30000001</v>
      </c>
    </row>
    <row r="193" ht="15" customHeight="1" x14ac:dyDescent="0.25"/>
    <row r="195" ht="15" customHeight="1" x14ac:dyDescent="0.25"/>
    <row r="197" ht="15" customHeight="1" x14ac:dyDescent="0.25"/>
    <row r="199" ht="15" customHeight="1" x14ac:dyDescent="0.25"/>
    <row r="201" ht="15" customHeight="1" x14ac:dyDescent="0.25"/>
    <row r="203" ht="15" customHeight="1" x14ac:dyDescent="0.25"/>
    <row r="205" ht="15" customHeight="1" x14ac:dyDescent="0.25"/>
    <row r="207" ht="15" customHeight="1" x14ac:dyDescent="0.25"/>
    <row r="209" ht="15" customHeight="1" x14ac:dyDescent="0.25"/>
    <row r="211" ht="15" customHeight="1" x14ac:dyDescent="0.25"/>
    <row r="213" ht="15" customHeight="1" x14ac:dyDescent="0.25"/>
    <row r="215" ht="15" customHeight="1" x14ac:dyDescent="0.25"/>
    <row r="217" ht="15" customHeight="1" x14ac:dyDescent="0.25"/>
    <row r="219" ht="15" customHeight="1" x14ac:dyDescent="0.25"/>
    <row r="221" ht="15" customHeight="1" x14ac:dyDescent="0.25"/>
    <row r="223" ht="15" customHeight="1" x14ac:dyDescent="0.25"/>
    <row r="225" ht="15" customHeight="1" x14ac:dyDescent="0.25"/>
    <row r="227" ht="15" customHeight="1" x14ac:dyDescent="0.25"/>
    <row r="229" ht="15" customHeight="1" x14ac:dyDescent="0.25"/>
    <row r="231" ht="15" customHeight="1" x14ac:dyDescent="0.25"/>
    <row r="233" ht="15" customHeight="1" x14ac:dyDescent="0.25"/>
    <row r="235" ht="15" customHeight="1" x14ac:dyDescent="0.25"/>
    <row r="237" ht="15" customHeight="1" x14ac:dyDescent="0.25"/>
    <row r="239" ht="15" customHeight="1" x14ac:dyDescent="0.25"/>
    <row r="241" ht="15" customHeight="1" x14ac:dyDescent="0.25"/>
    <row r="243" ht="15" customHeight="1" x14ac:dyDescent="0.25"/>
    <row r="245" ht="15" customHeight="1" x14ac:dyDescent="0.25"/>
    <row r="247" ht="15" customHeight="1" x14ac:dyDescent="0.25"/>
    <row r="249" ht="15" customHeight="1" x14ac:dyDescent="0.25"/>
    <row r="251" ht="15" customHeight="1" x14ac:dyDescent="0.25"/>
    <row r="253" ht="15" customHeight="1" x14ac:dyDescent="0.25"/>
    <row r="255" ht="15" customHeight="1" x14ac:dyDescent="0.25"/>
    <row r="257" ht="15" customHeight="1" x14ac:dyDescent="0.25"/>
    <row r="259" ht="15" customHeight="1" x14ac:dyDescent="0.25"/>
    <row r="261" ht="15" customHeight="1" x14ac:dyDescent="0.25"/>
    <row r="263" ht="15" customHeight="1" x14ac:dyDescent="0.25"/>
    <row r="265" ht="15" customHeight="1" x14ac:dyDescent="0.25"/>
    <row r="267" ht="15" customHeight="1" x14ac:dyDescent="0.25"/>
    <row r="269" ht="15" customHeight="1" x14ac:dyDescent="0.25"/>
    <row r="271" ht="15" customHeight="1" x14ac:dyDescent="0.25"/>
    <row r="273" ht="15" customHeight="1" x14ac:dyDescent="0.25"/>
    <row r="275" ht="15" customHeight="1" x14ac:dyDescent="0.25"/>
    <row r="277" ht="15" customHeight="1" x14ac:dyDescent="0.25"/>
    <row r="279" ht="15" customHeight="1" x14ac:dyDescent="0.25"/>
    <row r="281" ht="15" customHeight="1" x14ac:dyDescent="0.25"/>
    <row r="283" ht="15" customHeight="1" x14ac:dyDescent="0.25"/>
    <row r="285" ht="15" customHeight="1" x14ac:dyDescent="0.25"/>
    <row r="287" ht="15" customHeight="1" x14ac:dyDescent="0.25"/>
    <row r="289" ht="15" customHeight="1" x14ac:dyDescent="0.25"/>
    <row r="291" ht="15" customHeight="1" x14ac:dyDescent="0.25"/>
    <row r="293" ht="15" customHeight="1" x14ac:dyDescent="0.25"/>
    <row r="295" ht="15" customHeight="1" x14ac:dyDescent="0.25"/>
    <row r="297" ht="15" customHeight="1" x14ac:dyDescent="0.25"/>
    <row r="299" ht="15" customHeight="1" x14ac:dyDescent="0.25"/>
    <row r="301" ht="15" customHeight="1" x14ac:dyDescent="0.25"/>
    <row r="303" ht="15" customHeight="1" x14ac:dyDescent="0.25"/>
    <row r="305" ht="15" customHeight="1" x14ac:dyDescent="0.25"/>
    <row r="307" ht="15" customHeight="1" x14ac:dyDescent="0.25"/>
    <row r="309" ht="15" customHeight="1" x14ac:dyDescent="0.25"/>
    <row r="311" ht="15" customHeight="1" x14ac:dyDescent="0.25"/>
    <row r="313" ht="15" customHeight="1" x14ac:dyDescent="0.25"/>
    <row r="315" ht="15" customHeight="1" x14ac:dyDescent="0.25"/>
    <row r="317" ht="15" customHeight="1" x14ac:dyDescent="0.25"/>
    <row r="319" ht="15" customHeight="1" x14ac:dyDescent="0.25"/>
    <row r="321" ht="15" customHeight="1" x14ac:dyDescent="0.25"/>
    <row r="323" ht="15" customHeight="1" x14ac:dyDescent="0.25"/>
    <row r="325" ht="15" customHeight="1" x14ac:dyDescent="0.25"/>
    <row r="327" ht="15" customHeight="1" x14ac:dyDescent="0.25"/>
    <row r="329" ht="15" customHeight="1" x14ac:dyDescent="0.25"/>
    <row r="331" ht="15" customHeight="1" x14ac:dyDescent="0.25"/>
    <row r="333" ht="15" customHeight="1" x14ac:dyDescent="0.25"/>
    <row r="335" ht="15" customHeight="1" x14ac:dyDescent="0.25"/>
    <row r="337" ht="15" customHeight="1" x14ac:dyDescent="0.25"/>
    <row r="339" ht="15" customHeight="1" x14ac:dyDescent="0.25"/>
    <row r="341" ht="15" customHeight="1" x14ac:dyDescent="0.25"/>
    <row r="343" ht="15" customHeight="1" x14ac:dyDescent="0.25"/>
    <row r="345" ht="15" customHeight="1" x14ac:dyDescent="0.25"/>
    <row r="347" ht="15" customHeight="1" x14ac:dyDescent="0.25"/>
    <row r="349" ht="15" customHeight="1" x14ac:dyDescent="0.25"/>
    <row r="351" ht="15" customHeight="1" x14ac:dyDescent="0.25"/>
    <row r="353" ht="15" customHeight="1" x14ac:dyDescent="0.25"/>
    <row r="355" ht="15" customHeight="1" x14ac:dyDescent="0.25"/>
    <row r="357" ht="15" customHeight="1" x14ac:dyDescent="0.25"/>
    <row r="359" ht="15" customHeight="1" x14ac:dyDescent="0.25"/>
    <row r="361" ht="15" customHeight="1" x14ac:dyDescent="0.25"/>
    <row r="363" ht="15" customHeight="1" x14ac:dyDescent="0.25"/>
    <row r="365" ht="15" customHeight="1" x14ac:dyDescent="0.25"/>
    <row r="367" ht="15" customHeight="1" x14ac:dyDescent="0.25"/>
    <row r="369" ht="15" customHeight="1" x14ac:dyDescent="0.25"/>
    <row r="371" ht="15" customHeight="1" x14ac:dyDescent="0.25"/>
    <row r="373" ht="15" customHeight="1" x14ac:dyDescent="0.25"/>
    <row r="375" ht="15" customHeight="1" x14ac:dyDescent="0.25"/>
    <row r="377" ht="15" customHeight="1" x14ac:dyDescent="0.25"/>
    <row r="379" ht="15" customHeight="1" x14ac:dyDescent="0.25"/>
    <row r="381" ht="15" customHeight="1" x14ac:dyDescent="0.25"/>
    <row r="383" ht="15" customHeight="1" x14ac:dyDescent="0.25"/>
    <row r="385" ht="15" customHeight="1" x14ac:dyDescent="0.25"/>
    <row r="387" ht="15" customHeight="1" x14ac:dyDescent="0.25"/>
    <row r="389" ht="15" customHeight="1" x14ac:dyDescent="0.25"/>
    <row r="391" ht="15" customHeight="1" x14ac:dyDescent="0.25"/>
    <row r="393" ht="15" customHeight="1" x14ac:dyDescent="0.25"/>
    <row r="395" ht="15" customHeight="1" x14ac:dyDescent="0.25"/>
    <row r="397" ht="15" customHeight="1" x14ac:dyDescent="0.25"/>
    <row r="399" ht="15" customHeight="1" x14ac:dyDescent="0.25"/>
    <row r="401" ht="15" customHeight="1" x14ac:dyDescent="0.25"/>
    <row r="403" ht="15" customHeight="1" x14ac:dyDescent="0.25"/>
    <row r="405" ht="15" customHeight="1" x14ac:dyDescent="0.25"/>
    <row r="407" ht="15" customHeight="1" x14ac:dyDescent="0.25"/>
    <row r="409" ht="15" customHeight="1" x14ac:dyDescent="0.25"/>
    <row r="411" ht="15" customHeight="1" x14ac:dyDescent="0.25"/>
    <row r="413" ht="15" customHeight="1" x14ac:dyDescent="0.25"/>
    <row r="415" ht="15" customHeight="1" x14ac:dyDescent="0.25"/>
    <row r="417" ht="15" customHeight="1" x14ac:dyDescent="0.25"/>
    <row r="419" ht="15" customHeight="1" x14ac:dyDescent="0.25"/>
    <row r="421" ht="15" customHeight="1" x14ac:dyDescent="0.25"/>
    <row r="423" ht="15" customHeight="1" x14ac:dyDescent="0.25"/>
    <row r="425" ht="15" customHeight="1" x14ac:dyDescent="0.25"/>
    <row r="427" ht="15" customHeight="1" x14ac:dyDescent="0.25"/>
    <row r="429" ht="15" customHeight="1" x14ac:dyDescent="0.25"/>
    <row r="431" ht="15" customHeight="1" x14ac:dyDescent="0.25"/>
    <row r="433" ht="15" customHeight="1" x14ac:dyDescent="0.25"/>
    <row r="435" ht="15" customHeight="1" x14ac:dyDescent="0.25"/>
    <row r="437" ht="15" customHeight="1" x14ac:dyDescent="0.25"/>
    <row r="439" ht="15" customHeight="1" x14ac:dyDescent="0.25"/>
    <row r="441" ht="15" customHeight="1" x14ac:dyDescent="0.25"/>
    <row r="443" ht="15" customHeight="1" x14ac:dyDescent="0.25"/>
    <row r="445" ht="15" customHeight="1" x14ac:dyDescent="0.25"/>
    <row r="447" ht="15" customHeight="1" x14ac:dyDescent="0.25"/>
    <row r="449" ht="15" customHeight="1" x14ac:dyDescent="0.25"/>
    <row r="451" ht="15" customHeight="1" x14ac:dyDescent="0.25"/>
    <row r="453" ht="15" customHeight="1" x14ac:dyDescent="0.25"/>
    <row r="455" ht="15" customHeight="1" x14ac:dyDescent="0.25"/>
    <row r="457" ht="15" customHeight="1" x14ac:dyDescent="0.25"/>
    <row r="459" ht="15" customHeight="1" x14ac:dyDescent="0.25"/>
    <row r="461" ht="15" customHeight="1" x14ac:dyDescent="0.25"/>
    <row r="463" ht="15" customHeight="1" x14ac:dyDescent="0.25"/>
    <row r="465" ht="15" customHeight="1" x14ac:dyDescent="0.25"/>
    <row r="467" ht="15" customHeight="1" x14ac:dyDescent="0.25"/>
    <row r="469" ht="15" customHeight="1" x14ac:dyDescent="0.25"/>
    <row r="471" ht="15" customHeight="1" x14ac:dyDescent="0.25"/>
    <row r="473" ht="15" customHeight="1" x14ac:dyDescent="0.25"/>
    <row r="475" ht="15" customHeight="1" x14ac:dyDescent="0.25"/>
    <row r="477" ht="15" customHeight="1" x14ac:dyDescent="0.25"/>
    <row r="479" ht="15" customHeight="1" x14ac:dyDescent="0.25"/>
    <row r="481" ht="15" customHeight="1" x14ac:dyDescent="0.25"/>
    <row r="483" ht="15" customHeight="1" x14ac:dyDescent="0.25"/>
    <row r="485" ht="15" customHeight="1" x14ac:dyDescent="0.25"/>
    <row r="487" ht="15" customHeight="1" x14ac:dyDescent="0.25"/>
    <row r="489" ht="15" customHeight="1" x14ac:dyDescent="0.25"/>
    <row r="491" ht="15" customHeight="1" x14ac:dyDescent="0.25"/>
    <row r="493" ht="15" customHeight="1" x14ac:dyDescent="0.25"/>
    <row r="495" ht="15" customHeight="1" x14ac:dyDescent="0.25"/>
    <row r="497" ht="15" customHeight="1" x14ac:dyDescent="0.25"/>
    <row r="499" ht="15" customHeight="1" x14ac:dyDescent="0.25"/>
    <row r="501" ht="15" customHeight="1" x14ac:dyDescent="0.25"/>
    <row r="503" ht="15" customHeight="1" x14ac:dyDescent="0.25"/>
    <row r="505" ht="15" customHeight="1" x14ac:dyDescent="0.25"/>
    <row r="507" ht="15" customHeight="1" x14ac:dyDescent="0.25"/>
    <row r="509" ht="15" customHeight="1" x14ac:dyDescent="0.25"/>
    <row r="511" ht="15" customHeight="1" x14ac:dyDescent="0.25"/>
    <row r="513" ht="15" customHeight="1" x14ac:dyDescent="0.25"/>
    <row r="515" ht="15" customHeight="1" x14ac:dyDescent="0.25"/>
    <row r="517" ht="15" customHeight="1" x14ac:dyDescent="0.25"/>
    <row r="519" ht="15" customHeight="1" x14ac:dyDescent="0.25"/>
    <row r="521" ht="15" customHeight="1" x14ac:dyDescent="0.25"/>
    <row r="523" ht="15" customHeight="1" x14ac:dyDescent="0.25"/>
    <row r="525" ht="15" customHeight="1" x14ac:dyDescent="0.25"/>
    <row r="527" ht="15" customHeight="1" x14ac:dyDescent="0.25"/>
    <row r="529" ht="15" customHeight="1" x14ac:dyDescent="0.25"/>
    <row r="531" ht="15" customHeight="1" x14ac:dyDescent="0.25"/>
    <row r="533" ht="15" customHeight="1" x14ac:dyDescent="0.25"/>
    <row r="535" ht="15" customHeight="1" x14ac:dyDescent="0.25"/>
    <row r="537" ht="15" customHeight="1" x14ac:dyDescent="0.25"/>
    <row r="539" ht="15" customHeight="1" x14ac:dyDescent="0.25"/>
    <row r="541" ht="15" customHeight="1" x14ac:dyDescent="0.25"/>
    <row r="543" ht="15" customHeight="1" x14ac:dyDescent="0.25"/>
    <row r="545" ht="15" customHeight="1" x14ac:dyDescent="0.25"/>
    <row r="547" ht="15" customHeight="1" x14ac:dyDescent="0.25"/>
    <row r="549" ht="15" customHeight="1" x14ac:dyDescent="0.25"/>
    <row r="551" ht="15" customHeight="1" x14ac:dyDescent="0.25"/>
    <row r="553" ht="15" customHeight="1" x14ac:dyDescent="0.25"/>
    <row r="555" ht="15" customHeight="1" x14ac:dyDescent="0.25"/>
    <row r="557" ht="15" customHeight="1" x14ac:dyDescent="0.25"/>
    <row r="559" ht="15" customHeight="1" x14ac:dyDescent="0.25"/>
    <row r="561" ht="15" customHeight="1" x14ac:dyDescent="0.25"/>
    <row r="563" ht="15" customHeight="1" x14ac:dyDescent="0.25"/>
    <row r="565" ht="15" customHeight="1" x14ac:dyDescent="0.25"/>
    <row r="567" ht="15" customHeight="1" x14ac:dyDescent="0.25"/>
    <row r="569" ht="15" customHeight="1" x14ac:dyDescent="0.25"/>
    <row r="571" ht="15" customHeight="1" x14ac:dyDescent="0.25"/>
    <row r="573" ht="15" customHeight="1" x14ac:dyDescent="0.25"/>
    <row r="575" ht="15" customHeight="1" x14ac:dyDescent="0.25"/>
    <row r="577" ht="15" customHeight="1" x14ac:dyDescent="0.25"/>
    <row r="579" ht="15" customHeight="1" x14ac:dyDescent="0.25"/>
    <row r="581" ht="15" customHeight="1" x14ac:dyDescent="0.25"/>
    <row r="583" ht="15" customHeight="1" x14ac:dyDescent="0.25"/>
    <row r="585" ht="15" customHeight="1" x14ac:dyDescent="0.25"/>
    <row r="587" ht="15" customHeight="1" x14ac:dyDescent="0.25"/>
    <row r="589" ht="15" customHeight="1" x14ac:dyDescent="0.25"/>
    <row r="591" ht="15" customHeight="1" x14ac:dyDescent="0.25"/>
    <row r="593" ht="15" customHeight="1" x14ac:dyDescent="0.25"/>
    <row r="595" ht="15" customHeight="1" x14ac:dyDescent="0.25"/>
    <row r="597" ht="15" customHeight="1" x14ac:dyDescent="0.25"/>
    <row r="599" ht="15" customHeight="1" x14ac:dyDescent="0.25"/>
    <row r="601" ht="15" customHeight="1" x14ac:dyDescent="0.25"/>
    <row r="603" ht="15" customHeight="1" x14ac:dyDescent="0.25"/>
    <row r="605" ht="15" customHeight="1" x14ac:dyDescent="0.25"/>
    <row r="607" ht="15" customHeight="1" x14ac:dyDescent="0.25"/>
    <row r="609" ht="15" customHeight="1" x14ac:dyDescent="0.25"/>
    <row r="611" ht="15" customHeight="1" x14ac:dyDescent="0.25"/>
    <row r="613" ht="15" customHeight="1" x14ac:dyDescent="0.25"/>
    <row r="615" ht="15" customHeight="1" x14ac:dyDescent="0.25"/>
    <row r="617" ht="15" customHeight="1" x14ac:dyDescent="0.25"/>
    <row r="619" ht="15" customHeight="1" x14ac:dyDescent="0.25"/>
    <row r="621" ht="15" customHeight="1" x14ac:dyDescent="0.25"/>
    <row r="623" ht="15" customHeight="1" x14ac:dyDescent="0.25"/>
    <row r="625" ht="15" customHeight="1" x14ac:dyDescent="0.25"/>
    <row r="627" ht="15" customHeight="1" x14ac:dyDescent="0.25"/>
    <row r="629" ht="15" customHeight="1" x14ac:dyDescent="0.25"/>
    <row r="631" ht="15" customHeight="1" x14ac:dyDescent="0.25"/>
    <row r="633" ht="15" customHeight="1" x14ac:dyDescent="0.25"/>
    <row r="635" ht="15" customHeight="1" x14ac:dyDescent="0.25"/>
    <row r="637" ht="15" customHeight="1" x14ac:dyDescent="0.25"/>
    <row r="639" ht="15" customHeight="1" x14ac:dyDescent="0.25"/>
    <row r="641" ht="15" customHeight="1" x14ac:dyDescent="0.25"/>
    <row r="643" ht="15" customHeight="1" x14ac:dyDescent="0.25"/>
    <row r="645" ht="15" customHeight="1" x14ac:dyDescent="0.25"/>
    <row r="647" ht="15" customHeight="1" x14ac:dyDescent="0.25"/>
    <row r="649" ht="15" customHeight="1" x14ac:dyDescent="0.25"/>
    <row r="651" ht="15" customHeight="1" x14ac:dyDescent="0.25"/>
    <row r="653" ht="15" customHeight="1" x14ac:dyDescent="0.25"/>
    <row r="655" ht="15" customHeight="1" x14ac:dyDescent="0.25"/>
    <row r="657" ht="15" customHeight="1" x14ac:dyDescent="0.25"/>
    <row r="659" ht="15" customHeight="1" x14ac:dyDescent="0.25"/>
    <row r="661" ht="15" customHeight="1" x14ac:dyDescent="0.25"/>
    <row r="663" ht="15" customHeight="1" x14ac:dyDescent="0.25"/>
    <row r="665" ht="15" customHeight="1" x14ac:dyDescent="0.25"/>
    <row r="667" ht="15" customHeight="1" x14ac:dyDescent="0.25"/>
    <row r="669" ht="15" customHeight="1" x14ac:dyDescent="0.25"/>
    <row r="671" ht="15" customHeight="1" x14ac:dyDescent="0.25"/>
    <row r="673" ht="15" customHeight="1" x14ac:dyDescent="0.25"/>
    <row r="675" ht="15" customHeight="1" x14ac:dyDescent="0.25"/>
    <row r="677" ht="15" customHeight="1" x14ac:dyDescent="0.25"/>
    <row r="679" ht="15" customHeight="1" x14ac:dyDescent="0.25"/>
    <row r="681" ht="15" customHeight="1" x14ac:dyDescent="0.25"/>
    <row r="683" ht="15" customHeight="1" x14ac:dyDescent="0.25"/>
    <row r="685" ht="15" customHeight="1" x14ac:dyDescent="0.25"/>
    <row r="687" ht="15" customHeight="1" x14ac:dyDescent="0.25"/>
    <row r="689" ht="15" customHeight="1" x14ac:dyDescent="0.25"/>
    <row r="691" ht="15" customHeight="1" x14ac:dyDescent="0.25"/>
    <row r="693" ht="15" customHeight="1" x14ac:dyDescent="0.25"/>
    <row r="695" ht="15" customHeight="1" x14ac:dyDescent="0.25"/>
    <row r="697" ht="15" customHeight="1" x14ac:dyDescent="0.25"/>
    <row r="699" ht="15" customHeight="1" x14ac:dyDescent="0.25"/>
    <row r="701" ht="15" customHeight="1" x14ac:dyDescent="0.25"/>
    <row r="703" ht="15" customHeight="1" x14ac:dyDescent="0.25"/>
    <row r="705" ht="15" customHeight="1" x14ac:dyDescent="0.25"/>
    <row r="707" ht="15" customHeight="1" x14ac:dyDescent="0.25"/>
    <row r="709" ht="15" customHeight="1" x14ac:dyDescent="0.25"/>
    <row r="711" ht="15" customHeight="1" x14ac:dyDescent="0.25"/>
    <row r="713" ht="15" customHeight="1" x14ac:dyDescent="0.25"/>
    <row r="715" ht="15" customHeight="1" x14ac:dyDescent="0.25"/>
    <row r="717" ht="15" customHeight="1" x14ac:dyDescent="0.25"/>
    <row r="719" ht="15" customHeight="1" x14ac:dyDescent="0.25"/>
    <row r="721" ht="15" customHeight="1" x14ac:dyDescent="0.25"/>
    <row r="723" ht="15" customHeight="1" x14ac:dyDescent="0.25"/>
    <row r="725" ht="15" customHeight="1" x14ac:dyDescent="0.25"/>
    <row r="727" ht="15" customHeight="1" x14ac:dyDescent="0.25"/>
    <row r="729" ht="15" customHeight="1" x14ac:dyDescent="0.25"/>
    <row r="731" ht="15" customHeight="1" x14ac:dyDescent="0.25"/>
    <row r="733" ht="15" customHeight="1" x14ac:dyDescent="0.25"/>
    <row r="735" ht="15" customHeight="1" x14ac:dyDescent="0.25"/>
    <row r="737" ht="15" customHeight="1" x14ac:dyDescent="0.25"/>
    <row r="739" ht="15" customHeight="1" x14ac:dyDescent="0.25"/>
    <row r="741" ht="15" customHeight="1" x14ac:dyDescent="0.25"/>
    <row r="743" ht="15" customHeight="1" x14ac:dyDescent="0.25"/>
    <row r="745" ht="15" customHeight="1" x14ac:dyDescent="0.25"/>
    <row r="747" ht="15" customHeight="1" x14ac:dyDescent="0.25"/>
    <row r="749" ht="15" customHeight="1" x14ac:dyDescent="0.25"/>
    <row r="751" ht="15" customHeight="1" x14ac:dyDescent="0.25"/>
    <row r="753" ht="15" customHeight="1" x14ac:dyDescent="0.25"/>
    <row r="755" ht="15" customHeight="1" x14ac:dyDescent="0.25"/>
    <row r="757" ht="15" customHeight="1" x14ac:dyDescent="0.25"/>
    <row r="759" ht="15" customHeight="1" x14ac:dyDescent="0.25"/>
    <row r="761" ht="15" customHeight="1" x14ac:dyDescent="0.25"/>
    <row r="763" ht="15" customHeight="1" x14ac:dyDescent="0.25"/>
    <row r="765" ht="15" customHeight="1" x14ac:dyDescent="0.25"/>
    <row r="767" ht="15" customHeight="1" x14ac:dyDescent="0.25"/>
    <row r="769" ht="15" customHeight="1" x14ac:dyDescent="0.25"/>
    <row r="771" ht="15" customHeight="1" x14ac:dyDescent="0.25"/>
    <row r="773" ht="15" customHeight="1" x14ac:dyDescent="0.25"/>
    <row r="775" ht="15" customHeight="1" x14ac:dyDescent="0.25"/>
    <row r="777" ht="15" customHeight="1" x14ac:dyDescent="0.25"/>
    <row r="779" ht="15" customHeight="1" x14ac:dyDescent="0.25"/>
    <row r="781" ht="15" customHeight="1" x14ac:dyDescent="0.25"/>
    <row r="783" ht="15" customHeight="1" x14ac:dyDescent="0.25"/>
    <row r="785" ht="15" customHeight="1" x14ac:dyDescent="0.25"/>
    <row r="787" ht="15" customHeight="1" x14ac:dyDescent="0.25"/>
    <row r="789" ht="15" customHeight="1" x14ac:dyDescent="0.25"/>
    <row r="791" ht="15" customHeight="1" x14ac:dyDescent="0.25"/>
    <row r="793" ht="15" customHeight="1" x14ac:dyDescent="0.25"/>
    <row r="795" ht="15" customHeight="1" x14ac:dyDescent="0.25"/>
    <row r="797" ht="15" customHeight="1" x14ac:dyDescent="0.25"/>
    <row r="799" ht="15" customHeight="1" x14ac:dyDescent="0.25"/>
    <row r="801" ht="15" customHeight="1" x14ac:dyDescent="0.25"/>
    <row r="803" ht="15" customHeight="1" x14ac:dyDescent="0.25"/>
    <row r="805" ht="15" customHeight="1" x14ac:dyDescent="0.25"/>
    <row r="807" ht="15" customHeight="1" x14ac:dyDescent="0.25"/>
    <row r="809" ht="15" customHeight="1" x14ac:dyDescent="0.25"/>
    <row r="811" ht="15" customHeight="1" x14ac:dyDescent="0.25"/>
    <row r="813" ht="15" customHeight="1" x14ac:dyDescent="0.25"/>
    <row r="815" ht="15" customHeight="1" x14ac:dyDescent="0.25"/>
    <row r="817" ht="15" customHeight="1" x14ac:dyDescent="0.25"/>
    <row r="819" ht="15" customHeight="1" x14ac:dyDescent="0.25"/>
    <row r="821" ht="15" customHeight="1" x14ac:dyDescent="0.25"/>
    <row r="823" ht="15" customHeight="1" x14ac:dyDescent="0.25"/>
    <row r="825" ht="15" customHeight="1" x14ac:dyDescent="0.25"/>
    <row r="827" ht="15" customHeight="1" x14ac:dyDescent="0.25"/>
    <row r="829" ht="15" customHeight="1" x14ac:dyDescent="0.25"/>
    <row r="831" ht="15" customHeight="1" x14ac:dyDescent="0.25"/>
    <row r="833" ht="15" customHeight="1" x14ac:dyDescent="0.25"/>
    <row r="835" ht="15" customHeight="1" x14ac:dyDescent="0.25"/>
    <row r="837" ht="15" customHeight="1" x14ac:dyDescent="0.25"/>
    <row r="839" ht="15" customHeight="1" x14ac:dyDescent="0.25"/>
    <row r="841" ht="15" customHeight="1" x14ac:dyDescent="0.25"/>
    <row r="843" ht="15" customHeight="1" x14ac:dyDescent="0.25"/>
    <row r="845" ht="15" customHeight="1" x14ac:dyDescent="0.25"/>
    <row r="847" ht="15" customHeight="1" x14ac:dyDescent="0.25"/>
    <row r="849" ht="15" customHeight="1" x14ac:dyDescent="0.25"/>
    <row r="851" ht="15" customHeight="1" x14ac:dyDescent="0.25"/>
    <row r="853" ht="15" customHeight="1" x14ac:dyDescent="0.25"/>
    <row r="855" ht="15" customHeight="1" x14ac:dyDescent="0.25"/>
    <row r="857" ht="15" customHeight="1" x14ac:dyDescent="0.25"/>
    <row r="859" ht="15" customHeight="1" x14ac:dyDescent="0.25"/>
    <row r="861" ht="15" customHeight="1" x14ac:dyDescent="0.25"/>
    <row r="863" ht="15" customHeight="1" x14ac:dyDescent="0.25"/>
    <row r="865" ht="15" customHeight="1" x14ac:dyDescent="0.25"/>
    <row r="867" ht="15" customHeight="1" x14ac:dyDescent="0.25"/>
    <row r="869" ht="15" customHeight="1" x14ac:dyDescent="0.25"/>
    <row r="871" ht="15" customHeight="1" x14ac:dyDescent="0.25"/>
    <row r="873" ht="15" customHeight="1" x14ac:dyDescent="0.25"/>
    <row r="875" ht="15" customHeight="1" x14ac:dyDescent="0.25"/>
    <row r="877" ht="15" customHeight="1" x14ac:dyDescent="0.25"/>
    <row r="879" ht="15" customHeight="1" x14ac:dyDescent="0.25"/>
    <row r="881" ht="15" customHeight="1" x14ac:dyDescent="0.25"/>
    <row r="883" ht="15" customHeight="1" x14ac:dyDescent="0.25"/>
    <row r="885" ht="15" customHeight="1" x14ac:dyDescent="0.25"/>
    <row r="887" ht="15" customHeight="1" x14ac:dyDescent="0.25"/>
    <row r="889" ht="15" customHeight="1" x14ac:dyDescent="0.25"/>
    <row r="891" ht="15" customHeight="1" x14ac:dyDescent="0.25"/>
    <row r="893" ht="15" customHeight="1" x14ac:dyDescent="0.25"/>
    <row r="895" ht="15" customHeight="1" x14ac:dyDescent="0.25"/>
    <row r="897" ht="15" customHeight="1" x14ac:dyDescent="0.25"/>
    <row r="899" ht="15" customHeight="1" x14ac:dyDescent="0.25"/>
    <row r="901" ht="15" customHeight="1" x14ac:dyDescent="0.25"/>
    <row r="903" ht="15" customHeight="1" x14ac:dyDescent="0.25"/>
    <row r="905" ht="15" customHeight="1" x14ac:dyDescent="0.25"/>
    <row r="907" ht="15" customHeight="1" x14ac:dyDescent="0.25"/>
    <row r="909" ht="15" customHeight="1" x14ac:dyDescent="0.25"/>
    <row r="911" ht="15" customHeight="1" x14ac:dyDescent="0.25"/>
    <row r="913" ht="15" customHeight="1" x14ac:dyDescent="0.25"/>
    <row r="915" ht="15" customHeight="1" x14ac:dyDescent="0.25"/>
    <row r="917" ht="15" customHeight="1" x14ac:dyDescent="0.25"/>
    <row r="919" ht="15" customHeight="1" x14ac:dyDescent="0.25"/>
    <row r="921" ht="15" customHeight="1" x14ac:dyDescent="0.25"/>
    <row r="923" ht="15" customHeight="1" x14ac:dyDescent="0.25"/>
    <row r="925" ht="15" customHeight="1" x14ac:dyDescent="0.25"/>
    <row r="927" ht="15" customHeight="1" x14ac:dyDescent="0.25"/>
    <row r="929" ht="15" customHeight="1" x14ac:dyDescent="0.25"/>
    <row r="931" ht="15" customHeight="1" x14ac:dyDescent="0.25"/>
    <row r="933" ht="15" customHeight="1" x14ac:dyDescent="0.25"/>
    <row r="935" ht="15" customHeight="1" x14ac:dyDescent="0.25"/>
    <row r="937" ht="15" customHeight="1" x14ac:dyDescent="0.25"/>
    <row r="939" ht="15" customHeight="1" x14ac:dyDescent="0.25"/>
    <row r="941" ht="15" customHeight="1" x14ac:dyDescent="0.25"/>
    <row r="943" ht="15" customHeight="1" x14ac:dyDescent="0.25"/>
    <row r="945" ht="15" customHeight="1" x14ac:dyDescent="0.25"/>
    <row r="947" ht="15" customHeight="1" x14ac:dyDescent="0.25"/>
    <row r="949" ht="15" customHeight="1" x14ac:dyDescent="0.25"/>
    <row r="951" ht="15" customHeight="1" x14ac:dyDescent="0.25"/>
    <row r="953" ht="15" customHeight="1" x14ac:dyDescent="0.25"/>
    <row r="955" ht="15" customHeight="1" x14ac:dyDescent="0.25"/>
    <row r="957" ht="15" customHeight="1" x14ac:dyDescent="0.25"/>
    <row r="959" ht="15" customHeight="1" x14ac:dyDescent="0.25"/>
    <row r="961" ht="15" customHeight="1" x14ac:dyDescent="0.25"/>
    <row r="963" ht="15" customHeight="1" x14ac:dyDescent="0.25"/>
    <row r="965" ht="15" customHeight="1" x14ac:dyDescent="0.25"/>
    <row r="967" ht="15" customHeight="1" x14ac:dyDescent="0.25"/>
    <row r="969" ht="15" customHeight="1" x14ac:dyDescent="0.25"/>
    <row r="971" ht="15" customHeight="1" x14ac:dyDescent="0.25"/>
    <row r="973" ht="15" customHeight="1" x14ac:dyDescent="0.25"/>
    <row r="975" ht="15" customHeight="1" x14ac:dyDescent="0.25"/>
    <row r="977" ht="15" customHeight="1" x14ac:dyDescent="0.25"/>
    <row r="979" ht="15" customHeight="1" x14ac:dyDescent="0.25"/>
    <row r="981" ht="15" customHeight="1" x14ac:dyDescent="0.25"/>
    <row r="983" ht="15" customHeight="1" x14ac:dyDescent="0.25"/>
    <row r="985" ht="15" customHeight="1" x14ac:dyDescent="0.25"/>
    <row r="987" ht="15" customHeight="1" x14ac:dyDescent="0.25"/>
    <row r="989" ht="15" customHeight="1" x14ac:dyDescent="0.25"/>
    <row r="991" ht="15" customHeight="1" x14ac:dyDescent="0.25"/>
    <row r="993" ht="15" customHeight="1" x14ac:dyDescent="0.25"/>
    <row r="995" ht="15" customHeight="1" x14ac:dyDescent="0.25"/>
    <row r="997" ht="15" customHeight="1" x14ac:dyDescent="0.25"/>
    <row r="999" ht="15" customHeight="1" x14ac:dyDescent="0.25"/>
    <row r="1001" ht="15" customHeight="1" x14ac:dyDescent="0.25"/>
    <row r="1003" ht="15" customHeight="1" x14ac:dyDescent="0.25"/>
    <row r="1005" ht="15" customHeight="1" x14ac:dyDescent="0.25"/>
    <row r="1007" ht="15" customHeight="1" x14ac:dyDescent="0.25"/>
    <row r="1009" ht="15" customHeight="1" x14ac:dyDescent="0.25"/>
    <row r="1011" ht="15" customHeight="1" x14ac:dyDescent="0.25"/>
    <row r="1013" ht="15" customHeight="1" x14ac:dyDescent="0.25"/>
    <row r="1015" ht="15" customHeight="1" x14ac:dyDescent="0.25"/>
    <row r="1017" ht="15" customHeight="1" x14ac:dyDescent="0.25"/>
    <row r="1019" ht="15" customHeight="1" x14ac:dyDescent="0.25"/>
    <row r="1021" ht="15" customHeight="1" x14ac:dyDescent="0.25"/>
    <row r="1023" ht="15" customHeight="1" x14ac:dyDescent="0.25"/>
    <row r="1025" ht="15" customHeight="1" x14ac:dyDescent="0.25"/>
    <row r="1027" ht="15" customHeight="1" x14ac:dyDescent="0.25"/>
    <row r="1029" ht="15" customHeight="1" x14ac:dyDescent="0.25"/>
    <row r="1031" ht="15" customHeight="1" x14ac:dyDescent="0.25"/>
    <row r="1033" ht="15" customHeight="1" x14ac:dyDescent="0.25"/>
    <row r="1035" ht="15" customHeight="1" x14ac:dyDescent="0.25"/>
    <row r="1037" ht="15" customHeight="1" x14ac:dyDescent="0.25"/>
    <row r="1039" ht="15" customHeight="1" x14ac:dyDescent="0.25"/>
    <row r="1041" ht="15" customHeight="1" x14ac:dyDescent="0.25"/>
    <row r="1043" ht="15" customHeight="1" x14ac:dyDescent="0.25"/>
    <row r="1045" ht="15" customHeight="1" x14ac:dyDescent="0.25"/>
    <row r="1047" ht="15" customHeight="1" x14ac:dyDescent="0.25"/>
    <row r="1049" ht="15" customHeight="1" x14ac:dyDescent="0.25"/>
    <row r="1051" ht="15" customHeight="1" x14ac:dyDescent="0.25"/>
    <row r="1053" ht="15" customHeight="1" x14ac:dyDescent="0.25"/>
    <row r="1055" ht="15" customHeight="1" x14ac:dyDescent="0.25"/>
    <row r="1057" ht="15" customHeight="1" x14ac:dyDescent="0.25"/>
    <row r="1059" ht="15" customHeight="1" x14ac:dyDescent="0.25"/>
    <row r="1061" ht="15" customHeight="1" x14ac:dyDescent="0.25"/>
    <row r="1063" ht="15" customHeight="1" x14ac:dyDescent="0.25"/>
    <row r="1065" ht="15" customHeight="1" x14ac:dyDescent="0.25"/>
    <row r="1067" ht="15" customHeight="1" x14ac:dyDescent="0.25"/>
    <row r="1069" ht="15" customHeight="1" x14ac:dyDescent="0.25"/>
    <row r="1071" ht="15" customHeight="1" x14ac:dyDescent="0.25"/>
    <row r="1073" ht="15" customHeight="1" x14ac:dyDescent="0.25"/>
    <row r="1075" ht="15" customHeight="1" x14ac:dyDescent="0.25"/>
    <row r="1077" ht="15" customHeight="1" x14ac:dyDescent="0.25"/>
    <row r="1079" ht="15" customHeight="1" x14ac:dyDescent="0.25"/>
    <row r="1081" ht="15" customHeight="1" x14ac:dyDescent="0.25"/>
    <row r="1083" ht="15" customHeight="1" x14ac:dyDescent="0.25"/>
    <row r="1085" ht="15" customHeight="1" x14ac:dyDescent="0.25"/>
    <row r="1087" ht="15" customHeight="1" x14ac:dyDescent="0.25"/>
    <row r="1089" ht="15" customHeight="1" x14ac:dyDescent="0.25"/>
    <row r="1091" ht="15" customHeight="1" x14ac:dyDescent="0.25"/>
    <row r="1093" ht="15" customHeight="1" x14ac:dyDescent="0.25"/>
    <row r="1095" ht="15" customHeight="1" x14ac:dyDescent="0.25"/>
    <row r="1097" ht="15" customHeight="1" x14ac:dyDescent="0.25"/>
    <row r="1099" ht="15" customHeight="1" x14ac:dyDescent="0.25"/>
    <row r="1101" ht="15" customHeight="1" x14ac:dyDescent="0.25"/>
    <row r="1103" ht="15" customHeight="1" x14ac:dyDescent="0.25"/>
    <row r="1105" ht="15" customHeight="1" x14ac:dyDescent="0.25"/>
    <row r="1107" ht="15" customHeight="1" x14ac:dyDescent="0.25"/>
    <row r="1109" ht="15" customHeight="1" x14ac:dyDescent="0.25"/>
    <row r="1111" ht="15" customHeight="1" x14ac:dyDescent="0.25"/>
    <row r="1113" ht="15" customHeight="1" x14ac:dyDescent="0.25"/>
    <row r="1115" ht="15" customHeight="1" x14ac:dyDescent="0.25"/>
    <row r="1117" ht="15" customHeight="1" x14ac:dyDescent="0.25"/>
    <row r="1119" ht="15" customHeight="1" x14ac:dyDescent="0.25"/>
    <row r="1121" ht="15" customHeight="1" x14ac:dyDescent="0.25"/>
    <row r="1123" ht="15" customHeight="1" x14ac:dyDescent="0.25"/>
    <row r="1125" ht="15" customHeight="1" x14ac:dyDescent="0.25"/>
    <row r="1127" ht="15" customHeight="1" x14ac:dyDescent="0.25"/>
    <row r="1129" ht="15" customHeight="1" x14ac:dyDescent="0.25"/>
    <row r="1131" ht="15" customHeight="1" x14ac:dyDescent="0.25"/>
    <row r="1133" ht="15" customHeight="1" x14ac:dyDescent="0.25"/>
    <row r="1135" ht="15" customHeight="1" x14ac:dyDescent="0.25"/>
    <row r="1137" ht="15" customHeight="1" x14ac:dyDescent="0.25"/>
    <row r="1139" ht="15" customHeight="1" x14ac:dyDescent="0.25"/>
    <row r="1141" ht="15" customHeight="1" x14ac:dyDescent="0.25"/>
    <row r="1143" ht="15" customHeight="1" x14ac:dyDescent="0.25"/>
    <row r="1145" ht="15" customHeight="1" x14ac:dyDescent="0.25"/>
    <row r="1147" ht="15" customHeight="1" x14ac:dyDescent="0.25"/>
    <row r="1149" ht="15" customHeight="1" x14ac:dyDescent="0.25"/>
    <row r="1151" ht="15" customHeight="1" x14ac:dyDescent="0.25"/>
    <row r="1153" ht="15" customHeight="1" x14ac:dyDescent="0.25"/>
    <row r="1155" ht="15" customHeight="1" x14ac:dyDescent="0.25"/>
    <row r="1157" ht="15" customHeight="1" x14ac:dyDescent="0.25"/>
    <row r="1159" ht="15" customHeight="1" x14ac:dyDescent="0.25"/>
    <row r="1161" ht="15" customHeight="1" x14ac:dyDescent="0.25"/>
    <row r="1163" ht="15" customHeight="1" x14ac:dyDescent="0.25"/>
    <row r="1165" ht="15" customHeight="1" x14ac:dyDescent="0.25"/>
    <row r="1167" ht="15" customHeight="1" x14ac:dyDescent="0.25"/>
    <row r="1169" ht="15" customHeight="1" x14ac:dyDescent="0.25"/>
    <row r="1171" ht="15" customHeight="1" x14ac:dyDescent="0.25"/>
    <row r="1173" ht="15" customHeight="1" x14ac:dyDescent="0.25"/>
    <row r="1175" ht="15" customHeight="1" x14ac:dyDescent="0.25"/>
    <row r="1177" ht="15" customHeight="1" x14ac:dyDescent="0.25"/>
    <row r="1179" ht="15" customHeight="1" x14ac:dyDescent="0.25"/>
    <row r="1181" ht="15" customHeight="1" x14ac:dyDescent="0.25"/>
    <row r="1183" ht="15" customHeight="1" x14ac:dyDescent="0.25"/>
    <row r="1185" ht="15" customHeight="1" x14ac:dyDescent="0.25"/>
    <row r="1187" ht="15" customHeight="1" x14ac:dyDescent="0.25"/>
    <row r="1189" ht="15" customHeight="1" x14ac:dyDescent="0.25"/>
    <row r="1191" ht="15" customHeight="1" x14ac:dyDescent="0.25"/>
    <row r="1193" ht="15" customHeight="1" x14ac:dyDescent="0.25"/>
    <row r="1195" ht="15" customHeight="1" x14ac:dyDescent="0.25"/>
    <row r="1197" ht="15" customHeight="1" x14ac:dyDescent="0.25"/>
    <row r="1199" ht="15" customHeight="1" x14ac:dyDescent="0.25"/>
    <row r="1201" ht="15" customHeight="1" x14ac:dyDescent="0.25"/>
    <row r="1203" ht="15" customHeight="1" x14ac:dyDescent="0.25"/>
    <row r="1205" ht="15" customHeight="1" x14ac:dyDescent="0.25"/>
    <row r="1207" ht="15" customHeight="1" x14ac:dyDescent="0.25"/>
    <row r="1209" ht="15" customHeight="1" x14ac:dyDescent="0.25"/>
    <row r="1211" ht="15" customHeight="1" x14ac:dyDescent="0.25"/>
    <row r="1213" ht="15" customHeight="1" x14ac:dyDescent="0.25"/>
    <row r="1215" ht="15" customHeight="1" x14ac:dyDescent="0.25"/>
    <row r="1217" ht="15" customHeight="1" x14ac:dyDescent="0.25"/>
    <row r="1219" ht="15" customHeight="1" x14ac:dyDescent="0.25"/>
    <row r="1221" ht="15" customHeight="1" x14ac:dyDescent="0.25"/>
    <row r="1223" ht="15" customHeight="1" x14ac:dyDescent="0.25"/>
    <row r="1225" ht="15" customHeight="1" x14ac:dyDescent="0.25"/>
    <row r="1227" ht="15" customHeight="1" x14ac:dyDescent="0.25"/>
    <row r="1229" ht="15" customHeight="1" x14ac:dyDescent="0.25"/>
    <row r="1231" ht="15" customHeight="1" x14ac:dyDescent="0.25"/>
    <row r="1233" ht="15" customHeight="1" x14ac:dyDescent="0.25"/>
    <row r="1235" ht="15" customHeight="1" x14ac:dyDescent="0.25"/>
    <row r="1237" ht="15" customHeight="1" x14ac:dyDescent="0.25"/>
    <row r="1239" ht="15" customHeight="1" x14ac:dyDescent="0.25"/>
    <row r="1241" ht="15" customHeight="1" x14ac:dyDescent="0.25"/>
    <row r="1243" ht="15" customHeight="1" x14ac:dyDescent="0.25"/>
    <row r="1245" ht="15" customHeight="1" x14ac:dyDescent="0.25"/>
    <row r="1247" ht="15" customHeight="1" x14ac:dyDescent="0.25"/>
    <row r="1249" ht="15" customHeight="1" x14ac:dyDescent="0.25"/>
    <row r="1251" ht="15" customHeight="1" x14ac:dyDescent="0.25"/>
    <row r="1253" ht="15" customHeight="1" x14ac:dyDescent="0.25"/>
    <row r="1255" ht="15" customHeight="1" x14ac:dyDescent="0.25"/>
    <row r="1257" ht="15" customHeight="1" x14ac:dyDescent="0.25"/>
    <row r="1259" ht="15" customHeight="1" x14ac:dyDescent="0.25"/>
    <row r="1261" ht="15" customHeight="1" x14ac:dyDescent="0.25"/>
    <row r="1263" ht="15" customHeight="1" x14ac:dyDescent="0.25"/>
    <row r="1265" ht="15" customHeight="1" x14ac:dyDescent="0.25"/>
    <row r="1267" ht="15" customHeight="1" x14ac:dyDescent="0.25"/>
    <row r="1269" ht="15" customHeight="1" x14ac:dyDescent="0.25"/>
    <row r="1271" ht="15" customHeight="1" x14ac:dyDescent="0.25"/>
    <row r="1273" ht="15" customHeight="1" x14ac:dyDescent="0.25"/>
    <row r="1275" ht="15" customHeight="1" x14ac:dyDescent="0.25"/>
    <row r="1277" ht="15" customHeight="1" x14ac:dyDescent="0.25"/>
    <row r="1279" ht="15" customHeight="1" x14ac:dyDescent="0.25"/>
    <row r="1281" ht="15" customHeight="1" x14ac:dyDescent="0.25"/>
    <row r="1283" ht="15" customHeight="1" x14ac:dyDescent="0.25"/>
    <row r="1285" ht="15" customHeight="1" x14ac:dyDescent="0.25"/>
    <row r="1287" ht="15" customHeight="1" x14ac:dyDescent="0.25"/>
    <row r="1289" ht="15" customHeight="1" x14ac:dyDescent="0.25"/>
    <row r="1291" ht="15" customHeight="1" x14ac:dyDescent="0.25"/>
    <row r="1293" ht="15" customHeight="1" x14ac:dyDescent="0.25"/>
    <row r="1295" ht="15" customHeight="1" x14ac:dyDescent="0.25"/>
    <row r="1297" ht="15" customHeight="1" x14ac:dyDescent="0.25"/>
    <row r="1299" ht="15" customHeight="1" x14ac:dyDescent="0.25"/>
    <row r="1301" ht="15" customHeight="1" x14ac:dyDescent="0.25"/>
    <row r="1303" ht="15" customHeight="1" x14ac:dyDescent="0.25"/>
    <row r="1305" ht="15" customHeight="1" x14ac:dyDescent="0.25"/>
    <row r="1307" ht="15" customHeight="1" x14ac:dyDescent="0.25"/>
    <row r="1309" ht="15" customHeight="1" x14ac:dyDescent="0.25"/>
    <row r="1311" ht="15" customHeight="1" x14ac:dyDescent="0.25"/>
    <row r="1313" ht="15" customHeight="1" x14ac:dyDescent="0.25"/>
    <row r="1315" ht="15" customHeight="1" x14ac:dyDescent="0.25"/>
    <row r="1317" ht="15" customHeight="1" x14ac:dyDescent="0.25"/>
    <row r="1319" ht="15" customHeight="1" x14ac:dyDescent="0.25"/>
    <row r="1321" ht="15" customHeight="1" x14ac:dyDescent="0.25"/>
    <row r="1323" ht="15" customHeight="1" x14ac:dyDescent="0.25"/>
    <row r="1325" ht="15" customHeight="1" x14ac:dyDescent="0.25"/>
    <row r="1327" ht="15" customHeight="1" x14ac:dyDescent="0.25"/>
    <row r="1329" ht="15" customHeight="1" x14ac:dyDescent="0.25"/>
    <row r="1331" ht="15" customHeight="1" x14ac:dyDescent="0.25"/>
    <row r="1333" ht="15" customHeight="1" x14ac:dyDescent="0.25"/>
    <row r="1335" ht="15" customHeight="1" x14ac:dyDescent="0.25"/>
    <row r="1337" ht="15" customHeight="1" x14ac:dyDescent="0.25"/>
    <row r="1339" ht="15" customHeight="1" x14ac:dyDescent="0.25"/>
    <row r="1341" ht="15" customHeight="1" x14ac:dyDescent="0.25"/>
    <row r="1343" ht="15" customHeight="1" x14ac:dyDescent="0.25"/>
    <row r="1345" ht="15" customHeight="1" x14ac:dyDescent="0.25"/>
    <row r="1347" ht="15" customHeight="1" x14ac:dyDescent="0.25"/>
    <row r="1349" ht="15" customHeight="1" x14ac:dyDescent="0.25"/>
    <row r="1351" ht="15" customHeight="1" x14ac:dyDescent="0.25"/>
    <row r="1353" ht="15" customHeight="1" x14ac:dyDescent="0.25"/>
    <row r="1355" ht="15" customHeight="1" x14ac:dyDescent="0.25"/>
    <row r="1357" ht="15" customHeight="1" x14ac:dyDescent="0.25"/>
    <row r="1359" ht="15" customHeight="1" x14ac:dyDescent="0.25"/>
    <row r="1361" ht="15" customHeight="1" x14ac:dyDescent="0.25"/>
    <row r="1363" ht="15" customHeight="1" x14ac:dyDescent="0.25"/>
    <row r="1365" ht="15" customHeight="1" x14ac:dyDescent="0.25"/>
    <row r="1367" ht="15" customHeight="1" x14ac:dyDescent="0.25"/>
    <row r="1369" ht="15" customHeight="1" x14ac:dyDescent="0.25"/>
    <row r="1371" ht="15" customHeight="1" x14ac:dyDescent="0.25"/>
    <row r="1373" ht="15" customHeight="1" x14ac:dyDescent="0.25"/>
    <row r="1375" ht="15" customHeight="1" x14ac:dyDescent="0.25"/>
    <row r="1377" ht="15" customHeight="1" x14ac:dyDescent="0.25"/>
    <row r="1379" ht="15" customHeight="1" x14ac:dyDescent="0.25"/>
    <row r="1381" ht="15" customHeight="1" x14ac:dyDescent="0.25"/>
    <row r="1383" ht="15" customHeight="1" x14ac:dyDescent="0.25"/>
    <row r="1385" ht="15" customHeight="1" x14ac:dyDescent="0.25"/>
    <row r="1387" ht="15" customHeight="1" x14ac:dyDescent="0.25"/>
    <row r="1389" ht="15" customHeight="1" x14ac:dyDescent="0.25"/>
    <row r="1391" ht="15" customHeight="1" x14ac:dyDescent="0.25"/>
    <row r="1393" ht="15" customHeight="1" x14ac:dyDescent="0.25"/>
    <row r="1395" ht="15" customHeight="1" x14ac:dyDescent="0.25"/>
    <row r="1397" ht="15" customHeight="1" x14ac:dyDescent="0.25"/>
    <row r="1399" ht="15" customHeight="1" x14ac:dyDescent="0.25"/>
    <row r="1401" ht="15" customHeight="1" x14ac:dyDescent="0.25"/>
    <row r="1403" ht="15" customHeight="1" x14ac:dyDescent="0.25"/>
    <row r="1405" ht="15" customHeight="1" x14ac:dyDescent="0.25"/>
    <row r="1407" ht="15" customHeight="1" x14ac:dyDescent="0.25"/>
    <row r="1409" ht="15" customHeight="1" x14ac:dyDescent="0.25"/>
    <row r="1411" ht="15" customHeight="1" x14ac:dyDescent="0.25"/>
    <row r="1413" ht="15" customHeight="1" x14ac:dyDescent="0.25"/>
    <row r="1415" ht="15" customHeight="1" x14ac:dyDescent="0.25"/>
    <row r="1417" ht="15" customHeight="1" x14ac:dyDescent="0.25"/>
    <row r="1419" ht="15" customHeight="1" x14ac:dyDescent="0.25"/>
    <row r="1421" ht="15" customHeight="1" x14ac:dyDescent="0.25"/>
    <row r="1423" ht="15" customHeight="1" x14ac:dyDescent="0.25"/>
    <row r="1425" ht="15" customHeight="1" x14ac:dyDescent="0.25"/>
    <row r="1427" ht="15" customHeight="1" x14ac:dyDescent="0.25"/>
    <row r="1429" ht="15" customHeight="1" x14ac:dyDescent="0.25"/>
    <row r="1431" ht="15" customHeight="1" x14ac:dyDescent="0.25"/>
    <row r="1433" ht="15" customHeight="1" x14ac:dyDescent="0.25"/>
    <row r="1435" ht="15" customHeight="1" x14ac:dyDescent="0.25"/>
    <row r="1437" ht="15" customHeight="1" x14ac:dyDescent="0.25"/>
    <row r="1439" ht="15" customHeight="1" x14ac:dyDescent="0.25"/>
    <row r="1441" ht="15" customHeight="1" x14ac:dyDescent="0.25"/>
    <row r="1443" ht="15" customHeight="1" x14ac:dyDescent="0.25"/>
    <row r="1445" ht="15" customHeight="1" x14ac:dyDescent="0.25"/>
    <row r="1447" ht="15" customHeight="1" x14ac:dyDescent="0.25"/>
    <row r="1449" ht="15" customHeight="1" x14ac:dyDescent="0.25"/>
    <row r="1451" ht="15" customHeight="1" x14ac:dyDescent="0.25"/>
    <row r="1453" ht="15" customHeight="1" x14ac:dyDescent="0.25"/>
    <row r="1455" ht="15" customHeight="1" x14ac:dyDescent="0.25"/>
    <row r="1457" ht="15" customHeight="1" x14ac:dyDescent="0.25"/>
    <row r="1459" ht="15" customHeight="1" x14ac:dyDescent="0.25"/>
    <row r="1461" ht="15" customHeight="1" x14ac:dyDescent="0.25"/>
    <row r="1463" ht="15" customHeight="1" x14ac:dyDescent="0.25"/>
    <row r="1465" ht="15" customHeight="1" x14ac:dyDescent="0.25"/>
    <row r="1467" ht="15" customHeight="1" x14ac:dyDescent="0.25"/>
    <row r="1469" ht="15" customHeight="1" x14ac:dyDescent="0.25"/>
    <row r="1471" ht="15" customHeight="1" x14ac:dyDescent="0.25"/>
    <row r="1473" ht="15" customHeight="1" x14ac:dyDescent="0.25"/>
    <row r="1475" ht="15" customHeight="1" x14ac:dyDescent="0.25"/>
    <row r="1477" ht="15" customHeight="1" x14ac:dyDescent="0.25"/>
    <row r="1479" ht="15" customHeight="1" x14ac:dyDescent="0.25"/>
    <row r="1481" ht="15" customHeight="1" x14ac:dyDescent="0.25"/>
    <row r="1483" ht="15" customHeight="1" x14ac:dyDescent="0.25"/>
    <row r="1485" ht="15" customHeight="1" x14ac:dyDescent="0.25"/>
    <row r="1487" ht="15" customHeight="1" x14ac:dyDescent="0.25"/>
    <row r="1489" ht="15" customHeight="1" x14ac:dyDescent="0.25"/>
    <row r="1491" ht="15" customHeight="1" x14ac:dyDescent="0.25"/>
    <row r="1493" ht="15" customHeight="1" x14ac:dyDescent="0.25"/>
    <row r="1495" ht="15" customHeight="1" x14ac:dyDescent="0.25"/>
    <row r="1497" ht="15" customHeight="1" x14ac:dyDescent="0.25"/>
    <row r="1499" ht="15" customHeight="1" x14ac:dyDescent="0.25"/>
    <row r="1501" ht="15" customHeight="1" x14ac:dyDescent="0.25"/>
    <row r="1503" ht="15" customHeight="1" x14ac:dyDescent="0.25"/>
    <row r="1505" ht="15" customHeight="1" x14ac:dyDescent="0.25"/>
    <row r="1507" ht="15" customHeight="1" x14ac:dyDescent="0.25"/>
    <row r="1509" ht="15" customHeight="1" x14ac:dyDescent="0.25"/>
    <row r="1511" ht="15" customHeight="1" x14ac:dyDescent="0.25"/>
    <row r="1513" ht="15" customHeight="1" x14ac:dyDescent="0.25"/>
    <row r="1515" ht="15" customHeight="1" x14ac:dyDescent="0.25"/>
    <row r="1517" ht="15" customHeight="1" x14ac:dyDescent="0.25"/>
    <row r="1519" ht="15" customHeight="1" x14ac:dyDescent="0.25"/>
    <row r="1521" ht="15" customHeight="1" x14ac:dyDescent="0.25"/>
    <row r="1523" ht="15" customHeight="1" x14ac:dyDescent="0.25"/>
    <row r="1525" ht="15" customHeight="1" x14ac:dyDescent="0.25"/>
    <row r="1527" ht="15" customHeight="1" x14ac:dyDescent="0.25"/>
    <row r="1529" ht="15" customHeight="1" x14ac:dyDescent="0.25"/>
    <row r="1531" ht="15" customHeight="1" x14ac:dyDescent="0.25"/>
    <row r="1533" ht="15" customHeight="1" x14ac:dyDescent="0.25"/>
    <row r="1535" ht="15" customHeight="1" x14ac:dyDescent="0.25"/>
    <row r="1537" ht="15" customHeight="1" x14ac:dyDescent="0.25"/>
    <row r="1539" ht="15" customHeight="1" x14ac:dyDescent="0.25"/>
    <row r="1541" ht="15" customHeight="1" x14ac:dyDescent="0.25"/>
    <row r="1543" ht="15" customHeight="1" x14ac:dyDescent="0.25"/>
    <row r="1545" ht="15" customHeight="1" x14ac:dyDescent="0.25"/>
    <row r="1547" ht="15" customHeight="1" x14ac:dyDescent="0.25"/>
    <row r="1549" ht="15" customHeight="1" x14ac:dyDescent="0.25"/>
    <row r="1551" ht="15" customHeight="1" x14ac:dyDescent="0.25"/>
    <row r="1553" ht="15" customHeight="1" x14ac:dyDescent="0.25"/>
    <row r="1555" ht="15" customHeight="1" x14ac:dyDescent="0.25"/>
    <row r="1557" ht="15" customHeight="1" x14ac:dyDescent="0.25"/>
    <row r="1559" ht="15" customHeight="1" x14ac:dyDescent="0.25"/>
    <row r="1561" ht="15" customHeight="1" x14ac:dyDescent="0.25"/>
    <row r="1563" ht="15" customHeight="1" x14ac:dyDescent="0.25"/>
    <row r="1565" ht="15" customHeight="1" x14ac:dyDescent="0.25"/>
    <row r="1567" ht="15" customHeight="1" x14ac:dyDescent="0.25"/>
    <row r="1569" ht="15" customHeight="1" x14ac:dyDescent="0.25"/>
    <row r="1571" ht="15" customHeight="1" x14ac:dyDescent="0.25"/>
    <row r="1573" ht="15" customHeight="1" x14ac:dyDescent="0.25"/>
    <row r="1575" ht="15" customHeight="1" x14ac:dyDescent="0.25"/>
    <row r="1577" ht="15" customHeight="1" x14ac:dyDescent="0.25"/>
    <row r="1579" ht="15" customHeight="1" x14ac:dyDescent="0.25"/>
    <row r="1581" ht="15" customHeight="1" x14ac:dyDescent="0.25"/>
    <row r="1583" ht="15" customHeight="1" x14ac:dyDescent="0.25"/>
    <row r="1585" ht="15" customHeight="1" x14ac:dyDescent="0.25"/>
    <row r="1587" ht="15" customHeight="1" x14ac:dyDescent="0.25"/>
    <row r="1589" ht="15" customHeight="1" x14ac:dyDescent="0.25"/>
    <row r="1591" ht="15" customHeight="1" x14ac:dyDescent="0.25"/>
    <row r="1593" ht="15" customHeight="1" x14ac:dyDescent="0.25"/>
    <row r="1595" ht="15" customHeight="1" x14ac:dyDescent="0.25"/>
    <row r="1597" ht="15" customHeight="1" x14ac:dyDescent="0.25"/>
    <row r="1599" ht="15" customHeight="1" x14ac:dyDescent="0.25"/>
    <row r="1601" ht="15" customHeight="1" x14ac:dyDescent="0.25"/>
    <row r="1603" ht="15" customHeight="1" x14ac:dyDescent="0.25"/>
    <row r="1605" ht="15" customHeight="1" x14ac:dyDescent="0.25"/>
    <row r="1607" ht="15" customHeight="1" x14ac:dyDescent="0.25"/>
    <row r="1609" ht="15" customHeight="1" x14ac:dyDescent="0.25"/>
    <row r="1611" ht="15" customHeight="1" x14ac:dyDescent="0.25"/>
    <row r="1613" ht="15" customHeight="1" x14ac:dyDescent="0.25"/>
    <row r="1615" ht="15" customHeight="1" x14ac:dyDescent="0.25"/>
    <row r="1617" ht="15" customHeight="1" x14ac:dyDescent="0.25"/>
    <row r="1619" ht="15" customHeight="1" x14ac:dyDescent="0.25"/>
    <row r="1621" ht="15" customHeight="1" x14ac:dyDescent="0.25"/>
    <row r="1623" ht="15" customHeight="1" x14ac:dyDescent="0.25"/>
    <row r="1625" ht="15" customHeight="1" x14ac:dyDescent="0.25"/>
    <row r="1627" ht="15" customHeight="1" x14ac:dyDescent="0.25"/>
    <row r="1629" ht="15" customHeight="1" x14ac:dyDescent="0.25"/>
    <row r="1631" ht="15" customHeight="1" x14ac:dyDescent="0.25"/>
    <row r="1633" ht="15" customHeight="1" x14ac:dyDescent="0.25"/>
    <row r="1635" ht="15" customHeight="1" x14ac:dyDescent="0.25"/>
    <row r="1637" ht="15" customHeight="1" x14ac:dyDescent="0.25"/>
    <row r="1639" ht="15" customHeight="1" x14ac:dyDescent="0.25"/>
    <row r="1641" ht="15" customHeight="1" x14ac:dyDescent="0.25"/>
    <row r="1643" ht="15" customHeight="1" x14ac:dyDescent="0.25"/>
    <row r="1645" ht="15" customHeight="1" x14ac:dyDescent="0.25"/>
    <row r="1647" ht="15" customHeight="1" x14ac:dyDescent="0.25"/>
    <row r="1649" ht="15" customHeight="1" x14ac:dyDescent="0.25"/>
    <row r="1651" ht="15" customHeight="1" x14ac:dyDescent="0.25"/>
    <row r="1653" ht="15" customHeight="1" x14ac:dyDescent="0.25"/>
    <row r="1655" ht="15" customHeight="1" x14ac:dyDescent="0.25"/>
    <row r="1657" ht="15" customHeight="1" x14ac:dyDescent="0.25"/>
    <row r="1659" ht="15" customHeight="1" x14ac:dyDescent="0.25"/>
    <row r="1661" ht="15" customHeight="1" x14ac:dyDescent="0.25"/>
    <row r="1663" ht="15" customHeight="1" x14ac:dyDescent="0.25"/>
    <row r="1665" ht="15" customHeight="1" x14ac:dyDescent="0.25"/>
    <row r="1667" ht="15" customHeight="1" x14ac:dyDescent="0.25"/>
    <row r="1669" ht="15" customHeight="1" x14ac:dyDescent="0.25"/>
    <row r="1671" ht="15" customHeight="1" x14ac:dyDescent="0.25"/>
    <row r="1673" ht="15" customHeight="1" x14ac:dyDescent="0.25"/>
    <row r="1675" ht="15" customHeight="1" x14ac:dyDescent="0.25"/>
    <row r="1677" ht="15" customHeight="1" x14ac:dyDescent="0.25"/>
    <row r="1679" ht="15" customHeight="1" x14ac:dyDescent="0.25"/>
    <row r="1681" ht="15" customHeight="1" x14ac:dyDescent="0.25"/>
    <row r="1683" ht="15" customHeight="1" x14ac:dyDescent="0.25"/>
    <row r="1685" ht="15" customHeight="1" x14ac:dyDescent="0.25"/>
    <row r="1687" ht="15" customHeight="1" x14ac:dyDescent="0.25"/>
    <row r="1689" ht="15" customHeight="1" x14ac:dyDescent="0.25"/>
    <row r="1691" ht="15" customHeight="1" x14ac:dyDescent="0.25"/>
    <row r="1693" ht="15" customHeight="1" x14ac:dyDescent="0.25"/>
    <row r="1695" ht="15" customHeight="1" x14ac:dyDescent="0.25"/>
    <row r="1697" ht="15" customHeight="1" x14ac:dyDescent="0.25"/>
    <row r="1699" ht="15" customHeight="1" x14ac:dyDescent="0.25"/>
    <row r="1701" ht="15" customHeight="1" x14ac:dyDescent="0.25"/>
    <row r="1703" ht="15" customHeight="1" x14ac:dyDescent="0.25"/>
    <row r="1705" ht="15" customHeight="1" x14ac:dyDescent="0.25"/>
    <row r="1707" ht="15" customHeight="1" x14ac:dyDescent="0.25"/>
    <row r="1709" ht="15" customHeight="1" x14ac:dyDescent="0.25"/>
    <row r="1711" ht="15" customHeight="1" x14ac:dyDescent="0.25"/>
    <row r="1713" ht="15" customHeight="1" x14ac:dyDescent="0.25"/>
    <row r="1715" ht="15" customHeight="1" x14ac:dyDescent="0.25"/>
    <row r="1717" ht="15" customHeight="1" x14ac:dyDescent="0.25"/>
    <row r="1719" ht="15" customHeight="1" x14ac:dyDescent="0.25"/>
    <row r="1721" ht="15" customHeight="1" x14ac:dyDescent="0.25"/>
    <row r="1723" ht="15" customHeight="1" x14ac:dyDescent="0.25"/>
    <row r="1725" ht="15" customHeight="1" x14ac:dyDescent="0.25"/>
    <row r="1727" ht="15" customHeight="1" x14ac:dyDescent="0.25"/>
    <row r="1729" ht="15" customHeight="1" x14ac:dyDescent="0.25"/>
    <row r="1731" ht="15" customHeight="1" x14ac:dyDescent="0.25"/>
    <row r="1733" ht="15" customHeight="1" x14ac:dyDescent="0.25"/>
    <row r="1735" ht="15" customHeight="1" x14ac:dyDescent="0.25"/>
    <row r="1737" ht="15" customHeight="1" x14ac:dyDescent="0.25"/>
    <row r="1739" ht="15" customHeight="1" x14ac:dyDescent="0.25"/>
    <row r="1741" ht="15" customHeight="1" x14ac:dyDescent="0.25"/>
    <row r="1743" ht="15" customHeight="1" x14ac:dyDescent="0.25"/>
    <row r="1745" ht="15" customHeight="1" x14ac:dyDescent="0.25"/>
    <row r="1747" ht="15" customHeight="1" x14ac:dyDescent="0.25"/>
    <row r="1749" ht="15" customHeight="1" x14ac:dyDescent="0.25"/>
    <row r="1751" ht="15" customHeight="1" x14ac:dyDescent="0.25"/>
    <row r="1753" ht="15" customHeight="1" x14ac:dyDescent="0.25"/>
    <row r="1755" ht="15" customHeight="1" x14ac:dyDescent="0.25"/>
    <row r="1757" ht="15" customHeight="1" x14ac:dyDescent="0.25"/>
    <row r="1759" ht="15" customHeight="1" x14ac:dyDescent="0.25"/>
    <row r="1761" ht="15" customHeight="1" x14ac:dyDescent="0.25"/>
    <row r="1763" ht="15" customHeight="1" x14ac:dyDescent="0.25"/>
    <row r="1765" ht="15" customHeight="1" x14ac:dyDescent="0.25"/>
    <row r="1767" ht="15" customHeight="1" x14ac:dyDescent="0.25"/>
    <row r="1769" ht="15" customHeight="1" x14ac:dyDescent="0.25"/>
    <row r="1771" ht="15" customHeight="1" x14ac:dyDescent="0.25"/>
    <row r="1773" ht="15" customHeight="1" x14ac:dyDescent="0.25"/>
    <row r="1775" ht="15" customHeight="1" x14ac:dyDescent="0.25"/>
    <row r="1777" ht="15" customHeight="1" x14ac:dyDescent="0.25"/>
    <row r="1779" ht="15" customHeight="1" x14ac:dyDescent="0.25"/>
    <row r="1781" ht="15" customHeight="1" x14ac:dyDescent="0.25"/>
    <row r="1783" ht="15" customHeight="1" x14ac:dyDescent="0.25"/>
    <row r="1785" ht="15" customHeight="1" x14ac:dyDescent="0.25"/>
    <row r="1787" ht="15" customHeight="1" x14ac:dyDescent="0.25"/>
    <row r="1789" ht="15" customHeight="1" x14ac:dyDescent="0.25"/>
    <row r="1791" ht="15" customHeight="1" x14ac:dyDescent="0.25"/>
    <row r="1793" ht="15" customHeight="1" x14ac:dyDescent="0.25"/>
    <row r="1795" ht="15" customHeight="1" x14ac:dyDescent="0.25"/>
    <row r="1797" ht="15" customHeight="1" x14ac:dyDescent="0.25"/>
    <row r="1799" ht="15" customHeight="1" x14ac:dyDescent="0.25"/>
    <row r="1801" ht="15" customHeight="1" x14ac:dyDescent="0.25"/>
    <row r="1803" ht="15" customHeight="1" x14ac:dyDescent="0.25"/>
    <row r="1805" ht="15" customHeight="1" x14ac:dyDescent="0.25"/>
    <row r="1807" ht="15" customHeight="1" x14ac:dyDescent="0.25"/>
    <row r="1809" ht="15" customHeight="1" x14ac:dyDescent="0.25"/>
    <row r="1811" ht="15" customHeight="1" x14ac:dyDescent="0.25"/>
    <row r="1813" ht="15" customHeight="1" x14ac:dyDescent="0.25"/>
    <row r="1815" ht="15" customHeight="1" x14ac:dyDescent="0.25"/>
    <row r="1817" ht="15" customHeight="1" x14ac:dyDescent="0.25"/>
    <row r="1819" ht="15" customHeight="1" x14ac:dyDescent="0.25"/>
    <row r="1821" ht="15" customHeight="1" x14ac:dyDescent="0.25"/>
    <row r="1823" ht="15" customHeight="1" x14ac:dyDescent="0.25"/>
    <row r="1825" ht="15" customHeight="1" x14ac:dyDescent="0.25"/>
    <row r="1827" ht="15" customHeight="1" x14ac:dyDescent="0.25"/>
    <row r="1829" ht="15" customHeight="1" x14ac:dyDescent="0.25"/>
    <row r="1831" ht="15" customHeight="1" x14ac:dyDescent="0.25"/>
    <row r="1833" ht="15" customHeight="1" x14ac:dyDescent="0.25"/>
    <row r="1835" ht="15" customHeight="1" x14ac:dyDescent="0.25"/>
    <row r="1837" ht="15" customHeight="1" x14ac:dyDescent="0.25"/>
    <row r="1839" ht="15" customHeight="1" x14ac:dyDescent="0.25"/>
    <row r="1841" ht="15" customHeight="1" x14ac:dyDescent="0.25"/>
    <row r="1843" ht="15" customHeight="1" x14ac:dyDescent="0.25"/>
    <row r="1845" ht="15" customHeight="1" x14ac:dyDescent="0.25"/>
    <row r="1847" ht="15" customHeight="1" x14ac:dyDescent="0.25"/>
    <row r="1849" ht="15" customHeight="1" x14ac:dyDescent="0.25"/>
    <row r="1851" ht="15" customHeight="1" x14ac:dyDescent="0.25"/>
    <row r="1853" ht="15" customHeight="1" x14ac:dyDescent="0.25"/>
    <row r="1855" ht="15" customHeight="1" x14ac:dyDescent="0.25"/>
    <row r="1857" ht="15" customHeight="1" x14ac:dyDescent="0.25"/>
    <row r="1859" ht="15" customHeight="1" x14ac:dyDescent="0.25"/>
    <row r="1861" ht="15" customHeight="1" x14ac:dyDescent="0.25"/>
    <row r="1863" ht="15" customHeight="1" x14ac:dyDescent="0.25"/>
    <row r="1865" ht="15" customHeight="1" x14ac:dyDescent="0.25"/>
    <row r="1867" ht="15" customHeight="1" x14ac:dyDescent="0.25"/>
    <row r="1869" ht="15" customHeight="1" x14ac:dyDescent="0.25"/>
    <row r="1871" ht="15" customHeight="1" x14ac:dyDescent="0.25"/>
    <row r="1873" ht="15" customHeight="1" x14ac:dyDescent="0.25"/>
    <row r="1875" ht="15" customHeight="1" x14ac:dyDescent="0.25"/>
    <row r="1877" ht="15" customHeight="1" x14ac:dyDescent="0.25"/>
    <row r="1879" ht="15" customHeight="1" x14ac:dyDescent="0.25"/>
    <row r="1881" ht="15" customHeight="1" x14ac:dyDescent="0.25"/>
    <row r="1883" ht="15" customHeight="1" x14ac:dyDescent="0.25"/>
    <row r="1885" ht="15" customHeight="1" x14ac:dyDescent="0.25"/>
    <row r="1887" ht="15" customHeight="1" x14ac:dyDescent="0.25"/>
    <row r="1889" ht="15" customHeight="1" x14ac:dyDescent="0.25"/>
    <row r="1891" ht="15" customHeight="1" x14ac:dyDescent="0.25"/>
    <row r="1893" ht="15" customHeight="1" x14ac:dyDescent="0.25"/>
    <row r="1895" ht="15" customHeight="1" x14ac:dyDescent="0.25"/>
    <row r="1897" ht="15" customHeight="1" x14ac:dyDescent="0.25"/>
    <row r="1899" ht="15" customHeight="1" x14ac:dyDescent="0.25"/>
    <row r="1901" ht="15" customHeight="1" x14ac:dyDescent="0.25"/>
    <row r="1903" ht="15" customHeight="1" x14ac:dyDescent="0.25"/>
    <row r="1905" ht="15" customHeight="1" x14ac:dyDescent="0.25"/>
    <row r="1907" ht="15" customHeight="1" x14ac:dyDescent="0.25"/>
    <row r="1909" ht="15" customHeight="1" x14ac:dyDescent="0.25"/>
    <row r="1911" ht="15" customHeight="1" x14ac:dyDescent="0.25"/>
    <row r="1913" ht="15" customHeight="1" x14ac:dyDescent="0.25"/>
    <row r="1915" ht="15" customHeight="1" x14ac:dyDescent="0.25"/>
    <row r="1917" ht="15" customHeight="1" x14ac:dyDescent="0.25"/>
    <row r="1919" ht="15" customHeight="1" x14ac:dyDescent="0.25"/>
    <row r="1921" ht="15" customHeight="1" x14ac:dyDescent="0.25"/>
    <row r="1923" ht="15" customHeight="1" x14ac:dyDescent="0.25"/>
    <row r="1925" ht="15" customHeight="1" x14ac:dyDescent="0.25"/>
    <row r="1927" ht="15" customHeight="1" x14ac:dyDescent="0.25"/>
    <row r="1929" ht="15" customHeight="1" x14ac:dyDescent="0.25"/>
    <row r="1931" ht="15" customHeight="1" x14ac:dyDescent="0.25"/>
    <row r="1933" ht="15" customHeight="1" x14ac:dyDescent="0.25"/>
    <row r="1935" ht="15" customHeight="1" x14ac:dyDescent="0.25"/>
    <row r="1937" ht="15" customHeight="1" x14ac:dyDescent="0.25"/>
    <row r="1939" ht="15" customHeight="1" x14ac:dyDescent="0.25"/>
    <row r="1941" ht="15" customHeight="1" x14ac:dyDescent="0.25"/>
    <row r="1943" ht="15" customHeight="1" x14ac:dyDescent="0.25"/>
    <row r="1945" ht="15" customHeight="1" x14ac:dyDescent="0.25"/>
    <row r="1947" ht="15" customHeight="1" x14ac:dyDescent="0.25"/>
    <row r="1949" ht="15" customHeight="1" x14ac:dyDescent="0.25"/>
    <row r="1951" ht="15" customHeight="1" x14ac:dyDescent="0.25"/>
    <row r="1953" ht="15" customHeight="1" x14ac:dyDescent="0.25"/>
    <row r="1955" ht="15" customHeight="1" x14ac:dyDescent="0.25"/>
    <row r="1957" ht="15" customHeight="1" x14ac:dyDescent="0.25"/>
    <row r="1959" ht="15" customHeight="1" x14ac:dyDescent="0.25"/>
    <row r="1961" ht="15" customHeight="1" x14ac:dyDescent="0.25"/>
    <row r="1963" ht="15" customHeight="1" x14ac:dyDescent="0.25"/>
    <row r="1965" ht="15" customHeight="1" x14ac:dyDescent="0.25"/>
    <row r="1967" ht="15" customHeight="1" x14ac:dyDescent="0.25"/>
    <row r="1969" ht="15" customHeight="1" x14ac:dyDescent="0.25"/>
    <row r="1971" ht="15" customHeight="1" x14ac:dyDescent="0.25"/>
    <row r="1973" ht="15" customHeight="1" x14ac:dyDescent="0.25"/>
    <row r="1975" ht="15" customHeight="1" x14ac:dyDescent="0.25"/>
    <row r="1977" ht="15" customHeight="1" x14ac:dyDescent="0.25"/>
    <row r="1979" ht="15" customHeight="1" x14ac:dyDescent="0.25"/>
    <row r="1981" ht="15" customHeight="1" x14ac:dyDescent="0.25"/>
    <row r="1983" ht="15" customHeight="1" x14ac:dyDescent="0.25"/>
    <row r="1985" ht="15" customHeight="1" x14ac:dyDescent="0.25"/>
    <row r="1987" ht="15" customHeight="1" x14ac:dyDescent="0.25"/>
    <row r="1989" ht="15" customHeight="1" x14ac:dyDescent="0.25"/>
    <row r="1991" ht="15" customHeight="1" x14ac:dyDescent="0.25"/>
    <row r="1993" ht="15" customHeight="1" x14ac:dyDescent="0.25"/>
    <row r="1995" ht="15" customHeight="1" x14ac:dyDescent="0.25"/>
    <row r="1997" ht="15" customHeight="1" x14ac:dyDescent="0.25"/>
    <row r="1999" ht="15" customHeight="1" x14ac:dyDescent="0.25"/>
    <row r="2001" ht="15" customHeight="1" x14ac:dyDescent="0.25"/>
    <row r="2003" ht="15" customHeight="1" x14ac:dyDescent="0.25"/>
    <row r="2005" ht="15" customHeight="1" x14ac:dyDescent="0.25"/>
    <row r="2007" ht="15" customHeight="1" x14ac:dyDescent="0.25"/>
    <row r="2009" ht="15" customHeight="1" x14ac:dyDescent="0.25"/>
    <row r="2011" ht="15" customHeight="1" x14ac:dyDescent="0.25"/>
    <row r="2013" ht="15" customHeight="1" x14ac:dyDescent="0.25"/>
    <row r="2015" ht="15" customHeight="1" x14ac:dyDescent="0.25"/>
    <row r="2017" ht="15" customHeight="1" x14ac:dyDescent="0.25"/>
    <row r="2019" ht="15" customHeight="1" x14ac:dyDescent="0.25"/>
    <row r="2021" ht="15" customHeight="1" x14ac:dyDescent="0.25"/>
    <row r="2023" ht="15" customHeight="1" x14ac:dyDescent="0.25"/>
    <row r="2025" ht="15" customHeight="1" x14ac:dyDescent="0.25"/>
    <row r="2027" ht="15" customHeight="1" x14ac:dyDescent="0.25"/>
    <row r="2029" ht="15" customHeight="1" x14ac:dyDescent="0.25"/>
    <row r="2031" ht="15" customHeight="1" x14ac:dyDescent="0.25"/>
    <row r="2033" ht="15" customHeight="1" x14ac:dyDescent="0.25"/>
    <row r="2035" ht="15" customHeight="1" x14ac:dyDescent="0.25"/>
    <row r="2037" ht="15" customHeight="1" x14ac:dyDescent="0.25"/>
    <row r="2039" ht="15" customHeight="1" x14ac:dyDescent="0.25"/>
    <row r="2041" ht="15" customHeight="1" x14ac:dyDescent="0.25"/>
    <row r="2043" ht="15" customHeight="1" x14ac:dyDescent="0.25"/>
    <row r="2045" ht="15" customHeight="1" x14ac:dyDescent="0.25"/>
    <row r="2047" ht="15" customHeight="1" x14ac:dyDescent="0.25"/>
    <row r="2049" ht="15" customHeight="1" x14ac:dyDescent="0.25"/>
    <row r="2051" ht="15" customHeight="1" x14ac:dyDescent="0.25"/>
    <row r="2053" ht="15" customHeight="1" x14ac:dyDescent="0.25"/>
    <row r="2055" ht="15" customHeight="1" x14ac:dyDescent="0.25"/>
    <row r="2057" ht="15" customHeight="1" x14ac:dyDescent="0.25"/>
    <row r="2059" ht="15" customHeight="1" x14ac:dyDescent="0.25"/>
    <row r="2061" ht="15" customHeight="1" x14ac:dyDescent="0.25"/>
    <row r="2063" ht="15" customHeight="1" x14ac:dyDescent="0.25"/>
    <row r="2065" ht="15" customHeight="1" x14ac:dyDescent="0.25"/>
    <row r="2067" ht="15" customHeight="1" x14ac:dyDescent="0.25"/>
    <row r="2069" ht="15" customHeight="1" x14ac:dyDescent="0.25"/>
    <row r="2071" ht="15" customHeight="1" x14ac:dyDescent="0.25"/>
    <row r="2073" ht="15" customHeight="1" x14ac:dyDescent="0.25"/>
    <row r="2075" ht="15" customHeight="1" x14ac:dyDescent="0.25"/>
    <row r="2077" ht="15" customHeight="1" x14ac:dyDescent="0.25"/>
    <row r="2079" ht="15" customHeight="1" x14ac:dyDescent="0.25"/>
    <row r="2081" ht="15" customHeight="1" x14ac:dyDescent="0.25"/>
    <row r="2083" ht="15" customHeight="1" x14ac:dyDescent="0.25"/>
    <row r="2085" ht="15" customHeight="1" x14ac:dyDescent="0.25"/>
    <row r="2087" ht="15" customHeight="1" x14ac:dyDescent="0.25"/>
    <row r="2089" ht="15" customHeight="1" x14ac:dyDescent="0.25"/>
    <row r="2091" ht="15" customHeight="1" x14ac:dyDescent="0.25"/>
    <row r="2093" ht="15" customHeight="1" x14ac:dyDescent="0.25"/>
    <row r="2095" ht="15" customHeight="1" x14ac:dyDescent="0.25"/>
    <row r="2097" ht="15" customHeight="1" x14ac:dyDescent="0.25"/>
    <row r="2099" ht="15" customHeight="1" x14ac:dyDescent="0.25"/>
    <row r="2101" ht="15" customHeight="1" x14ac:dyDescent="0.25"/>
    <row r="2103" ht="15" customHeight="1" x14ac:dyDescent="0.25"/>
    <row r="2105" ht="15" customHeight="1" x14ac:dyDescent="0.25"/>
    <row r="2107" ht="15" customHeight="1" x14ac:dyDescent="0.25"/>
    <row r="2109" ht="15" customHeight="1" x14ac:dyDescent="0.25"/>
    <row r="2111" ht="15" customHeight="1" x14ac:dyDescent="0.25"/>
    <row r="2113" ht="15" customHeight="1" x14ac:dyDescent="0.25"/>
    <row r="2115" ht="15" customHeight="1" x14ac:dyDescent="0.25"/>
    <row r="2117" ht="15" customHeight="1" x14ac:dyDescent="0.25"/>
    <row r="2119" ht="15" customHeight="1" x14ac:dyDescent="0.25"/>
    <row r="2121" ht="15" customHeight="1" x14ac:dyDescent="0.25"/>
    <row r="2123" ht="15" customHeight="1" x14ac:dyDescent="0.25"/>
    <row r="2125" ht="15" customHeight="1" x14ac:dyDescent="0.25"/>
    <row r="2127" ht="15" customHeight="1" x14ac:dyDescent="0.25"/>
    <row r="2129" ht="15" customHeight="1" x14ac:dyDescent="0.25"/>
    <row r="2131" ht="15" customHeight="1" x14ac:dyDescent="0.25"/>
    <row r="2133" ht="15" customHeight="1" x14ac:dyDescent="0.25"/>
    <row r="2135" ht="15" customHeight="1" x14ac:dyDescent="0.25"/>
    <row r="2137" ht="15" customHeight="1" x14ac:dyDescent="0.25"/>
    <row r="2139" ht="15" customHeight="1" x14ac:dyDescent="0.25"/>
    <row r="2141" ht="15" customHeight="1" x14ac:dyDescent="0.25"/>
    <row r="2143" ht="15" customHeight="1" x14ac:dyDescent="0.25"/>
    <row r="2145" ht="15" customHeight="1" x14ac:dyDescent="0.25"/>
    <row r="2147" ht="15" customHeight="1" x14ac:dyDescent="0.25"/>
    <row r="2149" ht="15" customHeight="1" x14ac:dyDescent="0.25"/>
    <row r="2151" ht="15" customHeight="1" x14ac:dyDescent="0.25"/>
    <row r="2153" ht="15" customHeight="1" x14ac:dyDescent="0.25"/>
    <row r="2155" ht="15" customHeight="1" x14ac:dyDescent="0.25"/>
    <row r="2157" ht="15" customHeight="1" x14ac:dyDescent="0.25"/>
    <row r="2159" ht="15" customHeight="1" x14ac:dyDescent="0.25"/>
    <row r="2161" ht="15" customHeight="1" x14ac:dyDescent="0.25"/>
    <row r="2163" ht="15" customHeight="1" x14ac:dyDescent="0.25"/>
    <row r="2165" ht="15" customHeight="1" x14ac:dyDescent="0.25"/>
    <row r="2167" ht="15" customHeight="1" x14ac:dyDescent="0.25"/>
    <row r="2169" ht="15" customHeight="1" x14ac:dyDescent="0.25"/>
    <row r="2171" ht="15" customHeight="1" x14ac:dyDescent="0.25"/>
    <row r="2173" ht="15" customHeight="1" x14ac:dyDescent="0.25"/>
    <row r="2175" ht="15" customHeight="1" x14ac:dyDescent="0.25"/>
    <row r="2177" ht="15" customHeight="1" x14ac:dyDescent="0.25"/>
    <row r="2179" ht="15" customHeight="1" x14ac:dyDescent="0.25"/>
    <row r="2181" ht="15" customHeight="1" x14ac:dyDescent="0.25"/>
    <row r="2183" ht="15" customHeight="1" x14ac:dyDescent="0.25"/>
    <row r="2185" ht="15" customHeight="1" x14ac:dyDescent="0.25"/>
    <row r="2187" ht="15" customHeight="1" x14ac:dyDescent="0.25"/>
    <row r="2189" ht="15" customHeight="1" x14ac:dyDescent="0.25"/>
    <row r="2191" ht="15" customHeight="1" x14ac:dyDescent="0.25"/>
    <row r="2193" ht="15" customHeight="1" x14ac:dyDescent="0.25"/>
    <row r="2195" ht="15" customHeight="1" x14ac:dyDescent="0.25"/>
    <row r="2197" ht="15" customHeight="1" x14ac:dyDescent="0.25"/>
    <row r="2199" ht="15" customHeight="1" x14ac:dyDescent="0.25"/>
    <row r="2201" ht="15" customHeight="1" x14ac:dyDescent="0.25"/>
    <row r="2203" ht="15" customHeight="1" x14ac:dyDescent="0.25"/>
    <row r="2205" ht="15" customHeight="1" x14ac:dyDescent="0.25"/>
    <row r="2207" ht="15" customHeight="1" x14ac:dyDescent="0.25"/>
    <row r="2209" ht="15" customHeight="1" x14ac:dyDescent="0.25"/>
    <row r="2211" ht="15" customHeight="1" x14ac:dyDescent="0.25"/>
    <row r="2213" ht="15" customHeight="1" x14ac:dyDescent="0.25"/>
    <row r="2215" ht="15" customHeight="1" x14ac:dyDescent="0.25"/>
    <row r="2217" ht="15" customHeight="1" x14ac:dyDescent="0.25"/>
    <row r="2219" ht="15" customHeight="1" x14ac:dyDescent="0.25"/>
    <row r="2221" ht="15" customHeight="1" x14ac:dyDescent="0.25"/>
    <row r="2223" ht="15" customHeight="1" x14ac:dyDescent="0.25"/>
    <row r="2225" ht="15" customHeight="1" x14ac:dyDescent="0.25"/>
    <row r="2227" ht="15" customHeight="1" x14ac:dyDescent="0.25"/>
    <row r="2229" ht="15" customHeight="1" x14ac:dyDescent="0.25"/>
    <row r="2231" ht="15" customHeight="1" x14ac:dyDescent="0.25"/>
    <row r="2233" ht="15" customHeight="1" x14ac:dyDescent="0.25"/>
    <row r="2235" ht="15" customHeight="1" x14ac:dyDescent="0.25"/>
    <row r="2237" ht="15" customHeight="1" x14ac:dyDescent="0.25"/>
    <row r="2239" ht="15" customHeight="1" x14ac:dyDescent="0.25"/>
    <row r="2241" ht="15" customHeight="1" x14ac:dyDescent="0.25"/>
    <row r="2243" ht="15" customHeight="1" x14ac:dyDescent="0.25"/>
    <row r="2245" ht="15" customHeight="1" x14ac:dyDescent="0.25"/>
    <row r="2247" ht="15" customHeight="1" x14ac:dyDescent="0.25"/>
    <row r="2249" ht="15" customHeight="1" x14ac:dyDescent="0.25"/>
    <row r="2251" ht="15" customHeight="1" x14ac:dyDescent="0.25"/>
    <row r="2253" ht="15" customHeight="1" x14ac:dyDescent="0.25"/>
    <row r="2255" ht="15" customHeight="1" x14ac:dyDescent="0.25"/>
    <row r="2257" ht="15" customHeight="1" x14ac:dyDescent="0.25"/>
    <row r="2259" ht="15" customHeight="1" x14ac:dyDescent="0.25"/>
    <row r="2261" ht="15" customHeight="1" x14ac:dyDescent="0.25"/>
    <row r="2263" ht="15" customHeight="1" x14ac:dyDescent="0.25"/>
    <row r="2265" ht="15" customHeight="1" x14ac:dyDescent="0.25"/>
    <row r="2267" ht="15" customHeight="1" x14ac:dyDescent="0.25"/>
    <row r="2269" ht="15" customHeight="1" x14ac:dyDescent="0.25"/>
    <row r="2271" ht="15" customHeight="1" x14ac:dyDescent="0.25"/>
    <row r="2273" ht="15" customHeight="1" x14ac:dyDescent="0.25"/>
    <row r="2275" ht="15" customHeight="1" x14ac:dyDescent="0.25"/>
    <row r="2277" ht="15" customHeight="1" x14ac:dyDescent="0.25"/>
    <row r="2279" ht="15" customHeight="1" x14ac:dyDescent="0.25"/>
    <row r="2281" ht="15" customHeight="1" x14ac:dyDescent="0.25"/>
    <row r="2283" ht="15" customHeight="1" x14ac:dyDescent="0.25"/>
    <row r="2285" ht="15" customHeight="1" x14ac:dyDescent="0.25"/>
    <row r="2287" ht="15" customHeight="1" x14ac:dyDescent="0.25"/>
    <row r="2289" ht="15" customHeight="1" x14ac:dyDescent="0.25"/>
    <row r="2291" ht="15" customHeight="1" x14ac:dyDescent="0.25"/>
    <row r="2293" ht="15" customHeight="1" x14ac:dyDescent="0.25"/>
    <row r="2295" ht="15" customHeight="1" x14ac:dyDescent="0.25"/>
    <row r="2297" ht="15" customHeight="1" x14ac:dyDescent="0.25"/>
    <row r="2299" ht="15" customHeight="1" x14ac:dyDescent="0.25"/>
    <row r="2301" ht="15" customHeight="1" x14ac:dyDescent="0.25"/>
    <row r="2303" ht="15" customHeight="1" x14ac:dyDescent="0.25"/>
    <row r="2305" ht="15" customHeight="1" x14ac:dyDescent="0.25"/>
    <row r="2307" ht="15" customHeight="1" x14ac:dyDescent="0.25"/>
    <row r="2309" ht="15" customHeight="1" x14ac:dyDescent="0.25"/>
    <row r="2311" ht="15" customHeight="1" x14ac:dyDescent="0.25"/>
    <row r="2313" ht="15" customHeight="1" x14ac:dyDescent="0.25"/>
    <row r="2315" ht="15" customHeight="1" x14ac:dyDescent="0.25"/>
    <row r="2317" ht="15" customHeight="1" x14ac:dyDescent="0.25"/>
    <row r="2319" ht="15" customHeight="1" x14ac:dyDescent="0.25"/>
    <row r="2321" ht="15" customHeight="1" x14ac:dyDescent="0.25"/>
    <row r="2323" ht="15" customHeight="1" x14ac:dyDescent="0.25"/>
    <row r="2325" ht="15" customHeight="1" x14ac:dyDescent="0.25"/>
    <row r="2327" ht="15" customHeight="1" x14ac:dyDescent="0.25"/>
    <row r="2329" ht="15" customHeight="1" x14ac:dyDescent="0.25"/>
    <row r="2331" ht="15" customHeight="1" x14ac:dyDescent="0.25"/>
    <row r="2333" ht="15" customHeight="1" x14ac:dyDescent="0.25"/>
    <row r="2335" ht="15" customHeight="1" x14ac:dyDescent="0.25"/>
    <row r="2337" ht="15" customHeight="1" x14ac:dyDescent="0.25"/>
    <row r="2339" ht="15" customHeight="1" x14ac:dyDescent="0.25"/>
    <row r="2341" ht="15" customHeight="1" x14ac:dyDescent="0.25"/>
    <row r="2343" ht="15" customHeight="1" x14ac:dyDescent="0.25"/>
    <row r="2345" ht="15" customHeight="1" x14ac:dyDescent="0.25"/>
    <row r="2347" ht="15" customHeight="1" x14ac:dyDescent="0.25"/>
    <row r="2349" ht="15" customHeight="1" x14ac:dyDescent="0.25"/>
    <row r="2351" ht="15" customHeight="1" x14ac:dyDescent="0.25"/>
    <row r="2353" ht="15" customHeight="1" x14ac:dyDescent="0.25"/>
    <row r="2355" ht="15" customHeight="1" x14ac:dyDescent="0.25"/>
    <row r="2357" ht="15" customHeight="1" x14ac:dyDescent="0.25"/>
    <row r="2359" ht="15" customHeight="1" x14ac:dyDescent="0.25"/>
    <row r="2361" ht="15" customHeight="1" x14ac:dyDescent="0.25"/>
    <row r="2363" ht="15" customHeight="1" x14ac:dyDescent="0.25"/>
    <row r="2365" ht="15" customHeight="1" x14ac:dyDescent="0.25"/>
    <row r="2367" ht="15" customHeight="1" x14ac:dyDescent="0.25"/>
    <row r="2369" ht="15" customHeight="1" x14ac:dyDescent="0.25"/>
    <row r="2371" ht="15" customHeight="1" x14ac:dyDescent="0.25"/>
    <row r="2373" ht="15" customHeight="1" x14ac:dyDescent="0.25"/>
    <row r="2375" ht="15" customHeight="1" x14ac:dyDescent="0.25"/>
    <row r="2377" ht="15" customHeight="1" x14ac:dyDescent="0.25"/>
    <row r="2379" ht="15" customHeight="1" x14ac:dyDescent="0.25"/>
    <row r="2381" ht="15" customHeight="1" x14ac:dyDescent="0.25"/>
    <row r="2383" ht="15" customHeight="1" x14ac:dyDescent="0.25"/>
    <row r="2385" ht="15" customHeight="1" x14ac:dyDescent="0.25"/>
    <row r="2387" ht="15" customHeight="1" x14ac:dyDescent="0.25"/>
    <row r="2389" ht="15" customHeight="1" x14ac:dyDescent="0.25"/>
    <row r="2391" ht="15" customHeight="1" x14ac:dyDescent="0.25"/>
    <row r="2393" ht="15" customHeight="1" x14ac:dyDescent="0.25"/>
    <row r="2395" ht="15" customHeight="1" x14ac:dyDescent="0.25"/>
    <row r="2397" ht="15" customHeight="1" x14ac:dyDescent="0.25"/>
    <row r="2399" ht="15" customHeight="1" x14ac:dyDescent="0.25"/>
    <row r="2401" ht="15" customHeight="1" x14ac:dyDescent="0.25"/>
    <row r="2403" ht="15" customHeight="1" x14ac:dyDescent="0.25"/>
    <row r="2405" ht="15" customHeight="1" x14ac:dyDescent="0.25"/>
    <row r="2407" ht="15" customHeight="1" x14ac:dyDescent="0.25"/>
    <row r="2409" ht="15" customHeight="1" x14ac:dyDescent="0.25"/>
    <row r="2411" ht="15" customHeight="1" x14ac:dyDescent="0.25"/>
    <row r="2413" ht="15" customHeight="1" x14ac:dyDescent="0.25"/>
    <row r="2415" ht="15" customHeight="1" x14ac:dyDescent="0.25"/>
    <row r="2417" ht="15" customHeight="1" x14ac:dyDescent="0.25"/>
    <row r="2419" ht="15" customHeight="1" x14ac:dyDescent="0.25"/>
    <row r="2421" ht="15" customHeight="1" x14ac:dyDescent="0.25"/>
    <row r="2423" ht="15" customHeight="1" x14ac:dyDescent="0.25"/>
    <row r="2425" ht="15" customHeight="1" x14ac:dyDescent="0.25"/>
    <row r="2427" ht="15" customHeight="1" x14ac:dyDescent="0.25"/>
    <row r="2429" ht="15" customHeight="1" x14ac:dyDescent="0.25"/>
    <row r="2431" ht="15" customHeight="1" x14ac:dyDescent="0.25"/>
    <row r="2433" ht="15" customHeight="1" x14ac:dyDescent="0.25"/>
    <row r="2435" ht="15" customHeight="1" x14ac:dyDescent="0.25"/>
    <row r="2437" ht="15" customHeight="1" x14ac:dyDescent="0.25"/>
    <row r="2439" ht="15" customHeight="1" x14ac:dyDescent="0.25"/>
    <row r="2441" ht="15" customHeight="1" x14ac:dyDescent="0.25"/>
    <row r="2443" ht="15" customHeight="1" x14ac:dyDescent="0.25"/>
    <row r="2445" ht="15" customHeight="1" x14ac:dyDescent="0.25"/>
    <row r="2447" ht="15" customHeight="1" x14ac:dyDescent="0.25"/>
    <row r="2449" ht="15" customHeight="1" x14ac:dyDescent="0.25"/>
    <row r="2451" ht="15" customHeight="1" x14ac:dyDescent="0.25"/>
    <row r="2453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3" ht="15" customHeight="1" x14ac:dyDescent="0.25"/>
    <row r="2465" ht="15" customHeight="1" x14ac:dyDescent="0.25"/>
    <row r="2467" ht="15" customHeight="1" x14ac:dyDescent="0.25"/>
    <row r="2469" ht="15" customHeight="1" x14ac:dyDescent="0.25"/>
    <row r="2471" ht="15" customHeight="1" x14ac:dyDescent="0.25"/>
    <row r="2473" ht="15" customHeight="1" x14ac:dyDescent="0.25"/>
    <row r="2475" ht="15" customHeight="1" x14ac:dyDescent="0.25"/>
    <row r="2477" ht="15" customHeight="1" x14ac:dyDescent="0.25"/>
    <row r="2479" ht="15" customHeight="1" x14ac:dyDescent="0.25"/>
    <row r="2481" ht="15" customHeight="1" x14ac:dyDescent="0.25"/>
    <row r="2483" ht="15" customHeight="1" x14ac:dyDescent="0.25"/>
    <row r="2485" ht="15" customHeight="1" x14ac:dyDescent="0.25"/>
    <row r="2487" ht="15" customHeight="1" x14ac:dyDescent="0.25"/>
    <row r="2489" ht="15" customHeight="1" x14ac:dyDescent="0.25"/>
    <row r="2491" ht="15" customHeight="1" x14ac:dyDescent="0.25"/>
    <row r="2493" ht="15" customHeight="1" x14ac:dyDescent="0.25"/>
    <row r="2495" ht="15" customHeight="1" x14ac:dyDescent="0.25"/>
    <row r="2497" ht="15" customHeight="1" x14ac:dyDescent="0.25"/>
    <row r="2499" ht="15" customHeight="1" x14ac:dyDescent="0.25"/>
    <row r="2501" ht="15" customHeight="1" x14ac:dyDescent="0.25"/>
    <row r="2503" ht="15" customHeight="1" x14ac:dyDescent="0.25"/>
    <row r="2505" ht="15" customHeight="1" x14ac:dyDescent="0.25"/>
    <row r="2507" ht="15" customHeight="1" x14ac:dyDescent="0.25"/>
    <row r="2509" ht="15" customHeight="1" x14ac:dyDescent="0.25"/>
    <row r="2511" ht="15" customHeight="1" x14ac:dyDescent="0.25"/>
    <row r="2513" ht="15" customHeight="1" x14ac:dyDescent="0.25"/>
    <row r="2515" ht="15" customHeight="1" x14ac:dyDescent="0.25"/>
    <row r="2517" ht="15" customHeight="1" x14ac:dyDescent="0.25"/>
    <row r="2519" ht="15" customHeight="1" x14ac:dyDescent="0.25"/>
    <row r="2521" ht="15" customHeight="1" x14ac:dyDescent="0.25"/>
    <row r="2523" ht="15" customHeight="1" x14ac:dyDescent="0.25"/>
    <row r="2525" ht="15" customHeight="1" x14ac:dyDescent="0.25"/>
    <row r="2527" ht="15" customHeight="1" x14ac:dyDescent="0.25"/>
    <row r="2529" ht="15" customHeight="1" x14ac:dyDescent="0.25"/>
    <row r="2531" ht="15" customHeight="1" x14ac:dyDescent="0.25"/>
    <row r="2533" ht="15" customHeight="1" x14ac:dyDescent="0.25"/>
    <row r="2535" ht="15" customHeight="1" x14ac:dyDescent="0.25"/>
    <row r="2537" ht="15" customHeight="1" x14ac:dyDescent="0.25"/>
    <row r="2539" ht="15" customHeight="1" x14ac:dyDescent="0.25"/>
    <row r="2541" ht="15" customHeight="1" x14ac:dyDescent="0.25"/>
    <row r="2543" ht="15" customHeight="1" x14ac:dyDescent="0.25"/>
    <row r="2545" ht="15" customHeight="1" x14ac:dyDescent="0.25"/>
    <row r="2547" ht="15" customHeight="1" x14ac:dyDescent="0.25"/>
    <row r="2549" ht="15" customHeight="1" x14ac:dyDescent="0.25"/>
    <row r="2551" ht="15" customHeight="1" x14ac:dyDescent="0.25"/>
    <row r="2553" ht="15" customHeight="1" x14ac:dyDescent="0.25"/>
    <row r="2555" ht="15" customHeight="1" x14ac:dyDescent="0.25"/>
    <row r="2557" ht="15" customHeight="1" x14ac:dyDescent="0.25"/>
    <row r="2559" ht="15" customHeight="1" x14ac:dyDescent="0.25"/>
    <row r="2561" ht="15" customHeight="1" x14ac:dyDescent="0.25"/>
    <row r="2563" ht="15" customHeight="1" x14ac:dyDescent="0.25"/>
    <row r="2565" ht="15" customHeight="1" x14ac:dyDescent="0.25"/>
    <row r="2567" ht="15" customHeight="1" x14ac:dyDescent="0.25"/>
    <row r="2569" ht="15" customHeight="1" x14ac:dyDescent="0.25"/>
    <row r="2571" ht="15" customHeight="1" x14ac:dyDescent="0.25"/>
    <row r="2573" ht="15" customHeight="1" x14ac:dyDescent="0.25"/>
    <row r="2575" ht="15" customHeight="1" x14ac:dyDescent="0.25"/>
    <row r="2577" ht="15" customHeight="1" x14ac:dyDescent="0.25"/>
    <row r="2579" ht="15" customHeight="1" x14ac:dyDescent="0.25"/>
    <row r="2581" ht="15" customHeight="1" x14ac:dyDescent="0.25"/>
    <row r="2583" ht="15" customHeight="1" x14ac:dyDescent="0.25"/>
    <row r="2585" ht="15" customHeight="1" x14ac:dyDescent="0.25"/>
    <row r="2587" ht="15" customHeight="1" x14ac:dyDescent="0.25"/>
    <row r="2589" ht="15" customHeight="1" x14ac:dyDescent="0.25"/>
    <row r="2591" ht="15" customHeight="1" x14ac:dyDescent="0.25"/>
    <row r="2593" ht="15" customHeight="1" x14ac:dyDescent="0.25"/>
    <row r="2595" ht="15" customHeight="1" x14ac:dyDescent="0.25"/>
    <row r="2597" ht="15" customHeight="1" x14ac:dyDescent="0.25"/>
    <row r="2599" ht="15" customHeight="1" x14ac:dyDescent="0.25"/>
    <row r="2601" ht="15" customHeight="1" x14ac:dyDescent="0.25"/>
    <row r="2603" ht="15" customHeight="1" x14ac:dyDescent="0.25"/>
    <row r="2605" ht="15" customHeight="1" x14ac:dyDescent="0.25"/>
    <row r="2607" ht="15" customHeight="1" x14ac:dyDescent="0.25"/>
    <row r="2609" ht="15" customHeight="1" x14ac:dyDescent="0.25"/>
    <row r="2611" ht="15" customHeight="1" x14ac:dyDescent="0.25"/>
    <row r="2613" ht="15" customHeight="1" x14ac:dyDescent="0.25"/>
    <row r="2615" ht="15" customHeight="1" x14ac:dyDescent="0.25"/>
    <row r="2617" ht="15" customHeight="1" x14ac:dyDescent="0.25"/>
    <row r="2619" ht="15" customHeight="1" x14ac:dyDescent="0.25"/>
    <row r="2621" ht="15" customHeight="1" x14ac:dyDescent="0.25"/>
    <row r="2623" ht="15" customHeight="1" x14ac:dyDescent="0.25"/>
    <row r="2625" ht="15" customHeight="1" x14ac:dyDescent="0.25"/>
    <row r="2627" ht="15" customHeight="1" x14ac:dyDescent="0.25"/>
    <row r="2629" ht="15" customHeight="1" x14ac:dyDescent="0.25"/>
    <row r="2631" ht="15" customHeight="1" x14ac:dyDescent="0.25"/>
    <row r="2633" ht="15" customHeight="1" x14ac:dyDescent="0.25"/>
    <row r="2635" ht="15" customHeight="1" x14ac:dyDescent="0.25"/>
    <row r="2637" ht="15" customHeight="1" x14ac:dyDescent="0.25"/>
    <row r="2639" ht="15" customHeight="1" x14ac:dyDescent="0.25"/>
    <row r="2641" ht="15" customHeight="1" x14ac:dyDescent="0.25"/>
    <row r="2643" ht="15" customHeight="1" x14ac:dyDescent="0.25"/>
    <row r="2645" ht="15" customHeight="1" x14ac:dyDescent="0.25"/>
    <row r="2647" ht="15" customHeight="1" x14ac:dyDescent="0.25"/>
    <row r="2649" ht="15" customHeight="1" x14ac:dyDescent="0.25"/>
    <row r="2651" ht="15" customHeight="1" x14ac:dyDescent="0.25"/>
    <row r="2653" ht="15" customHeight="1" x14ac:dyDescent="0.25"/>
    <row r="2655" ht="15" customHeight="1" x14ac:dyDescent="0.25"/>
    <row r="2657" ht="15" customHeight="1" x14ac:dyDescent="0.25"/>
    <row r="2659" ht="15" customHeight="1" x14ac:dyDescent="0.25"/>
    <row r="2661" ht="15" customHeight="1" x14ac:dyDescent="0.25"/>
    <row r="2663" ht="15" customHeight="1" x14ac:dyDescent="0.25"/>
    <row r="2665" ht="15" customHeight="1" x14ac:dyDescent="0.25"/>
    <row r="2667" ht="15" customHeight="1" x14ac:dyDescent="0.25"/>
    <row r="2669" ht="15" customHeight="1" x14ac:dyDescent="0.25"/>
    <row r="2671" ht="15" customHeight="1" x14ac:dyDescent="0.25"/>
    <row r="2673" ht="15" customHeight="1" x14ac:dyDescent="0.25"/>
    <row r="2675" ht="15" customHeight="1" x14ac:dyDescent="0.25"/>
    <row r="2677" ht="15" customHeight="1" x14ac:dyDescent="0.25"/>
    <row r="2679" ht="15" customHeight="1" x14ac:dyDescent="0.25"/>
    <row r="2681" ht="15" customHeight="1" x14ac:dyDescent="0.25"/>
    <row r="2683" ht="15" customHeight="1" x14ac:dyDescent="0.25"/>
    <row r="2685" ht="15" customHeight="1" x14ac:dyDescent="0.25"/>
    <row r="2687" ht="15" customHeight="1" x14ac:dyDescent="0.25"/>
    <row r="2689" ht="15" customHeight="1" x14ac:dyDescent="0.25"/>
    <row r="2691" ht="15" customHeight="1" x14ac:dyDescent="0.25"/>
    <row r="2693" ht="15" customHeight="1" x14ac:dyDescent="0.25"/>
    <row r="2695" ht="15" customHeight="1" x14ac:dyDescent="0.25"/>
    <row r="2697" ht="15" customHeight="1" x14ac:dyDescent="0.25"/>
    <row r="2699" ht="15" customHeight="1" x14ac:dyDescent="0.25"/>
    <row r="2701" ht="15" customHeight="1" x14ac:dyDescent="0.25"/>
    <row r="2703" ht="15" customHeight="1" x14ac:dyDescent="0.25"/>
    <row r="2705" ht="15" customHeight="1" x14ac:dyDescent="0.25"/>
    <row r="2707" ht="15" customHeight="1" x14ac:dyDescent="0.25"/>
    <row r="2709" ht="15" customHeight="1" x14ac:dyDescent="0.25"/>
    <row r="2711" ht="15" customHeight="1" x14ac:dyDescent="0.25"/>
    <row r="2713" ht="15" customHeight="1" x14ac:dyDescent="0.25"/>
    <row r="2715" ht="15" customHeight="1" x14ac:dyDescent="0.25"/>
    <row r="2717" ht="15" customHeight="1" x14ac:dyDescent="0.25"/>
    <row r="2719" ht="15" customHeight="1" x14ac:dyDescent="0.25"/>
    <row r="2721" ht="15" customHeight="1" x14ac:dyDescent="0.25"/>
    <row r="2723" ht="15" customHeight="1" x14ac:dyDescent="0.25"/>
    <row r="2725" ht="15" customHeight="1" x14ac:dyDescent="0.25"/>
    <row r="2727" ht="15" customHeight="1" x14ac:dyDescent="0.25"/>
    <row r="2729" ht="15" customHeight="1" x14ac:dyDescent="0.25"/>
    <row r="2731" ht="15" customHeight="1" x14ac:dyDescent="0.25"/>
    <row r="2733" ht="15" customHeight="1" x14ac:dyDescent="0.25"/>
    <row r="2735" ht="15" customHeight="1" x14ac:dyDescent="0.25"/>
    <row r="2737" ht="15" customHeight="1" x14ac:dyDescent="0.25"/>
    <row r="2739" ht="15" customHeight="1" x14ac:dyDescent="0.25"/>
    <row r="2741" ht="15" customHeight="1" x14ac:dyDescent="0.25"/>
    <row r="2743" ht="15" customHeight="1" x14ac:dyDescent="0.25"/>
    <row r="2745" ht="15" customHeight="1" x14ac:dyDescent="0.25"/>
    <row r="2747" ht="15" customHeight="1" x14ac:dyDescent="0.25"/>
    <row r="2749" ht="15" customHeight="1" x14ac:dyDescent="0.25"/>
    <row r="2751" ht="15" customHeight="1" x14ac:dyDescent="0.25"/>
    <row r="2753" ht="15" customHeight="1" x14ac:dyDescent="0.25"/>
    <row r="2755" ht="15" customHeight="1" x14ac:dyDescent="0.25"/>
    <row r="2757" ht="15" customHeight="1" x14ac:dyDescent="0.25"/>
    <row r="2759" ht="15" customHeight="1" x14ac:dyDescent="0.25"/>
    <row r="2761" ht="15" customHeight="1" x14ac:dyDescent="0.25"/>
    <row r="2763" ht="15" customHeight="1" x14ac:dyDescent="0.25"/>
    <row r="2765" ht="15" customHeight="1" x14ac:dyDescent="0.25"/>
    <row r="2767" ht="15" customHeight="1" x14ac:dyDescent="0.25"/>
    <row r="2769" ht="15" customHeight="1" x14ac:dyDescent="0.25"/>
    <row r="2771" ht="15" customHeight="1" x14ac:dyDescent="0.25"/>
    <row r="2773" ht="15" customHeight="1" x14ac:dyDescent="0.25"/>
    <row r="2775" ht="15" customHeight="1" x14ac:dyDescent="0.25"/>
    <row r="2777" ht="15" customHeight="1" x14ac:dyDescent="0.25"/>
    <row r="2779" ht="15" customHeight="1" x14ac:dyDescent="0.25"/>
    <row r="2781" ht="15" customHeight="1" x14ac:dyDescent="0.25"/>
    <row r="2783" ht="15" customHeight="1" x14ac:dyDescent="0.25"/>
    <row r="2785" ht="15" customHeight="1" x14ac:dyDescent="0.25"/>
    <row r="2787" ht="15" customHeight="1" x14ac:dyDescent="0.25"/>
    <row r="2789" ht="15" customHeight="1" x14ac:dyDescent="0.25"/>
    <row r="2791" ht="15" customHeight="1" x14ac:dyDescent="0.25"/>
    <row r="2793" ht="15" customHeight="1" x14ac:dyDescent="0.25"/>
    <row r="2795" ht="15" customHeight="1" x14ac:dyDescent="0.25"/>
    <row r="2797" ht="15" customHeight="1" x14ac:dyDescent="0.25"/>
    <row r="2799" ht="15" customHeight="1" x14ac:dyDescent="0.25"/>
    <row r="2801" ht="15" customHeight="1" x14ac:dyDescent="0.25"/>
    <row r="2803" ht="15" customHeight="1" x14ac:dyDescent="0.25"/>
    <row r="2805" ht="15" customHeight="1" x14ac:dyDescent="0.25"/>
    <row r="2807" ht="15" customHeight="1" x14ac:dyDescent="0.25"/>
    <row r="2809" ht="15" customHeight="1" x14ac:dyDescent="0.25"/>
    <row r="2811" ht="15" customHeight="1" x14ac:dyDescent="0.25"/>
    <row r="2813" ht="15" customHeight="1" x14ac:dyDescent="0.25"/>
    <row r="2815" ht="15" customHeight="1" x14ac:dyDescent="0.25"/>
    <row r="2817" ht="15" customHeight="1" x14ac:dyDescent="0.25"/>
    <row r="2819" ht="15" customHeight="1" x14ac:dyDescent="0.25"/>
    <row r="2821" ht="15" customHeight="1" x14ac:dyDescent="0.25"/>
    <row r="2823" ht="15" customHeight="1" x14ac:dyDescent="0.25"/>
    <row r="2825" ht="15" customHeight="1" x14ac:dyDescent="0.25"/>
    <row r="2827" ht="15" customHeight="1" x14ac:dyDescent="0.25"/>
    <row r="2829" ht="15" customHeight="1" x14ac:dyDescent="0.25"/>
    <row r="2831" ht="15" customHeight="1" x14ac:dyDescent="0.25"/>
    <row r="2833" ht="15" customHeight="1" x14ac:dyDescent="0.25"/>
    <row r="2835" ht="15" customHeight="1" x14ac:dyDescent="0.25"/>
    <row r="2837" ht="15" customHeight="1" x14ac:dyDescent="0.25"/>
    <row r="2839" ht="15" customHeight="1" x14ac:dyDescent="0.25"/>
    <row r="2841" ht="15" customHeight="1" x14ac:dyDescent="0.25"/>
    <row r="2843" ht="15" customHeight="1" x14ac:dyDescent="0.25"/>
    <row r="2845" ht="15" customHeight="1" x14ac:dyDescent="0.25"/>
    <row r="2847" ht="15" customHeight="1" x14ac:dyDescent="0.25"/>
    <row r="2849" ht="15" customHeight="1" x14ac:dyDescent="0.25"/>
    <row r="2851" ht="15" customHeight="1" x14ac:dyDescent="0.25"/>
    <row r="2853" ht="15" customHeight="1" x14ac:dyDescent="0.25"/>
    <row r="2855" ht="15" customHeight="1" x14ac:dyDescent="0.25"/>
    <row r="2857" ht="15" customHeight="1" x14ac:dyDescent="0.25"/>
    <row r="2859" ht="15" customHeight="1" x14ac:dyDescent="0.25"/>
    <row r="2861" ht="15" customHeight="1" x14ac:dyDescent="0.25"/>
    <row r="2863" ht="15" customHeight="1" x14ac:dyDescent="0.25"/>
    <row r="2865" ht="15" customHeight="1" x14ac:dyDescent="0.25"/>
    <row r="2867" ht="15" customHeight="1" x14ac:dyDescent="0.25"/>
    <row r="2869" ht="15" customHeight="1" x14ac:dyDescent="0.25"/>
    <row r="2871" ht="15" customHeight="1" x14ac:dyDescent="0.25"/>
    <row r="2873" ht="15" customHeight="1" x14ac:dyDescent="0.25"/>
    <row r="2875" ht="15" customHeight="1" x14ac:dyDescent="0.25"/>
    <row r="2877" ht="15" customHeight="1" x14ac:dyDescent="0.25"/>
    <row r="2879" ht="15" customHeight="1" x14ac:dyDescent="0.25"/>
    <row r="2881" ht="15" customHeight="1" x14ac:dyDescent="0.25"/>
    <row r="2883" ht="15" customHeight="1" x14ac:dyDescent="0.25"/>
    <row r="2885" ht="15" customHeight="1" x14ac:dyDescent="0.25"/>
    <row r="2887" ht="15" customHeight="1" x14ac:dyDescent="0.25"/>
    <row r="2889" ht="15" customHeight="1" x14ac:dyDescent="0.25"/>
    <row r="2891" ht="15" customHeight="1" x14ac:dyDescent="0.25"/>
    <row r="2893" ht="15" customHeight="1" x14ac:dyDescent="0.25"/>
    <row r="2895" ht="15" customHeight="1" x14ac:dyDescent="0.25"/>
    <row r="2897" ht="15" customHeight="1" x14ac:dyDescent="0.25"/>
    <row r="2899" ht="15" customHeight="1" x14ac:dyDescent="0.25"/>
    <row r="2901" ht="15" customHeight="1" x14ac:dyDescent="0.25"/>
    <row r="2903" ht="15" customHeight="1" x14ac:dyDescent="0.25"/>
    <row r="2905" ht="15" customHeight="1" x14ac:dyDescent="0.25"/>
    <row r="2907" ht="15" customHeight="1" x14ac:dyDescent="0.25"/>
    <row r="2909" ht="15" customHeight="1" x14ac:dyDescent="0.25"/>
    <row r="2911" ht="15" customHeight="1" x14ac:dyDescent="0.25"/>
    <row r="2913" ht="15" customHeight="1" x14ac:dyDescent="0.25"/>
    <row r="2915" ht="15" customHeight="1" x14ac:dyDescent="0.25"/>
    <row r="2917" ht="15" customHeight="1" x14ac:dyDescent="0.25"/>
    <row r="2919" ht="15" customHeight="1" x14ac:dyDescent="0.25"/>
    <row r="2921" ht="15" customHeight="1" x14ac:dyDescent="0.25"/>
    <row r="2923" ht="15" customHeight="1" x14ac:dyDescent="0.25"/>
    <row r="2925" ht="15" customHeight="1" x14ac:dyDescent="0.25"/>
    <row r="2927" ht="15" customHeight="1" x14ac:dyDescent="0.25"/>
    <row r="2929" ht="15" customHeight="1" x14ac:dyDescent="0.25"/>
    <row r="2931" ht="15" customHeight="1" x14ac:dyDescent="0.25"/>
    <row r="2933" ht="15" customHeight="1" x14ac:dyDescent="0.25"/>
    <row r="2935" ht="15" customHeight="1" x14ac:dyDescent="0.25"/>
    <row r="2937" ht="15" customHeight="1" x14ac:dyDescent="0.25"/>
    <row r="2939" ht="15" customHeight="1" x14ac:dyDescent="0.25"/>
    <row r="2941" ht="15" customHeight="1" x14ac:dyDescent="0.25"/>
    <row r="2943" ht="15" customHeight="1" x14ac:dyDescent="0.25"/>
    <row r="2945" ht="15" customHeight="1" x14ac:dyDescent="0.25"/>
    <row r="2947" ht="15" customHeight="1" x14ac:dyDescent="0.25"/>
    <row r="2949" ht="15" customHeight="1" x14ac:dyDescent="0.25"/>
    <row r="2951" ht="15" customHeight="1" x14ac:dyDescent="0.25"/>
    <row r="2953" ht="15" customHeight="1" x14ac:dyDescent="0.25"/>
    <row r="2955" ht="15" customHeight="1" x14ac:dyDescent="0.25"/>
    <row r="2957" ht="15" customHeight="1" x14ac:dyDescent="0.25"/>
    <row r="2959" ht="15" customHeight="1" x14ac:dyDescent="0.25"/>
    <row r="2961" ht="15" customHeight="1" x14ac:dyDescent="0.25"/>
    <row r="2963" ht="15" customHeight="1" x14ac:dyDescent="0.25"/>
    <row r="2965" ht="15" customHeight="1" x14ac:dyDescent="0.25"/>
    <row r="2967" ht="15" customHeight="1" x14ac:dyDescent="0.25"/>
    <row r="2969" ht="15" customHeight="1" x14ac:dyDescent="0.25"/>
    <row r="2971" ht="15" customHeight="1" x14ac:dyDescent="0.25"/>
    <row r="2973" ht="15" customHeight="1" x14ac:dyDescent="0.25"/>
    <row r="2975" ht="15" customHeight="1" x14ac:dyDescent="0.25"/>
    <row r="2977" ht="15" customHeight="1" x14ac:dyDescent="0.25"/>
    <row r="2979" ht="15" customHeight="1" x14ac:dyDescent="0.25"/>
    <row r="2981" ht="15" customHeight="1" x14ac:dyDescent="0.25"/>
    <row r="2983" ht="15" customHeight="1" x14ac:dyDescent="0.25"/>
    <row r="2985" ht="15" customHeight="1" x14ac:dyDescent="0.25"/>
    <row r="2987" ht="15" customHeight="1" x14ac:dyDescent="0.25"/>
    <row r="2989" ht="15" customHeight="1" x14ac:dyDescent="0.25"/>
    <row r="2991" ht="15" customHeight="1" x14ac:dyDescent="0.25"/>
    <row r="2993" ht="15" customHeight="1" x14ac:dyDescent="0.25"/>
    <row r="2995" ht="15" customHeight="1" x14ac:dyDescent="0.25"/>
    <row r="2997" ht="15" customHeight="1" x14ac:dyDescent="0.25"/>
    <row r="2999" ht="15" customHeight="1" x14ac:dyDescent="0.25"/>
    <row r="3001" ht="15" customHeight="1" x14ac:dyDescent="0.25"/>
    <row r="3003" ht="15" customHeight="1" x14ac:dyDescent="0.25"/>
    <row r="3005" ht="15" customHeight="1" x14ac:dyDescent="0.25"/>
    <row r="3007" ht="15" customHeight="1" x14ac:dyDescent="0.25"/>
    <row r="3009" ht="15" customHeight="1" x14ac:dyDescent="0.25"/>
    <row r="3011" ht="15" customHeight="1" x14ac:dyDescent="0.25"/>
    <row r="3013" ht="15" customHeight="1" x14ac:dyDescent="0.25"/>
    <row r="3015" ht="15" customHeight="1" x14ac:dyDescent="0.25"/>
    <row r="3017" ht="15" customHeight="1" x14ac:dyDescent="0.25"/>
    <row r="3019" ht="15" customHeight="1" x14ac:dyDescent="0.25"/>
    <row r="3021" ht="15" customHeight="1" x14ac:dyDescent="0.25"/>
    <row r="3023" ht="15" customHeight="1" x14ac:dyDescent="0.25"/>
    <row r="3025" ht="15" customHeight="1" x14ac:dyDescent="0.25"/>
    <row r="3027" ht="15" customHeight="1" x14ac:dyDescent="0.25"/>
    <row r="3029" ht="15" customHeight="1" x14ac:dyDescent="0.25"/>
    <row r="3031" ht="15" customHeight="1" x14ac:dyDescent="0.25"/>
    <row r="3033" ht="15" customHeight="1" x14ac:dyDescent="0.25"/>
    <row r="3035" ht="15" customHeight="1" x14ac:dyDescent="0.25"/>
    <row r="3037" ht="15" customHeight="1" x14ac:dyDescent="0.25"/>
    <row r="3039" ht="15" customHeight="1" x14ac:dyDescent="0.25"/>
    <row r="3041" ht="15" customHeight="1" x14ac:dyDescent="0.25"/>
    <row r="3043" ht="15" customHeight="1" x14ac:dyDescent="0.25"/>
    <row r="3045" ht="15" customHeight="1" x14ac:dyDescent="0.25"/>
    <row r="3047" ht="15" customHeight="1" x14ac:dyDescent="0.25"/>
    <row r="3049" ht="15" customHeight="1" x14ac:dyDescent="0.25"/>
    <row r="3051" ht="15" customHeight="1" x14ac:dyDescent="0.25"/>
    <row r="3053" ht="15" customHeight="1" x14ac:dyDescent="0.25"/>
    <row r="3055" ht="15" customHeight="1" x14ac:dyDescent="0.25"/>
    <row r="3057" ht="15" customHeight="1" x14ac:dyDescent="0.25"/>
    <row r="3059" ht="15" customHeight="1" x14ac:dyDescent="0.25"/>
    <row r="3061" ht="15" customHeight="1" x14ac:dyDescent="0.25"/>
    <row r="3063" ht="15" customHeight="1" x14ac:dyDescent="0.25"/>
    <row r="3065" ht="15" customHeight="1" x14ac:dyDescent="0.25"/>
    <row r="3067" ht="15" customHeight="1" x14ac:dyDescent="0.25"/>
    <row r="3069" ht="15" customHeight="1" x14ac:dyDescent="0.25"/>
    <row r="3071" ht="15" customHeight="1" x14ac:dyDescent="0.25"/>
    <row r="3073" ht="15" customHeight="1" x14ac:dyDescent="0.25"/>
    <row r="3075" ht="15" customHeight="1" x14ac:dyDescent="0.25"/>
    <row r="3077" ht="15" customHeight="1" x14ac:dyDescent="0.25"/>
    <row r="3079" ht="15" customHeight="1" x14ac:dyDescent="0.25"/>
    <row r="3081" ht="15" customHeight="1" x14ac:dyDescent="0.25"/>
    <row r="3083" ht="15" customHeight="1" x14ac:dyDescent="0.25"/>
    <row r="3085" ht="15" customHeight="1" x14ac:dyDescent="0.25"/>
    <row r="3087" ht="15" customHeight="1" x14ac:dyDescent="0.25"/>
    <row r="3089" ht="15" customHeight="1" x14ac:dyDescent="0.25"/>
    <row r="3091" ht="15" customHeight="1" x14ac:dyDescent="0.25"/>
    <row r="3093" ht="15" customHeight="1" x14ac:dyDescent="0.25"/>
    <row r="3095" ht="15" customHeight="1" x14ac:dyDescent="0.25"/>
    <row r="3097" ht="15" customHeight="1" x14ac:dyDescent="0.25"/>
    <row r="3099" ht="15" customHeight="1" x14ac:dyDescent="0.25"/>
    <row r="3101" ht="15" customHeight="1" x14ac:dyDescent="0.25"/>
    <row r="3103" ht="15" customHeight="1" x14ac:dyDescent="0.25"/>
    <row r="3105" ht="15" customHeight="1" x14ac:dyDescent="0.25"/>
    <row r="3107" ht="15" customHeight="1" x14ac:dyDescent="0.25"/>
    <row r="3109" ht="15" customHeight="1" x14ac:dyDescent="0.25"/>
    <row r="3111" ht="15" customHeight="1" x14ac:dyDescent="0.25"/>
    <row r="3113" ht="15" customHeight="1" x14ac:dyDescent="0.25"/>
    <row r="3115" ht="15" customHeight="1" x14ac:dyDescent="0.25"/>
    <row r="3117" ht="15" customHeight="1" x14ac:dyDescent="0.25"/>
    <row r="3119" ht="15" customHeight="1" x14ac:dyDescent="0.25"/>
    <row r="3121" ht="15" customHeight="1" x14ac:dyDescent="0.25"/>
    <row r="3123" ht="15" customHeight="1" x14ac:dyDescent="0.25"/>
    <row r="3125" ht="15" customHeight="1" x14ac:dyDescent="0.25"/>
    <row r="3127" ht="15" customHeight="1" x14ac:dyDescent="0.25"/>
    <row r="3129" ht="15" customHeight="1" x14ac:dyDescent="0.25"/>
    <row r="3131" ht="15" customHeight="1" x14ac:dyDescent="0.25"/>
    <row r="3133" ht="15" customHeight="1" x14ac:dyDescent="0.25"/>
    <row r="3135" ht="15" customHeight="1" x14ac:dyDescent="0.25"/>
    <row r="3137" ht="15" customHeight="1" x14ac:dyDescent="0.25"/>
    <row r="3139" ht="15" customHeight="1" x14ac:dyDescent="0.25"/>
    <row r="3141" ht="15" customHeight="1" x14ac:dyDescent="0.25"/>
    <row r="3143" ht="15" customHeight="1" x14ac:dyDescent="0.25"/>
    <row r="3145" ht="15" customHeight="1" x14ac:dyDescent="0.25"/>
    <row r="3147" ht="15" customHeight="1" x14ac:dyDescent="0.25"/>
    <row r="3149" ht="15" customHeight="1" x14ac:dyDescent="0.25"/>
    <row r="3151" ht="15" customHeight="1" x14ac:dyDescent="0.25"/>
    <row r="3153" ht="15" customHeight="1" x14ac:dyDescent="0.25"/>
    <row r="3155" ht="15" customHeight="1" x14ac:dyDescent="0.25"/>
    <row r="3157" ht="15" customHeight="1" x14ac:dyDescent="0.25"/>
    <row r="3159" ht="15" customHeight="1" x14ac:dyDescent="0.25"/>
    <row r="3161" ht="15" customHeight="1" x14ac:dyDescent="0.25"/>
    <row r="3163" ht="15" customHeight="1" x14ac:dyDescent="0.25"/>
    <row r="3165" ht="15" customHeight="1" x14ac:dyDescent="0.25"/>
    <row r="3167" ht="15" customHeight="1" x14ac:dyDescent="0.25"/>
    <row r="3169" ht="15" customHeight="1" x14ac:dyDescent="0.25"/>
    <row r="3171" ht="15" customHeight="1" x14ac:dyDescent="0.25"/>
    <row r="3173" ht="15" customHeight="1" x14ac:dyDescent="0.25"/>
    <row r="3175" ht="15" customHeight="1" x14ac:dyDescent="0.25"/>
    <row r="3177" ht="15" customHeight="1" x14ac:dyDescent="0.25"/>
    <row r="3179" ht="15" customHeight="1" x14ac:dyDescent="0.25"/>
    <row r="3181" ht="15" customHeight="1" x14ac:dyDescent="0.25"/>
    <row r="3183" ht="15" customHeight="1" x14ac:dyDescent="0.25"/>
    <row r="3185" ht="15" customHeight="1" x14ac:dyDescent="0.25"/>
    <row r="3187" ht="15" customHeight="1" x14ac:dyDescent="0.25"/>
    <row r="3189" ht="15" customHeight="1" x14ac:dyDescent="0.25"/>
    <row r="3191" ht="15" customHeight="1" x14ac:dyDescent="0.25"/>
    <row r="3193" ht="15" customHeight="1" x14ac:dyDescent="0.25"/>
    <row r="3195" ht="15" customHeight="1" x14ac:dyDescent="0.25"/>
    <row r="3197" ht="15" customHeight="1" x14ac:dyDescent="0.25"/>
    <row r="3199" ht="15" customHeight="1" x14ac:dyDescent="0.25"/>
    <row r="3201" ht="15" customHeight="1" x14ac:dyDescent="0.25"/>
    <row r="3203" ht="15" customHeight="1" x14ac:dyDescent="0.25"/>
    <row r="3205" ht="15" customHeight="1" x14ac:dyDescent="0.25"/>
    <row r="3207" ht="15" customHeight="1" x14ac:dyDescent="0.25"/>
    <row r="3209" ht="15" customHeight="1" x14ac:dyDescent="0.25"/>
    <row r="3211" ht="15" customHeight="1" x14ac:dyDescent="0.25"/>
    <row r="3213" ht="15" customHeight="1" x14ac:dyDescent="0.25"/>
    <row r="3215" ht="15" customHeight="1" x14ac:dyDescent="0.25"/>
    <row r="3217" ht="15" customHeight="1" x14ac:dyDescent="0.25"/>
    <row r="3219" ht="15" customHeight="1" x14ac:dyDescent="0.25"/>
    <row r="3221" ht="15" customHeight="1" x14ac:dyDescent="0.25"/>
    <row r="3223" ht="15" customHeight="1" x14ac:dyDescent="0.25"/>
    <row r="3225" ht="15" customHeight="1" x14ac:dyDescent="0.25"/>
    <row r="3227" ht="15" customHeight="1" x14ac:dyDescent="0.25"/>
    <row r="3229" ht="15" customHeight="1" x14ac:dyDescent="0.25"/>
    <row r="3231" ht="15" customHeight="1" x14ac:dyDescent="0.25"/>
    <row r="3233" ht="15" customHeight="1" x14ac:dyDescent="0.25"/>
    <row r="3235" ht="15" customHeight="1" x14ac:dyDescent="0.25"/>
    <row r="3237" ht="15" customHeight="1" x14ac:dyDescent="0.25"/>
    <row r="3239" ht="15" customHeight="1" x14ac:dyDescent="0.25"/>
    <row r="3241" ht="15" customHeight="1" x14ac:dyDescent="0.25"/>
    <row r="3243" ht="15" customHeight="1" x14ac:dyDescent="0.25"/>
    <row r="3245" ht="15" customHeight="1" x14ac:dyDescent="0.25"/>
    <row r="3247" ht="15" customHeight="1" x14ac:dyDescent="0.25"/>
    <row r="3249" ht="15" customHeight="1" x14ac:dyDescent="0.25"/>
    <row r="3251" ht="15" customHeight="1" x14ac:dyDescent="0.25"/>
    <row r="3253" ht="15" customHeight="1" x14ac:dyDescent="0.25"/>
    <row r="3255" ht="15" customHeight="1" x14ac:dyDescent="0.25"/>
    <row r="3257" ht="15" customHeight="1" x14ac:dyDescent="0.25"/>
    <row r="3259" ht="15" customHeight="1" x14ac:dyDescent="0.25"/>
    <row r="3261" ht="15" customHeight="1" x14ac:dyDescent="0.25"/>
    <row r="3263" ht="15" customHeight="1" x14ac:dyDescent="0.25"/>
    <row r="3265" ht="15" customHeight="1" x14ac:dyDescent="0.25"/>
    <row r="3267" ht="15" customHeight="1" x14ac:dyDescent="0.25"/>
    <row r="3269" ht="15" customHeight="1" x14ac:dyDescent="0.25"/>
    <row r="3271" ht="15" customHeight="1" x14ac:dyDescent="0.25"/>
    <row r="3273" ht="15" customHeight="1" x14ac:dyDescent="0.25"/>
    <row r="3275" ht="15" customHeight="1" x14ac:dyDescent="0.25"/>
    <row r="3277" ht="15" customHeight="1" x14ac:dyDescent="0.25"/>
    <row r="3279" ht="15" customHeight="1" x14ac:dyDescent="0.25"/>
    <row r="3281" ht="15" customHeight="1" x14ac:dyDescent="0.25"/>
    <row r="3283" ht="15" customHeight="1" x14ac:dyDescent="0.25"/>
    <row r="3285" ht="15" customHeight="1" x14ac:dyDescent="0.25"/>
    <row r="3287" ht="15" customHeight="1" x14ac:dyDescent="0.25"/>
    <row r="3289" ht="15" customHeight="1" x14ac:dyDescent="0.25"/>
    <row r="3291" ht="15" customHeight="1" x14ac:dyDescent="0.25"/>
    <row r="3293" ht="15" customHeight="1" x14ac:dyDescent="0.25"/>
    <row r="3295" ht="15" customHeight="1" x14ac:dyDescent="0.25"/>
    <row r="3297" ht="15" customHeight="1" x14ac:dyDescent="0.25"/>
    <row r="3299" ht="15" customHeight="1" x14ac:dyDescent="0.25"/>
    <row r="3301" ht="15" customHeight="1" x14ac:dyDescent="0.25"/>
    <row r="3303" ht="15" customHeight="1" x14ac:dyDescent="0.25"/>
    <row r="3305" ht="15" customHeight="1" x14ac:dyDescent="0.25"/>
    <row r="3307" ht="15" customHeight="1" x14ac:dyDescent="0.25"/>
    <row r="3309" ht="15" customHeight="1" x14ac:dyDescent="0.25"/>
    <row r="3311" ht="15" customHeight="1" x14ac:dyDescent="0.25"/>
    <row r="3313" ht="15" customHeight="1" x14ac:dyDescent="0.25"/>
    <row r="3315" ht="15" customHeight="1" x14ac:dyDescent="0.25"/>
    <row r="3317" ht="15" customHeight="1" x14ac:dyDescent="0.25"/>
    <row r="3319" ht="15" customHeight="1" x14ac:dyDescent="0.25"/>
    <row r="3321" ht="15" customHeight="1" x14ac:dyDescent="0.25"/>
    <row r="3323" ht="15" customHeight="1" x14ac:dyDescent="0.25"/>
    <row r="3325" ht="15" customHeight="1" x14ac:dyDescent="0.25"/>
    <row r="3327" ht="15" customHeight="1" x14ac:dyDescent="0.25"/>
    <row r="3329" ht="15" customHeight="1" x14ac:dyDescent="0.25"/>
    <row r="3331" ht="15" customHeight="1" x14ac:dyDescent="0.25"/>
    <row r="3333" ht="15" customHeight="1" x14ac:dyDescent="0.25"/>
    <row r="3335" ht="15" customHeight="1" x14ac:dyDescent="0.25"/>
    <row r="3337" ht="15" customHeight="1" x14ac:dyDescent="0.25"/>
    <row r="3339" ht="15" customHeight="1" x14ac:dyDescent="0.25"/>
    <row r="3341" ht="15" customHeight="1" x14ac:dyDescent="0.25"/>
    <row r="3343" ht="15" customHeight="1" x14ac:dyDescent="0.25"/>
    <row r="3345" ht="15" customHeight="1" x14ac:dyDescent="0.25"/>
    <row r="3347" ht="15" customHeight="1" x14ac:dyDescent="0.25"/>
    <row r="3349" ht="15" customHeight="1" x14ac:dyDescent="0.25"/>
    <row r="3351" ht="15" customHeight="1" x14ac:dyDescent="0.25"/>
    <row r="3353" ht="15" customHeight="1" x14ac:dyDescent="0.25"/>
    <row r="3355" ht="15" customHeight="1" x14ac:dyDescent="0.25"/>
    <row r="3357" ht="15" customHeight="1" x14ac:dyDescent="0.25"/>
    <row r="3359" ht="15" customHeight="1" x14ac:dyDescent="0.25"/>
    <row r="3361" ht="15" customHeight="1" x14ac:dyDescent="0.25"/>
    <row r="3363" ht="15" customHeight="1" x14ac:dyDescent="0.25"/>
    <row r="3365" ht="15" customHeight="1" x14ac:dyDescent="0.25"/>
    <row r="3367" ht="15" customHeight="1" x14ac:dyDescent="0.25"/>
    <row r="3369" ht="15" customHeight="1" x14ac:dyDescent="0.25"/>
    <row r="3371" ht="15" customHeight="1" x14ac:dyDescent="0.25"/>
    <row r="3373" ht="15" customHeight="1" x14ac:dyDescent="0.25"/>
    <row r="3375" ht="15" customHeight="1" x14ac:dyDescent="0.25"/>
    <row r="3377" ht="15" customHeight="1" x14ac:dyDescent="0.25"/>
    <row r="3379" ht="15" customHeight="1" x14ac:dyDescent="0.25"/>
    <row r="3381" ht="15" customHeight="1" x14ac:dyDescent="0.25"/>
    <row r="3383" ht="15" customHeight="1" x14ac:dyDescent="0.25"/>
    <row r="3385" ht="15" customHeight="1" x14ac:dyDescent="0.25"/>
    <row r="3387" ht="15" customHeight="1" x14ac:dyDescent="0.25"/>
    <row r="3389" ht="15" customHeight="1" x14ac:dyDescent="0.25"/>
    <row r="3391" ht="15" customHeight="1" x14ac:dyDescent="0.25"/>
    <row r="3393" ht="15" customHeight="1" x14ac:dyDescent="0.25"/>
    <row r="3395" ht="15" customHeight="1" x14ac:dyDescent="0.25"/>
    <row r="3397" ht="15" customHeight="1" x14ac:dyDescent="0.25"/>
    <row r="3399" ht="15" customHeight="1" x14ac:dyDescent="0.25"/>
    <row r="3401" ht="15" customHeight="1" x14ac:dyDescent="0.25"/>
    <row r="3403" ht="15" customHeight="1" x14ac:dyDescent="0.25"/>
    <row r="3405" ht="15" customHeight="1" x14ac:dyDescent="0.25"/>
    <row r="3407" ht="15" customHeight="1" x14ac:dyDescent="0.25"/>
    <row r="3409" ht="15" customHeight="1" x14ac:dyDescent="0.25"/>
    <row r="3411" ht="15" customHeight="1" x14ac:dyDescent="0.25"/>
    <row r="3413" ht="15" customHeight="1" x14ac:dyDescent="0.25"/>
    <row r="3415" ht="15" customHeight="1" x14ac:dyDescent="0.25"/>
    <row r="3417" ht="15" customHeight="1" x14ac:dyDescent="0.25"/>
    <row r="3419" ht="15" customHeight="1" x14ac:dyDescent="0.25"/>
    <row r="3421" ht="15" customHeight="1" x14ac:dyDescent="0.25"/>
    <row r="3423" ht="15" customHeight="1" x14ac:dyDescent="0.25"/>
    <row r="3425" ht="15" customHeight="1" x14ac:dyDescent="0.25"/>
    <row r="3427" ht="15" customHeight="1" x14ac:dyDescent="0.25"/>
    <row r="3429" ht="15" customHeight="1" x14ac:dyDescent="0.25"/>
    <row r="3431" ht="15" customHeight="1" x14ac:dyDescent="0.25"/>
    <row r="3433" ht="15" customHeight="1" x14ac:dyDescent="0.25"/>
    <row r="3435" ht="15" customHeight="1" x14ac:dyDescent="0.25"/>
    <row r="3437" ht="15" customHeight="1" x14ac:dyDescent="0.25"/>
    <row r="3439" ht="15" customHeight="1" x14ac:dyDescent="0.25"/>
    <row r="3441" ht="15" customHeight="1" x14ac:dyDescent="0.25"/>
    <row r="3443" ht="15" customHeight="1" x14ac:dyDescent="0.25"/>
    <row r="3445" ht="15" customHeight="1" x14ac:dyDescent="0.25"/>
    <row r="3447" ht="15" customHeight="1" x14ac:dyDescent="0.25"/>
    <row r="3449" ht="15" customHeight="1" x14ac:dyDescent="0.25"/>
    <row r="3451" ht="15" customHeight="1" x14ac:dyDescent="0.25"/>
    <row r="3453" ht="15" customHeight="1" x14ac:dyDescent="0.25"/>
    <row r="3455" ht="15" customHeight="1" x14ac:dyDescent="0.25"/>
    <row r="3457" ht="15" customHeight="1" x14ac:dyDescent="0.25"/>
    <row r="3459" ht="15" customHeight="1" x14ac:dyDescent="0.25"/>
    <row r="3461" ht="15" customHeight="1" x14ac:dyDescent="0.25"/>
    <row r="3463" ht="15" customHeight="1" x14ac:dyDescent="0.25"/>
    <row r="3465" ht="15" customHeight="1" x14ac:dyDescent="0.25"/>
    <row r="3467" ht="15" customHeight="1" x14ac:dyDescent="0.25"/>
    <row r="3469" ht="15" customHeight="1" x14ac:dyDescent="0.25"/>
    <row r="3471" ht="15" customHeight="1" x14ac:dyDescent="0.25"/>
    <row r="3473" ht="15" customHeight="1" x14ac:dyDescent="0.25"/>
    <row r="3475" ht="15" customHeight="1" x14ac:dyDescent="0.25"/>
    <row r="3477" ht="15" customHeight="1" x14ac:dyDescent="0.25"/>
    <row r="3479" ht="15" customHeight="1" x14ac:dyDescent="0.25"/>
    <row r="3481" ht="15" customHeight="1" x14ac:dyDescent="0.25"/>
    <row r="3483" ht="15" customHeight="1" x14ac:dyDescent="0.25"/>
    <row r="3485" ht="15" customHeight="1" x14ac:dyDescent="0.25"/>
    <row r="3487" ht="15" customHeight="1" x14ac:dyDescent="0.25"/>
    <row r="3489" ht="15" customHeight="1" x14ac:dyDescent="0.25"/>
    <row r="3491" ht="15" customHeight="1" x14ac:dyDescent="0.25"/>
    <row r="3493" ht="15" customHeight="1" x14ac:dyDescent="0.25"/>
    <row r="3495" ht="15" customHeight="1" x14ac:dyDescent="0.25"/>
    <row r="3497" ht="15" customHeight="1" x14ac:dyDescent="0.25"/>
    <row r="3499" ht="15" customHeight="1" x14ac:dyDescent="0.25"/>
    <row r="3501" ht="15" customHeight="1" x14ac:dyDescent="0.25"/>
    <row r="3503" ht="15" customHeight="1" x14ac:dyDescent="0.25"/>
    <row r="3505" ht="15" customHeight="1" x14ac:dyDescent="0.25"/>
    <row r="3507" ht="15" customHeight="1" x14ac:dyDescent="0.25"/>
    <row r="3509" ht="15" customHeight="1" x14ac:dyDescent="0.25"/>
    <row r="3511" ht="15" customHeight="1" x14ac:dyDescent="0.25"/>
    <row r="3513" ht="15" customHeight="1" x14ac:dyDescent="0.25"/>
    <row r="3515" ht="15" customHeight="1" x14ac:dyDescent="0.25"/>
    <row r="3517" ht="15" customHeight="1" x14ac:dyDescent="0.25"/>
    <row r="3519" ht="15" customHeight="1" x14ac:dyDescent="0.25"/>
    <row r="3521" ht="15" customHeight="1" x14ac:dyDescent="0.25"/>
    <row r="3523" ht="15" customHeight="1" x14ac:dyDescent="0.25"/>
    <row r="3525" ht="15" customHeight="1" x14ac:dyDescent="0.25"/>
    <row r="3527" ht="15" customHeight="1" x14ac:dyDescent="0.25"/>
    <row r="3529" ht="15" customHeight="1" x14ac:dyDescent="0.25"/>
    <row r="3531" ht="15" customHeight="1" x14ac:dyDescent="0.25"/>
    <row r="3533" ht="15" customHeight="1" x14ac:dyDescent="0.25"/>
    <row r="3535" ht="15" customHeight="1" x14ac:dyDescent="0.25"/>
    <row r="3537" ht="15" customHeight="1" x14ac:dyDescent="0.25"/>
    <row r="3539" ht="15" customHeight="1" x14ac:dyDescent="0.25"/>
    <row r="3541" ht="15" customHeight="1" x14ac:dyDescent="0.25"/>
    <row r="3543" ht="15" customHeight="1" x14ac:dyDescent="0.25"/>
    <row r="3545" ht="15" customHeight="1" x14ac:dyDescent="0.25"/>
    <row r="3547" ht="15" customHeight="1" x14ac:dyDescent="0.25"/>
    <row r="3549" ht="15" customHeight="1" x14ac:dyDescent="0.25"/>
    <row r="3551" ht="15" customHeight="1" x14ac:dyDescent="0.25"/>
    <row r="3553" ht="15" customHeight="1" x14ac:dyDescent="0.25"/>
    <row r="3555" ht="15" customHeight="1" x14ac:dyDescent="0.25"/>
    <row r="3557" ht="15" customHeight="1" x14ac:dyDescent="0.25"/>
    <row r="3559" ht="15" customHeight="1" x14ac:dyDescent="0.25"/>
    <row r="3561" ht="15" customHeight="1" x14ac:dyDescent="0.25"/>
    <row r="3563" ht="15" customHeight="1" x14ac:dyDescent="0.25"/>
    <row r="3565" ht="15" customHeight="1" x14ac:dyDescent="0.25"/>
    <row r="3567" ht="15" customHeight="1" x14ac:dyDescent="0.25"/>
    <row r="3569" ht="15" customHeight="1" x14ac:dyDescent="0.25"/>
    <row r="3571" ht="15" customHeight="1" x14ac:dyDescent="0.25"/>
    <row r="3573" ht="15" customHeight="1" x14ac:dyDescent="0.25"/>
    <row r="3575" ht="15" customHeight="1" x14ac:dyDescent="0.25"/>
    <row r="3577" ht="15" customHeight="1" x14ac:dyDescent="0.25"/>
    <row r="3579" ht="15" customHeight="1" x14ac:dyDescent="0.25"/>
    <row r="3581" ht="15" customHeight="1" x14ac:dyDescent="0.25"/>
    <row r="3583" ht="15" customHeight="1" x14ac:dyDescent="0.25"/>
    <row r="3585" ht="15" customHeight="1" x14ac:dyDescent="0.25"/>
    <row r="3587" ht="15" customHeight="1" x14ac:dyDescent="0.25"/>
    <row r="3589" ht="15" customHeight="1" x14ac:dyDescent="0.25"/>
    <row r="3591" ht="15" customHeight="1" x14ac:dyDescent="0.25"/>
    <row r="3593" ht="15" customHeight="1" x14ac:dyDescent="0.25"/>
    <row r="3595" ht="15" customHeight="1" x14ac:dyDescent="0.25"/>
    <row r="3597" ht="15" customHeight="1" x14ac:dyDescent="0.25"/>
    <row r="3599" ht="15" customHeight="1" x14ac:dyDescent="0.25"/>
    <row r="3601" ht="15" customHeight="1" x14ac:dyDescent="0.25"/>
    <row r="3603" ht="15" customHeight="1" x14ac:dyDescent="0.25"/>
    <row r="3605" ht="15" customHeight="1" x14ac:dyDescent="0.25"/>
    <row r="3607" ht="15" customHeight="1" x14ac:dyDescent="0.25"/>
    <row r="3609" ht="15" customHeight="1" x14ac:dyDescent="0.25"/>
    <row r="3611" ht="15" customHeight="1" x14ac:dyDescent="0.25"/>
    <row r="3613" ht="15" customHeight="1" x14ac:dyDescent="0.25"/>
    <row r="3615" ht="15" customHeight="1" x14ac:dyDescent="0.25"/>
    <row r="3617" ht="15" customHeight="1" x14ac:dyDescent="0.25"/>
    <row r="3619" ht="15" customHeight="1" x14ac:dyDescent="0.25"/>
    <row r="3621" ht="15" customHeight="1" x14ac:dyDescent="0.25"/>
    <row r="3623" ht="15" customHeight="1" x14ac:dyDescent="0.25"/>
    <row r="3625" ht="15" customHeight="1" x14ac:dyDescent="0.25"/>
    <row r="3627" ht="15" customHeight="1" x14ac:dyDescent="0.25"/>
    <row r="3629" ht="15" customHeight="1" x14ac:dyDescent="0.25"/>
    <row r="3631" ht="15" customHeight="1" x14ac:dyDescent="0.25"/>
    <row r="3633" ht="15" customHeight="1" x14ac:dyDescent="0.25"/>
    <row r="3635" ht="15" customHeight="1" x14ac:dyDescent="0.25"/>
    <row r="3637" ht="15" customHeight="1" x14ac:dyDescent="0.25"/>
    <row r="3639" ht="15" customHeight="1" x14ac:dyDescent="0.25"/>
    <row r="3641" ht="15" customHeight="1" x14ac:dyDescent="0.25"/>
    <row r="3643" ht="15" customHeight="1" x14ac:dyDescent="0.25"/>
    <row r="3645" ht="15" customHeight="1" x14ac:dyDescent="0.25"/>
    <row r="3647" ht="15" customHeight="1" x14ac:dyDescent="0.25"/>
    <row r="3649" ht="15" customHeight="1" x14ac:dyDescent="0.25"/>
    <row r="3651" ht="15" customHeight="1" x14ac:dyDescent="0.25"/>
    <row r="3653" ht="15" customHeight="1" x14ac:dyDescent="0.25"/>
    <row r="3655" ht="15" customHeight="1" x14ac:dyDescent="0.25"/>
    <row r="3657" ht="15" customHeight="1" x14ac:dyDescent="0.25"/>
    <row r="3659" ht="15" customHeight="1" x14ac:dyDescent="0.25"/>
    <row r="3661" ht="15" customHeight="1" x14ac:dyDescent="0.25"/>
    <row r="3663" ht="15" customHeight="1" x14ac:dyDescent="0.25"/>
    <row r="3665" ht="15" customHeight="1" x14ac:dyDescent="0.25"/>
    <row r="3667" ht="15" customHeight="1" x14ac:dyDescent="0.25"/>
    <row r="3669" ht="15" customHeight="1" x14ac:dyDescent="0.25"/>
    <row r="3671" ht="15" customHeight="1" x14ac:dyDescent="0.25"/>
    <row r="3673" ht="15" customHeight="1" x14ac:dyDescent="0.25"/>
    <row r="3675" ht="15" customHeight="1" x14ac:dyDescent="0.25"/>
    <row r="3677" ht="15" customHeight="1" x14ac:dyDescent="0.25"/>
    <row r="3679" ht="15" customHeight="1" x14ac:dyDescent="0.25"/>
    <row r="3681" ht="15" customHeight="1" x14ac:dyDescent="0.25"/>
    <row r="3683" ht="15" customHeight="1" x14ac:dyDescent="0.25"/>
    <row r="3685" ht="15" customHeight="1" x14ac:dyDescent="0.25"/>
    <row r="3687" ht="15" customHeight="1" x14ac:dyDescent="0.25"/>
    <row r="3689" ht="15" customHeight="1" x14ac:dyDescent="0.25"/>
    <row r="3691" ht="15" customHeight="1" x14ac:dyDescent="0.25"/>
    <row r="3693" ht="15" customHeight="1" x14ac:dyDescent="0.25"/>
    <row r="3695" ht="15" customHeight="1" x14ac:dyDescent="0.25"/>
    <row r="3697" ht="15" customHeight="1" x14ac:dyDescent="0.25"/>
    <row r="3699" ht="15" customHeight="1" x14ac:dyDescent="0.25"/>
    <row r="3701" ht="15" customHeight="1" x14ac:dyDescent="0.25"/>
    <row r="3703" ht="15" customHeight="1" x14ac:dyDescent="0.25"/>
    <row r="3705" ht="15" customHeight="1" x14ac:dyDescent="0.25"/>
    <row r="3707" ht="15" customHeight="1" x14ac:dyDescent="0.25"/>
    <row r="3709" ht="15" customHeight="1" x14ac:dyDescent="0.25"/>
    <row r="3711" ht="15" customHeight="1" x14ac:dyDescent="0.25"/>
    <row r="3713" ht="15" customHeight="1" x14ac:dyDescent="0.25"/>
    <row r="3715" ht="15" customHeight="1" x14ac:dyDescent="0.25"/>
    <row r="3717" ht="15" customHeight="1" x14ac:dyDescent="0.25"/>
    <row r="3719" ht="15" customHeight="1" x14ac:dyDescent="0.25"/>
    <row r="3721" ht="15" customHeight="1" x14ac:dyDescent="0.25"/>
    <row r="3723" ht="15" customHeight="1" x14ac:dyDescent="0.25"/>
    <row r="3725" ht="15" customHeight="1" x14ac:dyDescent="0.25"/>
    <row r="3727" ht="15" customHeight="1" x14ac:dyDescent="0.25"/>
    <row r="3729" ht="15" customHeight="1" x14ac:dyDescent="0.25"/>
    <row r="3731" ht="15" customHeight="1" x14ac:dyDescent="0.25"/>
    <row r="3733" ht="15" customHeight="1" x14ac:dyDescent="0.25"/>
    <row r="3735" ht="15" customHeight="1" x14ac:dyDescent="0.25"/>
    <row r="3737" ht="15" customHeight="1" x14ac:dyDescent="0.25"/>
    <row r="3739" ht="15" customHeight="1" x14ac:dyDescent="0.25"/>
    <row r="3741" ht="15" customHeight="1" x14ac:dyDescent="0.25"/>
    <row r="3743" ht="15" customHeight="1" x14ac:dyDescent="0.25"/>
    <row r="3745" ht="15" customHeight="1" x14ac:dyDescent="0.25"/>
    <row r="3747" ht="15" customHeight="1" x14ac:dyDescent="0.25"/>
    <row r="3749" ht="15" customHeight="1" x14ac:dyDescent="0.25"/>
    <row r="3751" ht="15" customHeight="1" x14ac:dyDescent="0.25"/>
    <row r="3753" ht="15" customHeight="1" x14ac:dyDescent="0.25"/>
    <row r="3755" ht="15" customHeight="1" x14ac:dyDescent="0.25"/>
    <row r="3757" ht="15" customHeight="1" x14ac:dyDescent="0.25"/>
    <row r="3759" ht="15" customHeight="1" x14ac:dyDescent="0.25"/>
    <row r="3761" ht="15" customHeight="1" x14ac:dyDescent="0.25"/>
    <row r="3763" ht="15" customHeight="1" x14ac:dyDescent="0.25"/>
    <row r="3765" ht="15" customHeight="1" x14ac:dyDescent="0.25"/>
    <row r="3767" ht="15" customHeight="1" x14ac:dyDescent="0.25"/>
    <row r="3769" ht="15" customHeight="1" x14ac:dyDescent="0.25"/>
    <row r="3771" ht="15" customHeight="1" x14ac:dyDescent="0.25"/>
    <row r="3773" ht="15" customHeight="1" x14ac:dyDescent="0.25"/>
    <row r="3775" ht="15" customHeight="1" x14ac:dyDescent="0.25"/>
    <row r="3777" ht="15" customHeight="1" x14ac:dyDescent="0.25"/>
    <row r="3779" ht="15" customHeight="1" x14ac:dyDescent="0.25"/>
    <row r="3781" ht="15" customHeight="1" x14ac:dyDescent="0.25"/>
    <row r="3783" ht="15" customHeight="1" x14ac:dyDescent="0.25"/>
    <row r="3785" ht="15" customHeight="1" x14ac:dyDescent="0.25"/>
    <row r="3787" ht="15" customHeight="1" x14ac:dyDescent="0.25"/>
    <row r="3789" ht="15" customHeight="1" x14ac:dyDescent="0.25"/>
    <row r="3791" ht="15" customHeight="1" x14ac:dyDescent="0.25"/>
    <row r="3793" ht="15" customHeight="1" x14ac:dyDescent="0.25"/>
    <row r="3795" ht="15" customHeight="1" x14ac:dyDescent="0.25"/>
    <row r="3797" ht="15" customHeight="1" x14ac:dyDescent="0.25"/>
    <row r="3799" ht="15" customHeight="1" x14ac:dyDescent="0.25"/>
    <row r="3801" ht="15" customHeight="1" x14ac:dyDescent="0.25"/>
    <row r="3803" ht="15" customHeight="1" x14ac:dyDescent="0.25"/>
    <row r="3805" ht="15" customHeight="1" x14ac:dyDescent="0.25"/>
    <row r="3807" ht="15" customHeight="1" x14ac:dyDescent="0.25"/>
    <row r="3809" ht="15" customHeight="1" x14ac:dyDescent="0.25"/>
    <row r="3811" ht="15" customHeight="1" x14ac:dyDescent="0.25"/>
    <row r="3813" ht="15" customHeight="1" x14ac:dyDescent="0.25"/>
    <row r="3815" ht="15" customHeight="1" x14ac:dyDescent="0.25"/>
    <row r="3817" ht="15" customHeight="1" x14ac:dyDescent="0.25"/>
    <row r="3819" ht="15" customHeight="1" x14ac:dyDescent="0.25"/>
    <row r="3821" ht="15" customHeight="1" x14ac:dyDescent="0.25"/>
    <row r="3823" ht="15" customHeight="1" x14ac:dyDescent="0.25"/>
    <row r="3825" ht="15" customHeight="1" x14ac:dyDescent="0.25"/>
    <row r="3827" ht="15" customHeight="1" x14ac:dyDescent="0.25"/>
    <row r="3829" ht="15" customHeight="1" x14ac:dyDescent="0.25"/>
    <row r="3831" ht="15" customHeight="1" x14ac:dyDescent="0.25"/>
    <row r="3833" ht="15" customHeight="1" x14ac:dyDescent="0.25"/>
    <row r="3835" ht="15" customHeight="1" x14ac:dyDescent="0.25"/>
    <row r="3837" ht="15" customHeight="1" x14ac:dyDescent="0.25"/>
    <row r="3839" ht="15" customHeight="1" x14ac:dyDescent="0.25"/>
    <row r="3841" ht="15" customHeight="1" x14ac:dyDescent="0.25"/>
    <row r="3843" ht="15" customHeight="1" x14ac:dyDescent="0.25"/>
    <row r="3845" ht="15" customHeight="1" x14ac:dyDescent="0.25"/>
    <row r="3847" ht="15" customHeight="1" x14ac:dyDescent="0.25"/>
    <row r="3849" ht="15" customHeight="1" x14ac:dyDescent="0.25"/>
    <row r="3851" ht="15" customHeight="1" x14ac:dyDescent="0.25"/>
    <row r="3853" ht="15" customHeight="1" x14ac:dyDescent="0.25"/>
    <row r="3855" ht="15" customHeight="1" x14ac:dyDescent="0.25"/>
    <row r="3857" ht="15" customHeight="1" x14ac:dyDescent="0.25"/>
    <row r="3859" ht="15" customHeight="1" x14ac:dyDescent="0.25"/>
    <row r="3861" ht="15" customHeight="1" x14ac:dyDescent="0.25"/>
    <row r="3863" ht="15" customHeight="1" x14ac:dyDescent="0.25"/>
    <row r="3865" ht="15" customHeight="1" x14ac:dyDescent="0.25"/>
    <row r="3867" ht="15" customHeight="1" x14ac:dyDescent="0.25"/>
    <row r="3869" ht="15" customHeight="1" x14ac:dyDescent="0.25"/>
    <row r="3871" ht="15" customHeight="1" x14ac:dyDescent="0.25"/>
    <row r="3873" ht="15" customHeight="1" x14ac:dyDescent="0.25"/>
    <row r="3875" ht="15" customHeight="1" x14ac:dyDescent="0.25"/>
    <row r="3877" ht="15" customHeight="1" x14ac:dyDescent="0.25"/>
    <row r="3879" ht="15" customHeight="1" x14ac:dyDescent="0.25"/>
    <row r="3881" ht="15" customHeight="1" x14ac:dyDescent="0.25"/>
    <row r="3883" ht="15" customHeight="1" x14ac:dyDescent="0.25"/>
    <row r="3885" ht="15" customHeight="1" x14ac:dyDescent="0.25"/>
    <row r="3887" ht="15" customHeight="1" x14ac:dyDescent="0.25"/>
    <row r="3889" ht="15" customHeight="1" x14ac:dyDescent="0.25"/>
    <row r="3891" ht="15" customHeight="1" x14ac:dyDescent="0.25"/>
    <row r="3893" ht="15" customHeight="1" x14ac:dyDescent="0.25"/>
    <row r="3895" ht="15" customHeight="1" x14ac:dyDescent="0.25"/>
    <row r="3897" ht="15" customHeight="1" x14ac:dyDescent="0.25"/>
    <row r="3899" ht="15" customHeight="1" x14ac:dyDescent="0.25"/>
    <row r="3901" ht="15" customHeight="1" x14ac:dyDescent="0.25"/>
    <row r="3903" ht="15" customHeight="1" x14ac:dyDescent="0.25"/>
    <row r="3905" ht="15" customHeight="1" x14ac:dyDescent="0.25"/>
    <row r="3907" ht="15" customHeight="1" x14ac:dyDescent="0.25"/>
    <row r="3909" ht="15" customHeight="1" x14ac:dyDescent="0.25"/>
    <row r="3911" ht="15" customHeight="1" x14ac:dyDescent="0.25"/>
    <row r="3913" ht="15" customHeight="1" x14ac:dyDescent="0.25"/>
    <row r="3915" ht="15" customHeight="1" x14ac:dyDescent="0.25"/>
    <row r="3917" ht="15" customHeight="1" x14ac:dyDescent="0.25"/>
    <row r="3919" ht="15" customHeight="1" x14ac:dyDescent="0.25"/>
    <row r="3921" ht="15" customHeight="1" x14ac:dyDescent="0.25"/>
    <row r="3923" ht="15" customHeight="1" x14ac:dyDescent="0.25"/>
    <row r="3925" ht="15" customHeight="1" x14ac:dyDescent="0.25"/>
    <row r="3927" ht="15" customHeight="1" x14ac:dyDescent="0.25"/>
    <row r="3929" ht="15" customHeight="1" x14ac:dyDescent="0.25"/>
    <row r="3931" ht="15" customHeight="1" x14ac:dyDescent="0.25"/>
    <row r="3933" ht="15" customHeight="1" x14ac:dyDescent="0.25"/>
    <row r="3935" ht="15" customHeight="1" x14ac:dyDescent="0.25"/>
    <row r="3937" ht="15" customHeight="1" x14ac:dyDescent="0.25"/>
    <row r="3939" ht="15" customHeight="1" x14ac:dyDescent="0.25"/>
    <row r="3941" ht="15" customHeight="1" x14ac:dyDescent="0.25"/>
    <row r="3943" ht="15" customHeight="1" x14ac:dyDescent="0.25"/>
    <row r="3945" ht="15" customHeight="1" x14ac:dyDescent="0.25"/>
    <row r="3947" ht="15" customHeight="1" x14ac:dyDescent="0.25"/>
    <row r="3949" ht="15" customHeight="1" x14ac:dyDescent="0.25"/>
    <row r="3951" ht="15" customHeight="1" x14ac:dyDescent="0.25"/>
    <row r="3953" ht="15" customHeight="1" x14ac:dyDescent="0.25"/>
    <row r="3955" ht="15" customHeight="1" x14ac:dyDescent="0.25"/>
    <row r="3957" ht="15" customHeight="1" x14ac:dyDescent="0.25"/>
    <row r="3959" ht="15" customHeight="1" x14ac:dyDescent="0.25"/>
    <row r="3961" ht="15" customHeight="1" x14ac:dyDescent="0.25"/>
    <row r="3963" ht="15" customHeight="1" x14ac:dyDescent="0.25"/>
    <row r="3965" ht="15" customHeight="1" x14ac:dyDescent="0.25"/>
    <row r="3967" ht="15" customHeight="1" x14ac:dyDescent="0.25"/>
    <row r="3969" ht="15" customHeight="1" x14ac:dyDescent="0.25"/>
    <row r="3971" ht="15" customHeight="1" x14ac:dyDescent="0.25"/>
    <row r="3973" ht="15" customHeight="1" x14ac:dyDescent="0.25"/>
    <row r="3975" ht="15" customHeight="1" x14ac:dyDescent="0.25"/>
    <row r="3977" ht="15" customHeight="1" x14ac:dyDescent="0.25"/>
    <row r="3979" ht="15" customHeight="1" x14ac:dyDescent="0.25"/>
    <row r="3981" ht="15" customHeight="1" x14ac:dyDescent="0.25"/>
    <row r="3983" ht="15" customHeight="1" x14ac:dyDescent="0.25"/>
    <row r="3985" ht="15" customHeight="1" x14ac:dyDescent="0.25"/>
    <row r="3987" ht="15" customHeight="1" x14ac:dyDescent="0.25"/>
    <row r="3989" ht="15" customHeight="1" x14ac:dyDescent="0.25"/>
    <row r="3991" ht="15" customHeight="1" x14ac:dyDescent="0.25"/>
    <row r="3993" ht="15" customHeight="1" x14ac:dyDescent="0.25"/>
    <row r="3995" ht="15" customHeight="1" x14ac:dyDescent="0.25"/>
    <row r="3997" ht="15" customHeight="1" x14ac:dyDescent="0.25"/>
    <row r="3999" ht="15" customHeight="1" x14ac:dyDescent="0.25"/>
    <row r="4001" ht="15" customHeight="1" x14ac:dyDescent="0.25"/>
    <row r="4003" ht="15" customHeight="1" x14ac:dyDescent="0.25"/>
    <row r="4005" ht="15" customHeight="1" x14ac:dyDescent="0.25"/>
    <row r="4007" ht="15" customHeight="1" x14ac:dyDescent="0.25"/>
    <row r="4009" ht="15" customHeight="1" x14ac:dyDescent="0.25"/>
    <row r="4011" ht="15" customHeight="1" x14ac:dyDescent="0.25"/>
    <row r="4013" ht="15" customHeight="1" x14ac:dyDescent="0.25"/>
    <row r="4015" ht="15" customHeight="1" x14ac:dyDescent="0.25"/>
    <row r="4017" ht="15" customHeight="1" x14ac:dyDescent="0.25"/>
    <row r="4019" ht="15" customHeight="1" x14ac:dyDescent="0.25"/>
    <row r="4021" ht="15" customHeight="1" x14ac:dyDescent="0.25"/>
    <row r="4023" ht="15" customHeight="1" x14ac:dyDescent="0.25"/>
    <row r="4025" ht="15" customHeight="1" x14ac:dyDescent="0.25"/>
    <row r="4027" ht="15" customHeight="1" x14ac:dyDescent="0.25"/>
    <row r="4029" ht="15" customHeight="1" x14ac:dyDescent="0.25"/>
    <row r="4031" ht="15" customHeight="1" x14ac:dyDescent="0.25"/>
    <row r="4033" ht="15" customHeight="1" x14ac:dyDescent="0.25"/>
    <row r="4035" ht="15" customHeight="1" x14ac:dyDescent="0.25"/>
    <row r="4037" ht="15" customHeight="1" x14ac:dyDescent="0.25"/>
    <row r="4039" ht="15" customHeight="1" x14ac:dyDescent="0.25"/>
    <row r="4041" ht="15" customHeight="1" x14ac:dyDescent="0.25"/>
    <row r="4043" ht="15" customHeight="1" x14ac:dyDescent="0.25"/>
    <row r="4045" ht="15" customHeight="1" x14ac:dyDescent="0.25"/>
    <row r="4047" ht="15" customHeight="1" x14ac:dyDescent="0.25"/>
    <row r="4049" ht="15" customHeight="1" x14ac:dyDescent="0.25"/>
    <row r="4051" ht="15" customHeight="1" x14ac:dyDescent="0.25"/>
    <row r="4053" ht="15" customHeight="1" x14ac:dyDescent="0.25"/>
    <row r="4055" ht="15" customHeight="1" x14ac:dyDescent="0.25"/>
    <row r="4057" ht="15" customHeight="1" x14ac:dyDescent="0.25"/>
    <row r="4059" ht="15" customHeight="1" x14ac:dyDescent="0.25"/>
    <row r="4061" ht="15" customHeight="1" x14ac:dyDescent="0.25"/>
    <row r="4063" ht="15" customHeight="1" x14ac:dyDescent="0.25"/>
    <row r="4065" ht="15" customHeight="1" x14ac:dyDescent="0.25"/>
    <row r="4067" ht="15" customHeight="1" x14ac:dyDescent="0.25"/>
    <row r="4069" ht="15" customHeight="1" x14ac:dyDescent="0.25"/>
    <row r="4071" ht="15" customHeight="1" x14ac:dyDescent="0.25"/>
    <row r="4073" ht="15" customHeight="1" x14ac:dyDescent="0.25"/>
    <row r="4075" ht="15" customHeight="1" x14ac:dyDescent="0.25"/>
    <row r="4077" ht="15" customHeight="1" x14ac:dyDescent="0.25"/>
    <row r="4079" ht="15" customHeight="1" x14ac:dyDescent="0.25"/>
    <row r="4081" ht="15" customHeight="1" x14ac:dyDescent="0.25"/>
    <row r="4083" ht="15" customHeight="1" x14ac:dyDescent="0.25"/>
    <row r="4085" ht="15" customHeight="1" x14ac:dyDescent="0.25"/>
    <row r="4087" ht="15" customHeight="1" x14ac:dyDescent="0.25"/>
    <row r="4089" ht="15" customHeight="1" x14ac:dyDescent="0.25"/>
    <row r="4091" ht="15" customHeight="1" x14ac:dyDescent="0.25"/>
    <row r="4093" ht="15" customHeight="1" x14ac:dyDescent="0.25"/>
    <row r="4095" ht="15" customHeight="1" x14ac:dyDescent="0.25"/>
    <row r="4097" ht="15" customHeight="1" x14ac:dyDescent="0.25"/>
    <row r="4099" ht="15" customHeight="1" x14ac:dyDescent="0.25"/>
    <row r="4101" ht="15" customHeight="1" x14ac:dyDescent="0.25"/>
    <row r="4103" ht="15" customHeight="1" x14ac:dyDescent="0.25"/>
    <row r="4105" ht="15" customHeight="1" x14ac:dyDescent="0.25"/>
    <row r="4107" ht="15" customHeight="1" x14ac:dyDescent="0.25"/>
    <row r="4109" ht="15" customHeight="1" x14ac:dyDescent="0.25"/>
    <row r="4111" ht="15" customHeight="1" x14ac:dyDescent="0.25"/>
    <row r="4113" ht="15" customHeight="1" x14ac:dyDescent="0.25"/>
    <row r="4115" ht="15" customHeight="1" x14ac:dyDescent="0.25"/>
    <row r="4117" ht="15" customHeight="1" x14ac:dyDescent="0.25"/>
    <row r="4119" ht="15" customHeight="1" x14ac:dyDescent="0.25"/>
    <row r="4121" ht="15" customHeight="1" x14ac:dyDescent="0.25"/>
    <row r="4123" ht="15" customHeight="1" x14ac:dyDescent="0.25"/>
    <row r="4125" ht="15" customHeight="1" x14ac:dyDescent="0.25"/>
    <row r="4127" ht="15" customHeight="1" x14ac:dyDescent="0.25"/>
    <row r="4129" ht="15" customHeight="1" x14ac:dyDescent="0.25"/>
    <row r="4131" ht="15" customHeight="1" x14ac:dyDescent="0.25"/>
    <row r="4133" ht="15" customHeight="1" x14ac:dyDescent="0.25"/>
    <row r="4135" ht="15" customHeight="1" x14ac:dyDescent="0.25"/>
    <row r="4137" ht="15" customHeight="1" x14ac:dyDescent="0.25"/>
    <row r="4139" ht="15" customHeight="1" x14ac:dyDescent="0.25"/>
    <row r="4141" ht="15" customHeight="1" x14ac:dyDescent="0.25"/>
    <row r="4143" ht="15" customHeight="1" x14ac:dyDescent="0.25"/>
    <row r="4145" ht="15" customHeight="1" x14ac:dyDescent="0.25"/>
    <row r="4147" ht="15" customHeight="1" x14ac:dyDescent="0.25"/>
    <row r="4149" ht="15" customHeight="1" x14ac:dyDescent="0.25"/>
    <row r="4151" ht="15" customHeight="1" x14ac:dyDescent="0.25"/>
    <row r="4153" ht="15" customHeight="1" x14ac:dyDescent="0.25"/>
    <row r="4155" ht="15" customHeight="1" x14ac:dyDescent="0.25"/>
    <row r="4157" ht="15" customHeight="1" x14ac:dyDescent="0.25"/>
    <row r="4159" ht="15" customHeight="1" x14ac:dyDescent="0.25"/>
    <row r="4161" ht="15" customHeight="1" x14ac:dyDescent="0.25"/>
    <row r="4163" ht="15" customHeight="1" x14ac:dyDescent="0.25"/>
    <row r="4165" ht="15" customHeight="1" x14ac:dyDescent="0.25"/>
    <row r="4167" ht="15" customHeight="1" x14ac:dyDescent="0.25"/>
    <row r="4169" ht="15" customHeight="1" x14ac:dyDescent="0.25"/>
    <row r="4171" ht="15" customHeight="1" x14ac:dyDescent="0.25"/>
    <row r="4173" ht="15" customHeight="1" x14ac:dyDescent="0.25"/>
    <row r="4175" ht="15" customHeight="1" x14ac:dyDescent="0.25"/>
    <row r="4177" ht="15" customHeight="1" x14ac:dyDescent="0.25"/>
    <row r="4179" ht="15" customHeight="1" x14ac:dyDescent="0.25"/>
    <row r="4181" ht="15" customHeight="1" x14ac:dyDescent="0.25"/>
    <row r="4183" ht="15" customHeight="1" x14ac:dyDescent="0.25"/>
    <row r="4185" ht="15" customHeight="1" x14ac:dyDescent="0.25"/>
    <row r="4187" ht="15" customHeight="1" x14ac:dyDescent="0.25"/>
    <row r="4189" ht="15" customHeight="1" x14ac:dyDescent="0.25"/>
    <row r="4191" ht="15" customHeight="1" x14ac:dyDescent="0.25"/>
    <row r="4193" ht="15" customHeight="1" x14ac:dyDescent="0.25"/>
    <row r="4195" ht="15" customHeight="1" x14ac:dyDescent="0.25"/>
    <row r="4197" ht="15" customHeight="1" x14ac:dyDescent="0.25"/>
    <row r="4199" ht="15" customHeight="1" x14ac:dyDescent="0.25"/>
    <row r="4201" ht="15" customHeight="1" x14ac:dyDescent="0.25"/>
    <row r="4203" ht="15" customHeight="1" x14ac:dyDescent="0.25"/>
    <row r="4205" ht="15" customHeight="1" x14ac:dyDescent="0.25"/>
    <row r="4207" ht="15" customHeight="1" x14ac:dyDescent="0.25"/>
    <row r="4209" ht="15" customHeight="1" x14ac:dyDescent="0.25"/>
    <row r="4211" ht="15" customHeight="1" x14ac:dyDescent="0.25"/>
    <row r="4213" ht="15" customHeight="1" x14ac:dyDescent="0.25"/>
    <row r="4215" ht="15" customHeight="1" x14ac:dyDescent="0.25"/>
    <row r="4217" ht="15" customHeight="1" x14ac:dyDescent="0.25"/>
    <row r="4219" ht="15" customHeight="1" x14ac:dyDescent="0.25"/>
    <row r="4221" ht="15" customHeight="1" x14ac:dyDescent="0.25"/>
    <row r="4223" ht="15" customHeight="1" x14ac:dyDescent="0.25"/>
    <row r="4225" ht="15" customHeight="1" x14ac:dyDescent="0.25"/>
    <row r="4227" ht="15" customHeight="1" x14ac:dyDescent="0.25"/>
    <row r="4229" ht="15" customHeight="1" x14ac:dyDescent="0.25"/>
    <row r="4231" ht="15" customHeight="1" x14ac:dyDescent="0.25"/>
    <row r="4233" ht="15" customHeight="1" x14ac:dyDescent="0.25"/>
    <row r="4235" ht="15" customHeight="1" x14ac:dyDescent="0.25"/>
    <row r="4237" ht="15" customHeight="1" x14ac:dyDescent="0.25"/>
    <row r="4239" ht="15" customHeight="1" x14ac:dyDescent="0.25"/>
    <row r="4241" ht="15" customHeight="1" x14ac:dyDescent="0.25"/>
    <row r="4243" ht="15" customHeight="1" x14ac:dyDescent="0.25"/>
    <row r="4245" ht="15" customHeight="1" x14ac:dyDescent="0.25"/>
    <row r="4247" ht="15" customHeight="1" x14ac:dyDescent="0.25"/>
    <row r="4249" ht="15" customHeight="1" x14ac:dyDescent="0.25"/>
    <row r="4251" ht="15" customHeight="1" x14ac:dyDescent="0.25"/>
    <row r="4253" ht="15" customHeight="1" x14ac:dyDescent="0.25"/>
    <row r="4255" ht="15" customHeight="1" x14ac:dyDescent="0.25"/>
    <row r="4257" ht="15" customHeight="1" x14ac:dyDescent="0.25"/>
    <row r="4259" ht="15" customHeight="1" x14ac:dyDescent="0.25"/>
    <row r="4261" ht="15" customHeight="1" x14ac:dyDescent="0.25"/>
    <row r="4263" ht="15" customHeight="1" x14ac:dyDescent="0.25"/>
    <row r="4265" ht="15" customHeight="1" x14ac:dyDescent="0.25"/>
    <row r="4267" ht="15" customHeight="1" x14ac:dyDescent="0.25"/>
    <row r="4269" ht="15" customHeight="1" x14ac:dyDescent="0.25"/>
    <row r="4271" ht="15" customHeight="1" x14ac:dyDescent="0.25"/>
    <row r="4273" ht="15" customHeight="1" x14ac:dyDescent="0.25"/>
    <row r="4275" ht="15" customHeight="1" x14ac:dyDescent="0.25"/>
    <row r="4277" ht="15" customHeight="1" x14ac:dyDescent="0.25"/>
    <row r="4279" ht="15" customHeight="1" x14ac:dyDescent="0.25"/>
    <row r="4281" ht="15" customHeight="1" x14ac:dyDescent="0.25"/>
    <row r="4283" ht="15" customHeight="1" x14ac:dyDescent="0.25"/>
    <row r="4285" ht="15" customHeight="1" x14ac:dyDescent="0.25"/>
    <row r="4287" ht="15" customHeight="1" x14ac:dyDescent="0.25"/>
    <row r="4289" ht="15" customHeight="1" x14ac:dyDescent="0.25"/>
    <row r="4291" ht="15" customHeight="1" x14ac:dyDescent="0.25"/>
    <row r="4293" ht="15" customHeight="1" x14ac:dyDescent="0.25"/>
    <row r="4295" ht="15" customHeight="1" x14ac:dyDescent="0.25"/>
    <row r="4297" ht="15" customHeight="1" x14ac:dyDescent="0.25"/>
    <row r="4299" ht="15" customHeight="1" x14ac:dyDescent="0.25"/>
    <row r="4301" ht="15" customHeight="1" x14ac:dyDescent="0.25"/>
    <row r="4303" ht="15" customHeight="1" x14ac:dyDescent="0.25"/>
    <row r="4305" ht="15" customHeight="1" x14ac:dyDescent="0.25"/>
    <row r="4307" ht="15" customHeight="1" x14ac:dyDescent="0.25"/>
    <row r="4309" ht="15" customHeight="1" x14ac:dyDescent="0.25"/>
    <row r="4311" ht="15" customHeight="1" x14ac:dyDescent="0.25"/>
    <row r="4313" ht="15" customHeight="1" x14ac:dyDescent="0.25"/>
    <row r="4315" ht="15" customHeight="1" x14ac:dyDescent="0.25"/>
    <row r="4317" ht="15" customHeight="1" x14ac:dyDescent="0.25"/>
    <row r="4319" ht="15" customHeight="1" x14ac:dyDescent="0.25"/>
    <row r="4321" ht="15" customHeight="1" x14ac:dyDescent="0.25"/>
    <row r="4323" ht="15" customHeight="1" x14ac:dyDescent="0.25"/>
    <row r="4325" ht="15" customHeight="1" x14ac:dyDescent="0.25"/>
    <row r="4327" ht="15" customHeight="1" x14ac:dyDescent="0.25"/>
    <row r="4329" ht="15" customHeight="1" x14ac:dyDescent="0.25"/>
    <row r="4331" ht="15" customHeight="1" x14ac:dyDescent="0.25"/>
    <row r="4333" ht="15" customHeight="1" x14ac:dyDescent="0.25"/>
    <row r="4335" ht="15" customHeight="1" x14ac:dyDescent="0.25"/>
    <row r="4337" ht="15" customHeight="1" x14ac:dyDescent="0.25"/>
    <row r="4339" ht="15" customHeight="1" x14ac:dyDescent="0.25"/>
    <row r="4341" ht="15" customHeight="1" x14ac:dyDescent="0.25"/>
    <row r="4343" ht="15" customHeight="1" x14ac:dyDescent="0.25"/>
    <row r="4345" ht="15" customHeight="1" x14ac:dyDescent="0.25"/>
    <row r="4347" ht="15" customHeight="1" x14ac:dyDescent="0.25"/>
    <row r="4349" ht="15" customHeight="1" x14ac:dyDescent="0.25"/>
    <row r="4351" ht="15" customHeight="1" x14ac:dyDescent="0.25"/>
    <row r="4353" ht="15" customHeight="1" x14ac:dyDescent="0.25"/>
    <row r="4355" ht="15" customHeight="1" x14ac:dyDescent="0.25"/>
    <row r="4357" ht="15" customHeight="1" x14ac:dyDescent="0.25"/>
    <row r="4359" ht="15" customHeight="1" x14ac:dyDescent="0.25"/>
    <row r="4361" ht="15" customHeight="1" x14ac:dyDescent="0.25"/>
    <row r="4363" ht="15" customHeight="1" x14ac:dyDescent="0.25"/>
    <row r="4365" ht="15" customHeight="1" x14ac:dyDescent="0.25"/>
    <row r="4367" ht="15" customHeight="1" x14ac:dyDescent="0.25"/>
    <row r="4369" ht="15" customHeight="1" x14ac:dyDescent="0.25"/>
    <row r="4371" ht="15" customHeight="1" x14ac:dyDescent="0.25"/>
    <row r="4373" ht="15" customHeight="1" x14ac:dyDescent="0.25"/>
    <row r="4375" ht="15" customHeight="1" x14ac:dyDescent="0.25"/>
    <row r="4377" ht="15" customHeight="1" x14ac:dyDescent="0.25"/>
    <row r="4379" ht="15" customHeight="1" x14ac:dyDescent="0.25"/>
    <row r="4381" ht="15" customHeight="1" x14ac:dyDescent="0.25"/>
    <row r="4383" ht="15" customHeight="1" x14ac:dyDescent="0.25"/>
    <row r="4385" ht="15" customHeight="1" x14ac:dyDescent="0.25"/>
    <row r="4387" ht="15" customHeight="1" x14ac:dyDescent="0.25"/>
    <row r="4389" ht="15" customHeight="1" x14ac:dyDescent="0.25"/>
    <row r="4391" ht="15" customHeight="1" x14ac:dyDescent="0.25"/>
    <row r="4393" ht="15" customHeight="1" x14ac:dyDescent="0.25"/>
    <row r="4395" ht="15" customHeight="1" x14ac:dyDescent="0.25"/>
    <row r="4397" ht="15" customHeight="1" x14ac:dyDescent="0.25"/>
    <row r="4399" ht="15" customHeight="1" x14ac:dyDescent="0.25"/>
    <row r="4401" ht="15" customHeight="1" x14ac:dyDescent="0.25"/>
    <row r="4403" ht="15" customHeight="1" x14ac:dyDescent="0.25"/>
    <row r="4405" ht="15" customHeight="1" x14ac:dyDescent="0.25"/>
    <row r="4407" ht="15" customHeight="1" x14ac:dyDescent="0.25"/>
    <row r="4409" ht="15" customHeight="1" x14ac:dyDescent="0.25"/>
    <row r="4411" ht="15" customHeight="1" x14ac:dyDescent="0.25"/>
    <row r="4413" ht="15" customHeight="1" x14ac:dyDescent="0.25"/>
    <row r="4415" ht="15" customHeight="1" x14ac:dyDescent="0.25"/>
    <row r="4417" ht="15" customHeight="1" x14ac:dyDescent="0.25"/>
    <row r="4419" ht="15" customHeight="1" x14ac:dyDescent="0.25"/>
    <row r="4421" ht="15" customHeight="1" x14ac:dyDescent="0.25"/>
    <row r="4423" ht="15" customHeight="1" x14ac:dyDescent="0.25"/>
    <row r="4425" ht="15" customHeight="1" x14ac:dyDescent="0.25"/>
    <row r="4427" ht="15" customHeight="1" x14ac:dyDescent="0.25"/>
    <row r="4429" ht="15" customHeight="1" x14ac:dyDescent="0.25"/>
    <row r="4431" ht="15" customHeight="1" x14ac:dyDescent="0.25"/>
    <row r="4433" ht="15" customHeight="1" x14ac:dyDescent="0.25"/>
    <row r="4435" ht="15" customHeight="1" x14ac:dyDescent="0.25"/>
    <row r="4437" ht="15" customHeight="1" x14ac:dyDescent="0.25"/>
    <row r="4439" ht="15" customHeight="1" x14ac:dyDescent="0.25"/>
    <row r="4441" ht="15" customHeight="1" x14ac:dyDescent="0.25"/>
    <row r="4443" ht="15" customHeight="1" x14ac:dyDescent="0.25"/>
    <row r="4445" ht="15" customHeight="1" x14ac:dyDescent="0.25"/>
    <row r="4447" ht="15" customHeight="1" x14ac:dyDescent="0.25"/>
    <row r="4449" ht="15" customHeight="1" x14ac:dyDescent="0.25"/>
    <row r="4451" ht="15" customHeight="1" x14ac:dyDescent="0.25"/>
    <row r="4453" ht="15" customHeight="1" x14ac:dyDescent="0.25"/>
    <row r="4455" ht="15" customHeight="1" x14ac:dyDescent="0.25"/>
    <row r="4457" ht="15" customHeight="1" x14ac:dyDescent="0.25"/>
    <row r="4459" ht="15" customHeight="1" x14ac:dyDescent="0.25"/>
    <row r="4461" ht="15" customHeight="1" x14ac:dyDescent="0.25"/>
    <row r="4463" ht="15" customHeight="1" x14ac:dyDescent="0.25"/>
    <row r="4465" ht="15" customHeight="1" x14ac:dyDescent="0.25"/>
    <row r="4467" ht="15" customHeight="1" x14ac:dyDescent="0.25"/>
    <row r="4469" ht="15" customHeight="1" x14ac:dyDescent="0.25"/>
    <row r="4471" ht="15" customHeight="1" x14ac:dyDescent="0.25"/>
    <row r="4473" ht="15" customHeight="1" x14ac:dyDescent="0.25"/>
    <row r="4475" ht="15" customHeight="1" x14ac:dyDescent="0.25"/>
    <row r="4477" ht="15" customHeight="1" x14ac:dyDescent="0.25"/>
    <row r="4479" ht="15" customHeight="1" x14ac:dyDescent="0.25"/>
    <row r="4481" ht="15" customHeight="1" x14ac:dyDescent="0.25"/>
    <row r="4483" ht="15" customHeight="1" x14ac:dyDescent="0.25"/>
    <row r="4485" ht="15" customHeight="1" x14ac:dyDescent="0.25"/>
    <row r="4487" ht="15" customHeight="1" x14ac:dyDescent="0.25"/>
    <row r="4489" ht="15" customHeight="1" x14ac:dyDescent="0.25"/>
    <row r="4491" ht="15" customHeight="1" x14ac:dyDescent="0.25"/>
    <row r="4493" ht="15" customHeight="1" x14ac:dyDescent="0.25"/>
    <row r="4495" ht="15" customHeight="1" x14ac:dyDescent="0.25"/>
    <row r="4497" ht="15" customHeight="1" x14ac:dyDescent="0.25"/>
    <row r="4499" ht="15" customHeight="1" x14ac:dyDescent="0.25"/>
    <row r="4501" ht="15" customHeight="1" x14ac:dyDescent="0.25"/>
    <row r="4503" ht="15" customHeight="1" x14ac:dyDescent="0.25"/>
    <row r="4505" ht="15" customHeight="1" x14ac:dyDescent="0.25"/>
    <row r="4507" ht="15" customHeight="1" x14ac:dyDescent="0.25"/>
    <row r="4509" ht="15" customHeight="1" x14ac:dyDescent="0.25"/>
    <row r="4511" ht="15" customHeight="1" x14ac:dyDescent="0.25"/>
    <row r="4513" ht="15" customHeight="1" x14ac:dyDescent="0.25"/>
    <row r="4515" ht="15" customHeight="1" x14ac:dyDescent="0.25"/>
    <row r="4517" ht="15" customHeight="1" x14ac:dyDescent="0.25"/>
    <row r="4519" ht="15" customHeight="1" x14ac:dyDescent="0.25"/>
    <row r="4521" ht="15" customHeight="1" x14ac:dyDescent="0.25"/>
    <row r="4523" ht="15" customHeight="1" x14ac:dyDescent="0.25"/>
    <row r="4525" ht="15" customHeight="1" x14ac:dyDescent="0.25"/>
    <row r="4527" ht="15" customHeight="1" x14ac:dyDescent="0.25"/>
    <row r="4529" ht="15" customHeight="1" x14ac:dyDescent="0.25"/>
    <row r="4531" ht="15" customHeight="1" x14ac:dyDescent="0.25"/>
    <row r="4533" ht="15" customHeight="1" x14ac:dyDescent="0.25"/>
    <row r="4535" ht="15" customHeight="1" x14ac:dyDescent="0.25"/>
    <row r="4537" ht="15" customHeight="1" x14ac:dyDescent="0.25"/>
    <row r="4539" ht="15" customHeight="1" x14ac:dyDescent="0.25"/>
    <row r="4541" ht="15" customHeight="1" x14ac:dyDescent="0.25"/>
    <row r="4543" ht="15" customHeight="1" x14ac:dyDescent="0.25"/>
    <row r="4545" ht="15" customHeight="1" x14ac:dyDescent="0.25"/>
    <row r="4547" ht="15" customHeight="1" x14ac:dyDescent="0.25"/>
    <row r="4549" ht="15" customHeight="1" x14ac:dyDescent="0.25"/>
    <row r="4551" ht="15" customHeight="1" x14ac:dyDescent="0.25"/>
    <row r="4553" ht="15" customHeight="1" x14ac:dyDescent="0.25"/>
    <row r="4555" ht="15" customHeight="1" x14ac:dyDescent="0.25"/>
    <row r="4557" ht="15" customHeight="1" x14ac:dyDescent="0.25"/>
    <row r="4559" ht="15" customHeight="1" x14ac:dyDescent="0.25"/>
    <row r="4561" ht="15" customHeight="1" x14ac:dyDescent="0.25"/>
    <row r="4563" ht="15" customHeight="1" x14ac:dyDescent="0.25"/>
    <row r="4565" ht="15" customHeight="1" x14ac:dyDescent="0.25"/>
    <row r="4567" ht="15" customHeight="1" x14ac:dyDescent="0.25"/>
    <row r="4569" ht="15" customHeight="1" x14ac:dyDescent="0.25"/>
    <row r="4571" ht="15" customHeight="1" x14ac:dyDescent="0.25"/>
    <row r="4573" ht="15" customHeight="1" x14ac:dyDescent="0.25"/>
    <row r="4575" ht="15" customHeight="1" x14ac:dyDescent="0.25"/>
    <row r="4577" ht="15" customHeight="1" x14ac:dyDescent="0.25"/>
    <row r="4579" ht="15" customHeight="1" x14ac:dyDescent="0.25"/>
    <row r="4581" ht="15" customHeight="1" x14ac:dyDescent="0.25"/>
    <row r="4583" ht="15" customHeight="1" x14ac:dyDescent="0.25"/>
    <row r="4585" ht="15" customHeight="1" x14ac:dyDescent="0.25"/>
    <row r="4587" ht="15" customHeight="1" x14ac:dyDescent="0.25"/>
    <row r="4589" ht="15" customHeight="1" x14ac:dyDescent="0.25"/>
    <row r="4591" ht="15" customHeight="1" x14ac:dyDescent="0.25"/>
    <row r="4593" ht="15" customHeight="1" x14ac:dyDescent="0.25"/>
    <row r="4595" ht="15" customHeight="1" x14ac:dyDescent="0.25"/>
    <row r="4597" ht="15" customHeight="1" x14ac:dyDescent="0.25"/>
    <row r="4599" ht="15" customHeight="1" x14ac:dyDescent="0.25"/>
    <row r="4601" ht="15" customHeight="1" x14ac:dyDescent="0.25"/>
    <row r="4603" ht="15" customHeight="1" x14ac:dyDescent="0.25"/>
    <row r="4605" ht="15" customHeight="1" x14ac:dyDescent="0.25"/>
    <row r="4607" ht="15" customHeight="1" x14ac:dyDescent="0.25"/>
    <row r="4609" ht="15" customHeight="1" x14ac:dyDescent="0.25"/>
    <row r="4611" ht="15" customHeight="1" x14ac:dyDescent="0.25"/>
    <row r="4613" ht="15" customHeight="1" x14ac:dyDescent="0.25"/>
    <row r="4615" ht="15" customHeight="1" x14ac:dyDescent="0.25"/>
    <row r="4617" ht="15" customHeight="1" x14ac:dyDescent="0.25"/>
    <row r="4619" ht="15" customHeight="1" x14ac:dyDescent="0.25"/>
    <row r="4621" ht="15" customHeight="1" x14ac:dyDescent="0.25"/>
    <row r="4623" ht="15" customHeight="1" x14ac:dyDescent="0.25"/>
    <row r="4625" ht="15" customHeight="1" x14ac:dyDescent="0.25"/>
    <row r="4627" ht="15" customHeight="1" x14ac:dyDescent="0.25"/>
    <row r="4629" ht="15" customHeight="1" x14ac:dyDescent="0.25"/>
    <row r="4631" ht="15" customHeight="1" x14ac:dyDescent="0.25"/>
    <row r="4633" ht="15" customHeight="1" x14ac:dyDescent="0.25"/>
    <row r="4635" ht="15" customHeight="1" x14ac:dyDescent="0.25"/>
    <row r="4637" ht="15" customHeight="1" x14ac:dyDescent="0.25"/>
    <row r="4639" ht="15" customHeight="1" x14ac:dyDescent="0.25"/>
    <row r="4641" ht="15" customHeight="1" x14ac:dyDescent="0.25"/>
    <row r="4643" ht="15" customHeight="1" x14ac:dyDescent="0.25"/>
    <row r="4645" ht="15" customHeight="1" x14ac:dyDescent="0.25"/>
    <row r="4647" ht="15" customHeight="1" x14ac:dyDescent="0.25"/>
    <row r="4649" ht="15" customHeight="1" x14ac:dyDescent="0.25"/>
    <row r="4651" ht="15" customHeight="1" x14ac:dyDescent="0.25"/>
    <row r="4653" ht="15" customHeight="1" x14ac:dyDescent="0.25"/>
    <row r="4655" ht="15" customHeight="1" x14ac:dyDescent="0.25"/>
    <row r="4657" ht="15" customHeight="1" x14ac:dyDescent="0.25"/>
    <row r="4659" ht="15" customHeight="1" x14ac:dyDescent="0.25"/>
    <row r="4661" ht="15" customHeight="1" x14ac:dyDescent="0.25"/>
    <row r="4663" ht="15" customHeight="1" x14ac:dyDescent="0.25"/>
    <row r="4665" ht="15" customHeight="1" x14ac:dyDescent="0.25"/>
    <row r="4667" ht="15" customHeight="1" x14ac:dyDescent="0.25"/>
    <row r="4669" ht="15" customHeight="1" x14ac:dyDescent="0.25"/>
    <row r="4671" ht="15" customHeight="1" x14ac:dyDescent="0.25"/>
    <row r="4673" ht="15" customHeight="1" x14ac:dyDescent="0.25"/>
    <row r="4675" ht="15" customHeight="1" x14ac:dyDescent="0.25"/>
    <row r="4677" ht="15" customHeight="1" x14ac:dyDescent="0.25"/>
    <row r="4679" ht="15" customHeight="1" x14ac:dyDescent="0.25"/>
    <row r="4681" ht="15" customHeight="1" x14ac:dyDescent="0.25"/>
    <row r="4683" ht="15" customHeight="1" x14ac:dyDescent="0.25"/>
    <row r="4685" ht="15" customHeight="1" x14ac:dyDescent="0.25"/>
    <row r="4687" ht="15" customHeight="1" x14ac:dyDescent="0.25"/>
    <row r="4689" ht="15" customHeight="1" x14ac:dyDescent="0.25"/>
    <row r="4691" ht="15" customHeight="1" x14ac:dyDescent="0.25"/>
    <row r="4693" ht="15" customHeight="1" x14ac:dyDescent="0.25"/>
    <row r="4695" ht="15" customHeight="1" x14ac:dyDescent="0.25"/>
    <row r="4697" ht="15" customHeight="1" x14ac:dyDescent="0.25"/>
    <row r="4699" ht="15" customHeight="1" x14ac:dyDescent="0.25"/>
    <row r="4701" ht="15" customHeight="1" x14ac:dyDescent="0.25"/>
    <row r="4703" ht="15" customHeight="1" x14ac:dyDescent="0.25"/>
    <row r="4705" ht="15" customHeight="1" x14ac:dyDescent="0.25"/>
    <row r="4707" ht="15" customHeight="1" x14ac:dyDescent="0.25"/>
    <row r="4709" ht="15" customHeight="1" x14ac:dyDescent="0.25"/>
    <row r="4711" ht="15" customHeight="1" x14ac:dyDescent="0.25"/>
    <row r="4713" ht="15" customHeight="1" x14ac:dyDescent="0.25"/>
    <row r="4715" ht="15" customHeight="1" x14ac:dyDescent="0.25"/>
    <row r="4717" ht="15" customHeight="1" x14ac:dyDescent="0.25"/>
    <row r="4719" ht="15" customHeight="1" x14ac:dyDescent="0.25"/>
    <row r="4721" ht="15" customHeight="1" x14ac:dyDescent="0.25"/>
    <row r="4723" ht="15" customHeight="1" x14ac:dyDescent="0.25"/>
    <row r="4725" ht="15" customHeight="1" x14ac:dyDescent="0.25"/>
    <row r="4727" ht="15" customHeight="1" x14ac:dyDescent="0.25"/>
    <row r="4729" ht="15" customHeight="1" x14ac:dyDescent="0.25"/>
    <row r="4731" ht="15" customHeight="1" x14ac:dyDescent="0.25"/>
    <row r="4733" ht="15" customHeight="1" x14ac:dyDescent="0.25"/>
    <row r="4735" ht="15" customHeight="1" x14ac:dyDescent="0.25"/>
    <row r="4737" ht="15" customHeight="1" x14ac:dyDescent="0.25"/>
    <row r="4739" ht="15" customHeight="1" x14ac:dyDescent="0.25"/>
    <row r="4741" ht="15" customHeight="1" x14ac:dyDescent="0.25"/>
    <row r="4743" ht="15" customHeight="1" x14ac:dyDescent="0.25"/>
    <row r="4745" ht="15" customHeight="1" x14ac:dyDescent="0.25"/>
    <row r="4747" ht="15" customHeight="1" x14ac:dyDescent="0.25"/>
    <row r="4749" ht="15" customHeight="1" x14ac:dyDescent="0.25"/>
    <row r="4751" ht="15" customHeight="1" x14ac:dyDescent="0.25"/>
    <row r="4753" ht="15" customHeight="1" x14ac:dyDescent="0.25"/>
    <row r="4755" ht="15" customHeight="1" x14ac:dyDescent="0.25"/>
    <row r="4757" ht="15" customHeight="1" x14ac:dyDescent="0.25"/>
    <row r="4759" ht="15" customHeight="1" x14ac:dyDescent="0.25"/>
    <row r="4761" ht="15" customHeight="1" x14ac:dyDescent="0.25"/>
    <row r="4763" ht="15" customHeight="1" x14ac:dyDescent="0.25"/>
    <row r="4765" ht="15" customHeight="1" x14ac:dyDescent="0.25"/>
    <row r="4767" ht="15" customHeight="1" x14ac:dyDescent="0.25"/>
    <row r="4769" ht="15" customHeight="1" x14ac:dyDescent="0.25"/>
    <row r="4771" ht="15" customHeight="1" x14ac:dyDescent="0.25"/>
    <row r="4773" ht="15" customHeight="1" x14ac:dyDescent="0.25"/>
    <row r="4775" ht="15" customHeight="1" x14ac:dyDescent="0.25"/>
    <row r="4777" ht="15" customHeight="1" x14ac:dyDescent="0.25"/>
    <row r="4779" ht="15" customHeight="1" x14ac:dyDescent="0.25"/>
    <row r="4781" ht="15" customHeight="1" x14ac:dyDescent="0.25"/>
    <row r="4783" ht="15" customHeight="1" x14ac:dyDescent="0.25"/>
    <row r="4785" ht="15" customHeight="1" x14ac:dyDescent="0.25"/>
    <row r="4787" ht="15" customHeight="1" x14ac:dyDescent="0.25"/>
    <row r="4789" ht="15" customHeight="1" x14ac:dyDescent="0.25"/>
    <row r="4791" ht="15" customHeight="1" x14ac:dyDescent="0.25"/>
    <row r="4793" ht="15" customHeight="1" x14ac:dyDescent="0.25"/>
    <row r="4795" ht="15" customHeight="1" x14ac:dyDescent="0.25"/>
    <row r="4797" ht="15" customHeight="1" x14ac:dyDescent="0.25"/>
    <row r="4799" ht="15" customHeight="1" x14ac:dyDescent="0.25"/>
    <row r="4801" ht="15" customHeight="1" x14ac:dyDescent="0.25"/>
    <row r="4803" ht="15" customHeight="1" x14ac:dyDescent="0.25"/>
    <row r="4805" ht="15" customHeight="1" x14ac:dyDescent="0.25"/>
    <row r="4807" ht="15" customHeight="1" x14ac:dyDescent="0.25"/>
    <row r="4809" ht="15" customHeight="1" x14ac:dyDescent="0.25"/>
    <row r="4811" ht="15" customHeight="1" x14ac:dyDescent="0.25"/>
    <row r="4813" ht="15" customHeight="1" x14ac:dyDescent="0.25"/>
    <row r="4815" ht="15" customHeight="1" x14ac:dyDescent="0.25"/>
    <row r="4817" ht="15" customHeight="1" x14ac:dyDescent="0.25"/>
    <row r="4819" ht="15" customHeight="1" x14ac:dyDescent="0.25"/>
    <row r="4821" ht="15" customHeight="1" x14ac:dyDescent="0.25"/>
    <row r="4823" ht="15" customHeight="1" x14ac:dyDescent="0.25"/>
    <row r="4825" ht="15" customHeight="1" x14ac:dyDescent="0.25"/>
    <row r="4827" ht="15" customHeight="1" x14ac:dyDescent="0.25"/>
    <row r="4829" ht="15" customHeight="1" x14ac:dyDescent="0.25"/>
    <row r="4831" ht="15" customHeight="1" x14ac:dyDescent="0.25"/>
    <row r="4833" ht="15" customHeight="1" x14ac:dyDescent="0.25"/>
    <row r="4835" ht="15" customHeight="1" x14ac:dyDescent="0.25"/>
    <row r="4837" ht="15" customHeight="1" x14ac:dyDescent="0.25"/>
    <row r="4839" ht="15" customHeight="1" x14ac:dyDescent="0.25"/>
    <row r="4841" ht="15" customHeight="1" x14ac:dyDescent="0.25"/>
    <row r="4843" ht="15" customHeight="1" x14ac:dyDescent="0.25"/>
    <row r="4845" ht="15" customHeight="1" x14ac:dyDescent="0.25"/>
    <row r="4847" ht="15" customHeight="1" x14ac:dyDescent="0.25"/>
    <row r="4849" ht="15" customHeight="1" x14ac:dyDescent="0.25"/>
    <row r="4851" ht="15" customHeight="1" x14ac:dyDescent="0.25"/>
    <row r="4853" ht="15" customHeight="1" x14ac:dyDescent="0.25"/>
    <row r="4855" ht="15" customHeight="1" x14ac:dyDescent="0.25"/>
    <row r="4857" ht="15" customHeight="1" x14ac:dyDescent="0.25"/>
    <row r="4859" ht="15" customHeight="1" x14ac:dyDescent="0.25"/>
    <row r="4861" ht="15" customHeight="1" x14ac:dyDescent="0.25"/>
    <row r="4863" ht="15" customHeight="1" x14ac:dyDescent="0.25"/>
    <row r="4865" ht="15" customHeight="1" x14ac:dyDescent="0.25"/>
    <row r="4867" ht="15" customHeight="1" x14ac:dyDescent="0.25"/>
    <row r="4869" ht="15" customHeight="1" x14ac:dyDescent="0.25"/>
    <row r="4871" ht="15" customHeight="1" x14ac:dyDescent="0.25"/>
    <row r="4873" ht="15" customHeight="1" x14ac:dyDescent="0.25"/>
    <row r="4875" ht="15" customHeight="1" x14ac:dyDescent="0.25"/>
    <row r="4877" ht="15" customHeight="1" x14ac:dyDescent="0.25"/>
    <row r="4879" ht="15" customHeight="1" x14ac:dyDescent="0.25"/>
    <row r="4881" ht="15" customHeight="1" x14ac:dyDescent="0.25"/>
    <row r="4883" ht="15" customHeight="1" x14ac:dyDescent="0.25"/>
    <row r="4885" ht="15" customHeight="1" x14ac:dyDescent="0.25"/>
    <row r="4887" ht="15" customHeight="1" x14ac:dyDescent="0.25"/>
    <row r="4889" ht="15" customHeight="1" x14ac:dyDescent="0.25"/>
    <row r="4891" ht="15" customHeight="1" x14ac:dyDescent="0.25"/>
    <row r="4893" ht="15" customHeight="1" x14ac:dyDescent="0.25"/>
    <row r="4895" ht="15" customHeight="1" x14ac:dyDescent="0.25"/>
    <row r="4897" ht="15" customHeight="1" x14ac:dyDescent="0.25"/>
    <row r="4899" ht="15" customHeight="1" x14ac:dyDescent="0.25"/>
    <row r="4901" ht="15" customHeight="1" x14ac:dyDescent="0.25"/>
    <row r="4903" ht="15" customHeight="1" x14ac:dyDescent="0.25"/>
    <row r="4905" ht="15" customHeight="1" x14ac:dyDescent="0.25"/>
    <row r="4907" ht="15" customHeight="1" x14ac:dyDescent="0.25"/>
    <row r="4909" ht="15" customHeight="1" x14ac:dyDescent="0.25"/>
    <row r="4911" ht="15" customHeight="1" x14ac:dyDescent="0.25"/>
    <row r="4913" ht="15" customHeight="1" x14ac:dyDescent="0.25"/>
    <row r="4915" ht="15" customHeight="1" x14ac:dyDescent="0.25"/>
    <row r="4917" ht="15" customHeight="1" x14ac:dyDescent="0.25"/>
    <row r="4919" ht="15" customHeight="1" x14ac:dyDescent="0.25"/>
    <row r="4921" ht="15" customHeight="1" x14ac:dyDescent="0.25"/>
    <row r="4923" ht="15" customHeight="1" x14ac:dyDescent="0.25"/>
    <row r="4925" ht="15" customHeight="1" x14ac:dyDescent="0.25"/>
    <row r="4927" ht="15" customHeight="1" x14ac:dyDescent="0.25"/>
    <row r="4929" ht="15" customHeight="1" x14ac:dyDescent="0.25"/>
    <row r="4931" ht="15" customHeight="1" x14ac:dyDescent="0.25"/>
    <row r="4933" ht="15" customHeight="1" x14ac:dyDescent="0.25"/>
    <row r="4935" ht="15" customHeight="1" x14ac:dyDescent="0.25"/>
    <row r="4937" ht="15" customHeight="1" x14ac:dyDescent="0.25"/>
    <row r="4939" ht="15" customHeight="1" x14ac:dyDescent="0.25"/>
    <row r="4941" ht="15" customHeight="1" x14ac:dyDescent="0.25"/>
    <row r="4943" ht="15" customHeight="1" x14ac:dyDescent="0.25"/>
    <row r="4945" ht="15" customHeight="1" x14ac:dyDescent="0.25"/>
    <row r="4947" ht="15" customHeight="1" x14ac:dyDescent="0.25"/>
    <row r="4949" ht="15" customHeight="1" x14ac:dyDescent="0.25"/>
    <row r="4951" ht="15" customHeight="1" x14ac:dyDescent="0.25"/>
    <row r="4953" ht="15" customHeight="1" x14ac:dyDescent="0.25"/>
    <row r="4955" ht="15" customHeight="1" x14ac:dyDescent="0.25"/>
    <row r="4957" ht="15" customHeight="1" x14ac:dyDescent="0.25"/>
    <row r="4959" ht="15" customHeight="1" x14ac:dyDescent="0.25"/>
    <row r="4961" ht="15" customHeight="1" x14ac:dyDescent="0.25"/>
    <row r="4963" ht="15" customHeight="1" x14ac:dyDescent="0.25"/>
    <row r="4965" ht="15" customHeight="1" x14ac:dyDescent="0.25"/>
    <row r="4967" ht="15" customHeight="1" x14ac:dyDescent="0.25"/>
    <row r="4969" ht="15" customHeight="1" x14ac:dyDescent="0.25"/>
    <row r="4971" ht="15" customHeight="1" x14ac:dyDescent="0.25"/>
    <row r="4973" ht="15" customHeight="1" x14ac:dyDescent="0.25"/>
    <row r="4975" ht="15" customHeight="1" x14ac:dyDescent="0.25"/>
    <row r="4977" ht="15" customHeight="1" x14ac:dyDescent="0.25"/>
    <row r="4979" ht="15" customHeight="1" x14ac:dyDescent="0.25"/>
    <row r="4981" ht="15" customHeight="1" x14ac:dyDescent="0.25"/>
    <row r="4983" ht="15" customHeight="1" x14ac:dyDescent="0.25"/>
    <row r="4985" ht="15" customHeight="1" x14ac:dyDescent="0.25"/>
    <row r="4987" ht="15" customHeight="1" x14ac:dyDescent="0.25"/>
    <row r="4989" ht="15" customHeight="1" x14ac:dyDescent="0.25"/>
    <row r="4991" ht="15" customHeight="1" x14ac:dyDescent="0.25"/>
    <row r="4993" ht="15" customHeight="1" x14ac:dyDescent="0.25"/>
    <row r="4995" ht="15" customHeight="1" x14ac:dyDescent="0.25"/>
    <row r="4997" ht="15" customHeight="1" x14ac:dyDescent="0.25"/>
    <row r="4999" ht="15" customHeight="1" x14ac:dyDescent="0.25"/>
    <row r="5001" ht="15" customHeight="1" x14ac:dyDescent="0.25"/>
    <row r="5003" ht="15" customHeight="1" x14ac:dyDescent="0.25"/>
    <row r="5005" ht="15" customHeight="1" x14ac:dyDescent="0.25"/>
    <row r="5007" ht="15" customHeight="1" x14ac:dyDescent="0.25"/>
    <row r="5009" ht="15" customHeight="1" x14ac:dyDescent="0.25"/>
    <row r="5011" ht="15" customHeight="1" x14ac:dyDescent="0.25"/>
    <row r="5013" ht="15" customHeight="1" x14ac:dyDescent="0.25"/>
    <row r="5015" ht="15" customHeight="1" x14ac:dyDescent="0.25"/>
    <row r="5017" ht="15" customHeight="1" x14ac:dyDescent="0.25"/>
    <row r="5019" ht="15" customHeight="1" x14ac:dyDescent="0.25"/>
    <row r="5021" ht="15" customHeight="1" x14ac:dyDescent="0.25"/>
    <row r="5023" ht="15" customHeight="1" x14ac:dyDescent="0.25"/>
    <row r="5025" ht="15" customHeight="1" x14ac:dyDescent="0.25"/>
    <row r="5027" ht="15" customHeight="1" x14ac:dyDescent="0.25"/>
    <row r="5029" ht="15" customHeight="1" x14ac:dyDescent="0.25"/>
    <row r="5031" ht="15" customHeight="1" x14ac:dyDescent="0.25"/>
    <row r="5033" ht="15" customHeight="1" x14ac:dyDescent="0.25"/>
    <row r="5035" ht="15" customHeight="1" x14ac:dyDescent="0.25"/>
    <row r="5037" ht="15" customHeight="1" x14ac:dyDescent="0.25"/>
    <row r="5039" ht="15" customHeight="1" x14ac:dyDescent="0.25"/>
    <row r="5041" ht="15" customHeight="1" x14ac:dyDescent="0.25"/>
    <row r="5043" ht="15" customHeight="1" x14ac:dyDescent="0.25"/>
    <row r="5045" ht="15" customHeight="1" x14ac:dyDescent="0.25"/>
    <row r="5047" ht="15" customHeight="1" x14ac:dyDescent="0.25"/>
    <row r="5049" ht="15" customHeight="1" x14ac:dyDescent="0.25"/>
    <row r="5051" ht="15" customHeight="1" x14ac:dyDescent="0.25"/>
    <row r="5053" ht="15" customHeight="1" x14ac:dyDescent="0.25"/>
    <row r="5055" ht="15" customHeight="1" x14ac:dyDescent="0.25"/>
    <row r="5057" ht="15" customHeight="1" x14ac:dyDescent="0.25"/>
    <row r="5059" ht="15" customHeight="1" x14ac:dyDescent="0.25"/>
    <row r="5061" ht="15" customHeight="1" x14ac:dyDescent="0.25"/>
    <row r="5063" ht="15" customHeight="1" x14ac:dyDescent="0.25"/>
    <row r="5065" ht="15" customHeight="1" x14ac:dyDescent="0.25"/>
    <row r="5067" ht="15" customHeight="1" x14ac:dyDescent="0.25"/>
    <row r="5069" ht="15" customHeight="1" x14ac:dyDescent="0.25"/>
    <row r="5071" ht="15" customHeight="1" x14ac:dyDescent="0.25"/>
    <row r="5073" ht="15" customHeight="1" x14ac:dyDescent="0.25"/>
    <row r="5075" ht="15" customHeight="1" x14ac:dyDescent="0.25"/>
    <row r="5077" ht="15" customHeight="1" x14ac:dyDescent="0.25"/>
    <row r="5079" ht="15" customHeight="1" x14ac:dyDescent="0.25"/>
    <row r="5081" ht="15" customHeight="1" x14ac:dyDescent="0.25"/>
    <row r="5083" ht="15" customHeight="1" x14ac:dyDescent="0.25"/>
    <row r="5085" ht="15" customHeight="1" x14ac:dyDescent="0.25"/>
    <row r="5087" ht="15" customHeight="1" x14ac:dyDescent="0.25"/>
    <row r="5089" ht="15" customHeight="1" x14ac:dyDescent="0.25"/>
    <row r="5091" ht="15" customHeight="1" x14ac:dyDescent="0.25"/>
    <row r="5093" ht="15" customHeight="1" x14ac:dyDescent="0.25"/>
    <row r="5095" ht="15" customHeight="1" x14ac:dyDescent="0.25"/>
    <row r="5097" ht="15" customHeight="1" x14ac:dyDescent="0.25"/>
    <row r="5099" ht="15" customHeight="1" x14ac:dyDescent="0.25"/>
    <row r="5101" ht="15" customHeight="1" x14ac:dyDescent="0.25"/>
    <row r="5103" ht="15" customHeight="1" x14ac:dyDescent="0.25"/>
    <row r="5105" ht="15" customHeight="1" x14ac:dyDescent="0.25"/>
    <row r="5107" ht="15" customHeight="1" x14ac:dyDescent="0.25"/>
    <row r="5109" ht="15" customHeight="1" x14ac:dyDescent="0.25"/>
    <row r="5111" ht="15" customHeight="1" x14ac:dyDescent="0.25"/>
    <row r="5113" ht="15" customHeight="1" x14ac:dyDescent="0.25"/>
    <row r="5115" ht="15" customHeight="1" x14ac:dyDescent="0.25"/>
    <row r="5117" ht="15" customHeight="1" x14ac:dyDescent="0.25"/>
    <row r="5119" ht="15" customHeight="1" x14ac:dyDescent="0.25"/>
    <row r="5121" ht="15" customHeight="1" x14ac:dyDescent="0.25"/>
    <row r="5123" ht="15" customHeight="1" x14ac:dyDescent="0.25"/>
    <row r="5125" ht="15" customHeight="1" x14ac:dyDescent="0.25"/>
    <row r="5127" ht="15" customHeight="1" x14ac:dyDescent="0.25"/>
    <row r="5129" ht="15" customHeight="1" x14ac:dyDescent="0.25"/>
    <row r="5131" ht="15" customHeight="1" x14ac:dyDescent="0.25"/>
    <row r="5133" ht="15" customHeight="1" x14ac:dyDescent="0.25"/>
    <row r="5135" ht="15" customHeight="1" x14ac:dyDescent="0.25"/>
    <row r="5137" ht="15" customHeight="1" x14ac:dyDescent="0.25"/>
    <row r="5139" ht="15" customHeight="1" x14ac:dyDescent="0.25"/>
    <row r="5141" ht="15" customHeight="1" x14ac:dyDescent="0.25"/>
    <row r="5143" ht="15" customHeight="1" x14ac:dyDescent="0.25"/>
    <row r="5145" ht="15" customHeight="1" x14ac:dyDescent="0.25"/>
    <row r="5147" ht="15" customHeight="1" x14ac:dyDescent="0.25"/>
    <row r="5149" ht="15" customHeight="1" x14ac:dyDescent="0.25"/>
    <row r="5151" ht="15" customHeight="1" x14ac:dyDescent="0.25"/>
    <row r="5153" ht="15" customHeight="1" x14ac:dyDescent="0.25"/>
    <row r="5155" ht="15" customHeight="1" x14ac:dyDescent="0.25"/>
    <row r="5157" ht="15" customHeight="1" x14ac:dyDescent="0.25"/>
    <row r="5159" ht="15" customHeight="1" x14ac:dyDescent="0.25"/>
    <row r="5161" ht="15" customHeight="1" x14ac:dyDescent="0.25"/>
    <row r="5163" ht="15" customHeight="1" x14ac:dyDescent="0.25"/>
    <row r="5165" ht="15" customHeight="1" x14ac:dyDescent="0.25"/>
    <row r="5167" ht="15" customHeight="1" x14ac:dyDescent="0.25"/>
    <row r="5169" ht="15" customHeight="1" x14ac:dyDescent="0.25"/>
    <row r="5171" ht="15" customHeight="1" x14ac:dyDescent="0.25"/>
    <row r="5173" ht="15" customHeight="1" x14ac:dyDescent="0.25"/>
    <row r="5175" ht="15" customHeight="1" x14ac:dyDescent="0.25"/>
    <row r="5177" ht="15" customHeight="1" x14ac:dyDescent="0.25"/>
    <row r="5179" ht="15" customHeight="1" x14ac:dyDescent="0.25"/>
    <row r="5181" ht="15" customHeight="1" x14ac:dyDescent="0.25"/>
    <row r="5183" ht="15" customHeight="1" x14ac:dyDescent="0.25"/>
    <row r="5185" ht="15" customHeight="1" x14ac:dyDescent="0.25"/>
    <row r="5187" ht="15" customHeight="1" x14ac:dyDescent="0.25"/>
    <row r="5189" ht="15" customHeight="1" x14ac:dyDescent="0.25"/>
    <row r="5191" ht="15" customHeight="1" x14ac:dyDescent="0.25"/>
    <row r="5193" ht="15" customHeight="1" x14ac:dyDescent="0.25"/>
    <row r="5195" ht="15" customHeight="1" x14ac:dyDescent="0.25"/>
    <row r="5197" ht="15" customHeight="1" x14ac:dyDescent="0.25"/>
    <row r="5199" ht="15" customHeight="1" x14ac:dyDescent="0.25"/>
    <row r="5201" ht="15" customHeight="1" x14ac:dyDescent="0.25"/>
    <row r="5203" ht="15" customHeight="1" x14ac:dyDescent="0.25"/>
    <row r="5205" ht="15" customHeight="1" x14ac:dyDescent="0.25"/>
    <row r="5207" ht="15" customHeight="1" x14ac:dyDescent="0.25"/>
    <row r="5209" ht="15" customHeight="1" x14ac:dyDescent="0.25"/>
    <row r="5211" ht="15" customHeight="1" x14ac:dyDescent="0.25"/>
    <row r="5213" ht="15" customHeight="1" x14ac:dyDescent="0.25"/>
    <row r="5215" ht="15" customHeight="1" x14ac:dyDescent="0.25"/>
    <row r="5217" ht="15" customHeight="1" x14ac:dyDescent="0.25"/>
    <row r="5219" ht="15" customHeight="1" x14ac:dyDescent="0.25"/>
    <row r="5221" ht="15" customHeight="1" x14ac:dyDescent="0.25"/>
    <row r="5223" ht="15" customHeight="1" x14ac:dyDescent="0.25"/>
    <row r="5225" ht="15" customHeight="1" x14ac:dyDescent="0.25"/>
    <row r="5227" ht="15" customHeight="1" x14ac:dyDescent="0.25"/>
    <row r="5229" ht="15" customHeight="1" x14ac:dyDescent="0.25"/>
    <row r="5231" ht="15" customHeight="1" x14ac:dyDescent="0.25"/>
    <row r="5233" ht="15" customHeight="1" x14ac:dyDescent="0.25"/>
    <row r="5235" ht="15" customHeight="1" x14ac:dyDescent="0.25"/>
    <row r="5237" ht="15" customHeight="1" x14ac:dyDescent="0.25"/>
    <row r="5239" ht="15" customHeight="1" x14ac:dyDescent="0.25"/>
    <row r="5241" ht="15" customHeight="1" x14ac:dyDescent="0.25"/>
    <row r="5243" ht="15" customHeight="1" x14ac:dyDescent="0.25"/>
    <row r="5245" ht="15" customHeight="1" x14ac:dyDescent="0.25"/>
    <row r="5247" ht="15" customHeight="1" x14ac:dyDescent="0.25"/>
    <row r="5249" ht="15" customHeight="1" x14ac:dyDescent="0.25"/>
    <row r="5251" ht="15" customHeight="1" x14ac:dyDescent="0.25"/>
    <row r="5253" ht="15" customHeight="1" x14ac:dyDescent="0.25"/>
    <row r="5255" ht="15" customHeight="1" x14ac:dyDescent="0.25"/>
    <row r="5257" ht="15" customHeight="1" x14ac:dyDescent="0.25"/>
    <row r="5259" ht="15" customHeight="1" x14ac:dyDescent="0.25"/>
    <row r="5261" ht="15" customHeight="1" x14ac:dyDescent="0.25"/>
    <row r="5263" ht="15" customHeight="1" x14ac:dyDescent="0.25"/>
    <row r="5265" ht="15" customHeight="1" x14ac:dyDescent="0.25"/>
    <row r="5267" ht="15" customHeight="1" x14ac:dyDescent="0.25"/>
    <row r="5269" ht="15" customHeight="1" x14ac:dyDescent="0.25"/>
    <row r="5271" ht="15" customHeight="1" x14ac:dyDescent="0.25"/>
    <row r="5273" ht="15" customHeight="1" x14ac:dyDescent="0.25"/>
    <row r="5275" ht="15" customHeight="1" x14ac:dyDescent="0.25"/>
    <row r="5277" ht="15" customHeight="1" x14ac:dyDescent="0.25"/>
    <row r="5279" ht="15" customHeight="1" x14ac:dyDescent="0.25"/>
    <row r="5281" ht="15" customHeight="1" x14ac:dyDescent="0.25"/>
    <row r="5283" ht="15" customHeight="1" x14ac:dyDescent="0.25"/>
    <row r="5285" ht="15" customHeight="1" x14ac:dyDescent="0.25"/>
    <row r="5287" ht="15" customHeight="1" x14ac:dyDescent="0.25"/>
    <row r="5289" ht="15" customHeight="1" x14ac:dyDescent="0.25"/>
    <row r="5291" ht="15" customHeight="1" x14ac:dyDescent="0.25"/>
    <row r="5293" ht="15" customHeight="1" x14ac:dyDescent="0.25"/>
    <row r="5295" ht="15" customHeight="1" x14ac:dyDescent="0.25"/>
    <row r="5297" ht="15" customHeight="1" x14ac:dyDescent="0.25"/>
    <row r="5299" ht="15" customHeight="1" x14ac:dyDescent="0.25"/>
    <row r="5301" ht="15" customHeight="1" x14ac:dyDescent="0.25"/>
    <row r="5303" ht="15" customHeight="1" x14ac:dyDescent="0.25"/>
    <row r="5305" ht="15" customHeight="1" x14ac:dyDescent="0.25"/>
    <row r="5307" ht="15" customHeight="1" x14ac:dyDescent="0.25"/>
    <row r="5309" ht="15" customHeight="1" x14ac:dyDescent="0.25"/>
    <row r="5311" ht="15" customHeight="1" x14ac:dyDescent="0.25"/>
    <row r="5313" ht="15" customHeight="1" x14ac:dyDescent="0.25"/>
    <row r="5315" ht="15" customHeight="1" x14ac:dyDescent="0.25"/>
    <row r="5317" ht="15" customHeight="1" x14ac:dyDescent="0.25"/>
    <row r="5319" ht="15" customHeight="1" x14ac:dyDescent="0.25"/>
    <row r="5321" ht="15" customHeight="1" x14ac:dyDescent="0.25"/>
    <row r="5323" ht="15" customHeight="1" x14ac:dyDescent="0.25"/>
    <row r="5325" ht="15" customHeight="1" x14ac:dyDescent="0.25"/>
    <row r="5327" ht="15" customHeight="1" x14ac:dyDescent="0.25"/>
    <row r="5329" ht="15" customHeight="1" x14ac:dyDescent="0.25"/>
    <row r="5331" ht="15" customHeight="1" x14ac:dyDescent="0.25"/>
    <row r="5333" ht="15" customHeight="1" x14ac:dyDescent="0.25"/>
    <row r="5335" ht="15" customHeight="1" x14ac:dyDescent="0.25"/>
    <row r="5337" ht="15" customHeight="1" x14ac:dyDescent="0.25"/>
    <row r="5339" ht="15" customHeight="1" x14ac:dyDescent="0.25"/>
    <row r="5341" ht="15" customHeight="1" x14ac:dyDescent="0.25"/>
    <row r="5343" ht="15" customHeight="1" x14ac:dyDescent="0.25"/>
    <row r="5345" ht="15" customHeight="1" x14ac:dyDescent="0.25"/>
    <row r="5347" ht="15" customHeight="1" x14ac:dyDescent="0.25"/>
    <row r="5349" ht="15" customHeight="1" x14ac:dyDescent="0.25"/>
    <row r="5351" ht="15" customHeight="1" x14ac:dyDescent="0.25"/>
    <row r="5353" ht="15" customHeight="1" x14ac:dyDescent="0.25"/>
    <row r="5355" ht="15" customHeight="1" x14ac:dyDescent="0.25"/>
    <row r="5357" ht="15" customHeight="1" x14ac:dyDescent="0.25"/>
    <row r="5359" ht="15" customHeight="1" x14ac:dyDescent="0.25"/>
    <row r="5361" ht="15" customHeight="1" x14ac:dyDescent="0.25"/>
    <row r="5363" ht="15" customHeight="1" x14ac:dyDescent="0.25"/>
    <row r="5365" ht="15" customHeight="1" x14ac:dyDescent="0.25"/>
    <row r="5367" ht="15" customHeight="1" x14ac:dyDescent="0.25"/>
    <row r="5369" ht="15" customHeight="1" x14ac:dyDescent="0.25"/>
    <row r="5371" ht="15" customHeight="1" x14ac:dyDescent="0.25"/>
    <row r="5373" ht="15" customHeight="1" x14ac:dyDescent="0.25"/>
    <row r="5375" ht="15" customHeight="1" x14ac:dyDescent="0.25"/>
    <row r="5377" ht="15" customHeight="1" x14ac:dyDescent="0.25"/>
    <row r="5379" ht="15" customHeight="1" x14ac:dyDescent="0.25"/>
    <row r="5381" ht="15" customHeight="1" x14ac:dyDescent="0.25"/>
    <row r="5383" ht="15" customHeight="1" x14ac:dyDescent="0.25"/>
    <row r="5385" ht="15" customHeight="1" x14ac:dyDescent="0.25"/>
    <row r="5387" ht="15" customHeight="1" x14ac:dyDescent="0.25"/>
    <row r="5389" ht="15" customHeight="1" x14ac:dyDescent="0.25"/>
    <row r="5391" ht="15" customHeight="1" x14ac:dyDescent="0.25"/>
    <row r="5393" ht="15" customHeight="1" x14ac:dyDescent="0.25"/>
    <row r="5395" ht="15" customHeight="1" x14ac:dyDescent="0.25"/>
    <row r="5397" ht="15" customHeight="1" x14ac:dyDescent="0.25"/>
    <row r="5399" ht="15" customHeight="1" x14ac:dyDescent="0.25"/>
    <row r="5401" ht="15" customHeight="1" x14ac:dyDescent="0.25"/>
    <row r="5403" ht="15" customHeight="1" x14ac:dyDescent="0.25"/>
    <row r="5405" ht="15" customHeight="1" x14ac:dyDescent="0.25"/>
    <row r="5407" ht="15" customHeight="1" x14ac:dyDescent="0.25"/>
    <row r="5409" ht="15" customHeight="1" x14ac:dyDescent="0.25"/>
    <row r="5411" ht="15" customHeight="1" x14ac:dyDescent="0.25"/>
    <row r="5413" ht="15" customHeight="1" x14ac:dyDescent="0.25"/>
    <row r="5415" ht="15" customHeight="1" x14ac:dyDescent="0.25"/>
    <row r="5417" ht="15" customHeight="1" x14ac:dyDescent="0.25"/>
    <row r="5419" ht="15" customHeight="1" x14ac:dyDescent="0.25"/>
    <row r="5421" ht="15" customHeight="1" x14ac:dyDescent="0.25"/>
    <row r="5423" ht="15" customHeight="1" x14ac:dyDescent="0.25"/>
    <row r="5425" ht="15" customHeight="1" x14ac:dyDescent="0.25"/>
    <row r="5427" ht="15" customHeight="1" x14ac:dyDescent="0.25"/>
    <row r="5429" ht="15" customHeight="1" x14ac:dyDescent="0.25"/>
    <row r="5431" ht="15" customHeight="1" x14ac:dyDescent="0.25"/>
    <row r="5433" ht="15" customHeight="1" x14ac:dyDescent="0.25"/>
    <row r="5435" ht="15" customHeight="1" x14ac:dyDescent="0.25"/>
    <row r="5437" ht="15" customHeight="1" x14ac:dyDescent="0.25"/>
    <row r="5439" ht="15" customHeight="1" x14ac:dyDescent="0.25"/>
    <row r="5441" ht="15" customHeight="1" x14ac:dyDescent="0.25"/>
    <row r="5443" ht="15" customHeight="1" x14ac:dyDescent="0.25"/>
    <row r="5445" ht="15" customHeight="1" x14ac:dyDescent="0.25"/>
    <row r="5447" ht="15" customHeight="1" x14ac:dyDescent="0.25"/>
    <row r="5449" ht="15" customHeight="1" x14ac:dyDescent="0.25"/>
    <row r="5451" ht="15" customHeight="1" x14ac:dyDescent="0.25"/>
    <row r="5453" ht="15" customHeight="1" x14ac:dyDescent="0.25"/>
    <row r="5455" ht="15" customHeight="1" x14ac:dyDescent="0.25"/>
    <row r="5457" ht="15" customHeight="1" x14ac:dyDescent="0.25"/>
    <row r="5459" ht="15" customHeight="1" x14ac:dyDescent="0.25"/>
    <row r="5461" ht="15" customHeight="1" x14ac:dyDescent="0.25"/>
    <row r="5463" ht="15" customHeight="1" x14ac:dyDescent="0.25"/>
    <row r="5465" ht="15" customHeight="1" x14ac:dyDescent="0.25"/>
    <row r="5467" ht="15" customHeight="1" x14ac:dyDescent="0.25"/>
    <row r="5469" ht="15" customHeight="1" x14ac:dyDescent="0.25"/>
    <row r="5471" ht="15" customHeight="1" x14ac:dyDescent="0.25"/>
    <row r="5473" ht="15" customHeight="1" x14ac:dyDescent="0.25"/>
    <row r="5475" ht="15" customHeight="1" x14ac:dyDescent="0.25"/>
    <row r="5477" ht="15" customHeight="1" x14ac:dyDescent="0.25"/>
    <row r="5479" ht="15" customHeight="1" x14ac:dyDescent="0.25"/>
    <row r="5481" ht="15" customHeight="1" x14ac:dyDescent="0.25"/>
    <row r="5483" ht="15" customHeight="1" x14ac:dyDescent="0.25"/>
    <row r="5485" ht="15" customHeight="1" x14ac:dyDescent="0.25"/>
    <row r="5487" ht="15" customHeight="1" x14ac:dyDescent="0.25"/>
    <row r="5489" ht="15" customHeight="1" x14ac:dyDescent="0.25"/>
    <row r="5491" ht="15" customHeight="1" x14ac:dyDescent="0.25"/>
    <row r="5493" ht="15" customHeight="1" x14ac:dyDescent="0.25"/>
    <row r="5495" ht="15" customHeight="1" x14ac:dyDescent="0.25"/>
    <row r="5497" ht="15" customHeight="1" x14ac:dyDescent="0.25"/>
    <row r="5499" ht="15" customHeight="1" x14ac:dyDescent="0.25"/>
    <row r="5501" ht="15" customHeight="1" x14ac:dyDescent="0.25"/>
    <row r="5503" ht="15" customHeight="1" x14ac:dyDescent="0.25"/>
    <row r="5505" ht="15" customHeight="1" x14ac:dyDescent="0.25"/>
    <row r="5507" ht="15" customHeight="1" x14ac:dyDescent="0.25"/>
    <row r="5509" ht="15" customHeight="1" x14ac:dyDescent="0.25"/>
    <row r="5511" ht="15" customHeight="1" x14ac:dyDescent="0.25"/>
    <row r="5513" ht="15" customHeight="1" x14ac:dyDescent="0.25"/>
    <row r="5515" ht="15" customHeight="1" x14ac:dyDescent="0.25"/>
    <row r="5517" ht="15" customHeight="1" x14ac:dyDescent="0.25"/>
    <row r="5519" ht="15" customHeight="1" x14ac:dyDescent="0.25"/>
    <row r="5521" ht="15" customHeight="1" x14ac:dyDescent="0.25"/>
    <row r="5523" ht="15" customHeight="1" x14ac:dyDescent="0.25"/>
    <row r="5525" ht="15" customHeight="1" x14ac:dyDescent="0.25"/>
    <row r="5527" ht="15" customHeight="1" x14ac:dyDescent="0.25"/>
    <row r="5529" ht="15" customHeight="1" x14ac:dyDescent="0.25"/>
    <row r="5531" ht="15" customHeight="1" x14ac:dyDescent="0.25"/>
    <row r="5533" ht="15" customHeight="1" x14ac:dyDescent="0.25"/>
    <row r="5535" ht="15" customHeight="1" x14ac:dyDescent="0.25"/>
    <row r="5537" ht="15" customHeight="1" x14ac:dyDescent="0.25"/>
    <row r="5539" ht="15" customHeight="1" x14ac:dyDescent="0.25"/>
    <row r="5541" ht="15" customHeight="1" x14ac:dyDescent="0.25"/>
    <row r="5543" ht="15" customHeight="1" x14ac:dyDescent="0.25"/>
    <row r="5545" ht="15" customHeight="1" x14ac:dyDescent="0.25"/>
    <row r="5547" ht="15" customHeight="1" x14ac:dyDescent="0.25"/>
    <row r="5549" ht="15" customHeight="1" x14ac:dyDescent="0.25"/>
    <row r="5551" ht="15" customHeight="1" x14ac:dyDescent="0.25"/>
    <row r="5553" ht="15" customHeight="1" x14ac:dyDescent="0.25"/>
    <row r="5555" ht="15" customHeight="1" x14ac:dyDescent="0.25"/>
    <row r="5557" ht="15" customHeight="1" x14ac:dyDescent="0.25"/>
    <row r="5559" ht="15" customHeight="1" x14ac:dyDescent="0.25"/>
    <row r="5561" ht="15" customHeight="1" x14ac:dyDescent="0.25"/>
    <row r="5563" ht="15" customHeight="1" x14ac:dyDescent="0.25"/>
    <row r="5565" ht="15" customHeight="1" x14ac:dyDescent="0.25"/>
    <row r="5567" ht="15" customHeight="1" x14ac:dyDescent="0.25"/>
    <row r="5569" ht="15" customHeight="1" x14ac:dyDescent="0.25"/>
    <row r="5571" ht="15" customHeight="1" x14ac:dyDescent="0.25"/>
    <row r="5573" ht="15" customHeight="1" x14ac:dyDescent="0.25"/>
    <row r="5575" ht="15" customHeight="1" x14ac:dyDescent="0.25"/>
    <row r="5577" ht="15" customHeight="1" x14ac:dyDescent="0.25"/>
    <row r="5579" ht="15" customHeight="1" x14ac:dyDescent="0.25"/>
    <row r="5581" ht="15" customHeight="1" x14ac:dyDescent="0.25"/>
    <row r="5583" ht="15" customHeight="1" x14ac:dyDescent="0.25"/>
    <row r="5585" ht="15" customHeight="1" x14ac:dyDescent="0.25"/>
    <row r="5587" ht="15" customHeight="1" x14ac:dyDescent="0.25"/>
    <row r="5589" ht="15" customHeight="1" x14ac:dyDescent="0.25"/>
    <row r="5591" ht="15" customHeight="1" x14ac:dyDescent="0.25"/>
    <row r="5593" ht="15" customHeight="1" x14ac:dyDescent="0.25"/>
    <row r="5595" ht="15" customHeight="1" x14ac:dyDescent="0.25"/>
    <row r="5597" ht="15" customHeight="1" x14ac:dyDescent="0.25"/>
    <row r="5599" ht="15" customHeight="1" x14ac:dyDescent="0.25"/>
    <row r="5601" ht="15" customHeight="1" x14ac:dyDescent="0.25"/>
    <row r="5603" ht="15" customHeight="1" x14ac:dyDescent="0.25"/>
    <row r="5605" ht="15" customHeight="1" x14ac:dyDescent="0.25"/>
    <row r="5607" ht="15" customHeight="1" x14ac:dyDescent="0.25"/>
    <row r="5609" ht="15" customHeight="1" x14ac:dyDescent="0.25"/>
    <row r="5611" ht="15" customHeight="1" x14ac:dyDescent="0.25"/>
    <row r="5613" ht="15" customHeight="1" x14ac:dyDescent="0.25"/>
    <row r="5615" ht="15" customHeight="1" x14ac:dyDescent="0.25"/>
    <row r="5617" ht="15" customHeight="1" x14ac:dyDescent="0.25"/>
    <row r="5619" ht="15" customHeight="1" x14ac:dyDescent="0.25"/>
    <row r="5621" ht="15" customHeight="1" x14ac:dyDescent="0.25"/>
    <row r="5623" ht="15" customHeight="1" x14ac:dyDescent="0.25"/>
    <row r="5625" ht="15" customHeight="1" x14ac:dyDescent="0.25"/>
    <row r="5627" ht="15" customHeight="1" x14ac:dyDescent="0.25"/>
    <row r="5629" ht="15" customHeight="1" x14ac:dyDescent="0.25"/>
    <row r="5631" ht="15" customHeight="1" x14ac:dyDescent="0.25"/>
    <row r="5633" ht="15" customHeight="1" x14ac:dyDescent="0.25"/>
    <row r="5635" ht="15" customHeight="1" x14ac:dyDescent="0.25"/>
    <row r="5637" ht="15" customHeight="1" x14ac:dyDescent="0.25"/>
    <row r="5639" ht="15" customHeight="1" x14ac:dyDescent="0.25"/>
    <row r="5641" ht="15" customHeight="1" x14ac:dyDescent="0.25"/>
    <row r="5643" ht="15" customHeight="1" x14ac:dyDescent="0.25"/>
    <row r="5645" ht="15" customHeight="1" x14ac:dyDescent="0.25"/>
    <row r="5647" ht="15" customHeight="1" x14ac:dyDescent="0.25"/>
    <row r="5649" ht="15" customHeight="1" x14ac:dyDescent="0.25"/>
    <row r="5651" ht="15" customHeight="1" x14ac:dyDescent="0.25"/>
    <row r="5653" ht="15" customHeight="1" x14ac:dyDescent="0.25"/>
    <row r="5655" ht="15" customHeight="1" x14ac:dyDescent="0.25"/>
    <row r="5657" ht="15" customHeight="1" x14ac:dyDescent="0.25"/>
    <row r="5659" ht="15" customHeight="1" x14ac:dyDescent="0.25"/>
    <row r="5661" ht="15" customHeight="1" x14ac:dyDescent="0.25"/>
    <row r="5663" ht="15" customHeight="1" x14ac:dyDescent="0.25"/>
    <row r="5665" ht="15" customHeight="1" x14ac:dyDescent="0.25"/>
    <row r="5667" ht="15" customHeight="1" x14ac:dyDescent="0.25"/>
    <row r="5669" ht="15" customHeight="1" x14ac:dyDescent="0.25"/>
    <row r="5671" ht="15" customHeight="1" x14ac:dyDescent="0.25"/>
    <row r="5673" ht="15" customHeight="1" x14ac:dyDescent="0.25"/>
    <row r="5675" ht="15" customHeight="1" x14ac:dyDescent="0.25"/>
    <row r="5677" ht="15" customHeight="1" x14ac:dyDescent="0.25"/>
    <row r="5679" ht="15" customHeight="1" x14ac:dyDescent="0.25"/>
    <row r="5681" ht="15" customHeight="1" x14ac:dyDescent="0.25"/>
    <row r="5683" ht="15" customHeight="1" x14ac:dyDescent="0.25"/>
    <row r="5685" ht="15" customHeight="1" x14ac:dyDescent="0.25"/>
    <row r="5687" ht="15" customHeight="1" x14ac:dyDescent="0.25"/>
    <row r="5689" ht="15" customHeight="1" x14ac:dyDescent="0.25"/>
    <row r="5691" ht="15" customHeight="1" x14ac:dyDescent="0.25"/>
    <row r="5693" ht="15" customHeight="1" x14ac:dyDescent="0.25"/>
    <row r="5695" ht="15" customHeight="1" x14ac:dyDescent="0.25"/>
    <row r="5697" ht="15" customHeight="1" x14ac:dyDescent="0.25"/>
    <row r="5699" ht="15" customHeight="1" x14ac:dyDescent="0.25"/>
    <row r="5701" ht="15" customHeight="1" x14ac:dyDescent="0.25"/>
    <row r="5703" ht="15" customHeight="1" x14ac:dyDescent="0.25"/>
    <row r="5705" ht="15" customHeight="1" x14ac:dyDescent="0.25"/>
    <row r="5707" ht="15" customHeight="1" x14ac:dyDescent="0.25"/>
    <row r="5709" ht="15" customHeight="1" x14ac:dyDescent="0.25"/>
    <row r="5711" ht="15" customHeight="1" x14ac:dyDescent="0.25"/>
    <row r="5713" ht="15" customHeight="1" x14ac:dyDescent="0.25"/>
    <row r="5715" ht="15" customHeight="1" x14ac:dyDescent="0.25"/>
    <row r="5717" ht="15" customHeight="1" x14ac:dyDescent="0.25"/>
    <row r="5719" ht="15" customHeight="1" x14ac:dyDescent="0.25"/>
    <row r="5721" ht="15" customHeight="1" x14ac:dyDescent="0.25"/>
    <row r="5723" ht="15" customHeight="1" x14ac:dyDescent="0.25"/>
    <row r="5725" ht="15" customHeight="1" x14ac:dyDescent="0.25"/>
    <row r="5727" ht="15" customHeight="1" x14ac:dyDescent="0.25"/>
    <row r="5729" ht="15" customHeight="1" x14ac:dyDescent="0.25"/>
    <row r="5731" ht="15" customHeight="1" x14ac:dyDescent="0.25"/>
    <row r="5733" ht="15" customHeight="1" x14ac:dyDescent="0.25"/>
    <row r="5735" ht="15" customHeight="1" x14ac:dyDescent="0.25"/>
    <row r="5737" ht="15" customHeight="1" x14ac:dyDescent="0.25"/>
    <row r="5739" ht="15" customHeight="1" x14ac:dyDescent="0.25"/>
    <row r="5741" ht="15" customHeight="1" x14ac:dyDescent="0.25"/>
    <row r="5743" ht="15" customHeight="1" x14ac:dyDescent="0.25"/>
    <row r="5745" ht="15" customHeight="1" x14ac:dyDescent="0.25"/>
    <row r="5747" ht="15" customHeight="1" x14ac:dyDescent="0.25"/>
    <row r="5749" ht="15" customHeight="1" x14ac:dyDescent="0.25"/>
    <row r="5751" ht="15" customHeight="1" x14ac:dyDescent="0.25"/>
    <row r="5753" ht="15" customHeight="1" x14ac:dyDescent="0.25"/>
    <row r="5755" ht="15" customHeight="1" x14ac:dyDescent="0.25"/>
    <row r="5757" ht="15" customHeight="1" x14ac:dyDescent="0.25"/>
    <row r="5759" ht="15" customHeight="1" x14ac:dyDescent="0.25"/>
    <row r="5761" ht="15" customHeight="1" x14ac:dyDescent="0.25"/>
    <row r="5763" ht="15" customHeight="1" x14ac:dyDescent="0.25"/>
    <row r="5765" ht="15" customHeight="1" x14ac:dyDescent="0.25"/>
    <row r="5767" ht="15" customHeight="1" x14ac:dyDescent="0.25"/>
    <row r="5769" ht="15" customHeight="1" x14ac:dyDescent="0.25"/>
    <row r="5771" ht="15" customHeight="1" x14ac:dyDescent="0.25"/>
    <row r="5773" ht="15" customHeight="1" x14ac:dyDescent="0.25"/>
    <row r="5775" ht="15" customHeight="1" x14ac:dyDescent="0.25"/>
    <row r="5777" ht="15" customHeight="1" x14ac:dyDescent="0.25"/>
    <row r="5779" ht="15" customHeight="1" x14ac:dyDescent="0.25"/>
    <row r="5781" ht="15" customHeight="1" x14ac:dyDescent="0.25"/>
    <row r="5783" ht="15" customHeight="1" x14ac:dyDescent="0.25"/>
    <row r="5785" ht="15" customHeight="1" x14ac:dyDescent="0.25"/>
    <row r="5787" ht="15" customHeight="1" x14ac:dyDescent="0.25"/>
    <row r="5789" ht="15" customHeight="1" x14ac:dyDescent="0.25"/>
    <row r="5791" ht="15" customHeight="1" x14ac:dyDescent="0.25"/>
    <row r="5793" ht="15" customHeight="1" x14ac:dyDescent="0.25"/>
    <row r="5795" ht="15" customHeight="1" x14ac:dyDescent="0.25"/>
    <row r="5797" ht="15" customHeight="1" x14ac:dyDescent="0.25"/>
    <row r="5799" ht="15" customHeight="1" x14ac:dyDescent="0.25"/>
    <row r="5801" ht="15" customHeight="1" x14ac:dyDescent="0.25"/>
    <row r="5803" ht="15" customHeight="1" x14ac:dyDescent="0.25"/>
    <row r="5805" ht="15" customHeight="1" x14ac:dyDescent="0.25"/>
    <row r="5807" ht="15" customHeight="1" x14ac:dyDescent="0.25"/>
    <row r="5809" ht="15" customHeight="1" x14ac:dyDescent="0.25"/>
    <row r="5811" ht="15" customHeight="1" x14ac:dyDescent="0.25"/>
    <row r="5813" ht="15" customHeight="1" x14ac:dyDescent="0.25"/>
    <row r="5815" ht="15" customHeight="1" x14ac:dyDescent="0.25"/>
    <row r="5817" ht="15" customHeight="1" x14ac:dyDescent="0.25"/>
    <row r="5819" ht="15" customHeight="1" x14ac:dyDescent="0.25"/>
    <row r="5821" ht="15" customHeight="1" x14ac:dyDescent="0.25"/>
    <row r="5823" ht="15" customHeight="1" x14ac:dyDescent="0.25"/>
    <row r="5825" ht="15" customHeight="1" x14ac:dyDescent="0.25"/>
    <row r="5827" ht="15" customHeight="1" x14ac:dyDescent="0.25"/>
    <row r="5829" ht="15" customHeight="1" x14ac:dyDescent="0.25"/>
    <row r="5831" ht="15" customHeight="1" x14ac:dyDescent="0.25"/>
    <row r="5833" ht="15" customHeight="1" x14ac:dyDescent="0.25"/>
    <row r="5835" ht="15" customHeight="1" x14ac:dyDescent="0.25"/>
    <row r="5837" ht="15" customHeight="1" x14ac:dyDescent="0.25"/>
    <row r="5839" ht="15" customHeight="1" x14ac:dyDescent="0.25"/>
    <row r="5841" ht="15" customHeight="1" x14ac:dyDescent="0.25"/>
    <row r="5843" ht="15" customHeight="1" x14ac:dyDescent="0.25"/>
    <row r="5845" ht="15" customHeight="1" x14ac:dyDescent="0.25"/>
    <row r="5847" ht="15" customHeight="1" x14ac:dyDescent="0.25"/>
    <row r="5849" ht="15" customHeight="1" x14ac:dyDescent="0.25"/>
    <row r="5851" ht="15" customHeight="1" x14ac:dyDescent="0.25"/>
    <row r="5853" ht="15" customHeight="1" x14ac:dyDescent="0.25"/>
    <row r="5855" ht="15" customHeight="1" x14ac:dyDescent="0.25"/>
    <row r="5857" ht="15" customHeight="1" x14ac:dyDescent="0.25"/>
    <row r="5859" ht="15" customHeight="1" x14ac:dyDescent="0.25"/>
    <row r="5861" ht="15" customHeight="1" x14ac:dyDescent="0.25"/>
    <row r="5863" ht="15" customHeight="1" x14ac:dyDescent="0.25"/>
    <row r="5865" ht="15" customHeight="1" x14ac:dyDescent="0.25"/>
    <row r="5867" ht="15" customHeight="1" x14ac:dyDescent="0.25"/>
    <row r="5869" ht="15" customHeight="1" x14ac:dyDescent="0.25"/>
    <row r="5871" ht="15" customHeight="1" x14ac:dyDescent="0.25"/>
    <row r="5873" ht="15" customHeight="1" x14ac:dyDescent="0.25"/>
    <row r="5875" ht="15" customHeight="1" x14ac:dyDescent="0.25"/>
    <row r="5877" ht="15" customHeight="1" x14ac:dyDescent="0.25"/>
    <row r="5879" ht="15" customHeight="1" x14ac:dyDescent="0.25"/>
    <row r="5881" ht="15" customHeight="1" x14ac:dyDescent="0.25"/>
    <row r="5883" ht="15" customHeight="1" x14ac:dyDescent="0.25"/>
    <row r="5885" ht="15" customHeight="1" x14ac:dyDescent="0.25"/>
    <row r="5887" ht="15" customHeight="1" x14ac:dyDescent="0.25"/>
    <row r="5889" ht="15" customHeight="1" x14ac:dyDescent="0.25"/>
    <row r="5891" ht="15" customHeight="1" x14ac:dyDescent="0.25"/>
    <row r="5893" ht="15" customHeight="1" x14ac:dyDescent="0.25"/>
    <row r="5895" ht="15" customHeight="1" x14ac:dyDescent="0.25"/>
    <row r="5897" ht="15" customHeight="1" x14ac:dyDescent="0.25"/>
    <row r="5899" ht="15" customHeight="1" x14ac:dyDescent="0.25"/>
    <row r="5901" ht="15" customHeight="1" x14ac:dyDescent="0.25"/>
    <row r="5903" ht="15" customHeight="1" x14ac:dyDescent="0.25"/>
    <row r="5905" ht="15" customHeight="1" x14ac:dyDescent="0.25"/>
    <row r="5907" ht="15" customHeight="1" x14ac:dyDescent="0.25"/>
    <row r="5909" ht="15" customHeight="1" x14ac:dyDescent="0.25"/>
    <row r="5911" ht="15" customHeight="1" x14ac:dyDescent="0.25"/>
    <row r="5913" ht="15" customHeight="1" x14ac:dyDescent="0.25"/>
    <row r="5915" ht="15" customHeight="1" x14ac:dyDescent="0.25"/>
    <row r="5917" ht="15" customHeight="1" x14ac:dyDescent="0.25"/>
    <row r="5919" ht="15" customHeight="1" x14ac:dyDescent="0.25"/>
    <row r="5921" ht="15" customHeight="1" x14ac:dyDescent="0.25"/>
    <row r="5923" ht="15" customHeight="1" x14ac:dyDescent="0.25"/>
    <row r="5925" ht="15" customHeight="1" x14ac:dyDescent="0.25"/>
    <row r="5927" ht="15" customHeight="1" x14ac:dyDescent="0.25"/>
    <row r="5929" ht="15" customHeight="1" x14ac:dyDescent="0.25"/>
    <row r="5931" ht="15" customHeight="1" x14ac:dyDescent="0.25"/>
    <row r="5933" ht="15" customHeight="1" x14ac:dyDescent="0.25"/>
    <row r="5935" ht="15" customHeight="1" x14ac:dyDescent="0.25"/>
    <row r="5937" ht="15" customHeight="1" x14ac:dyDescent="0.25"/>
    <row r="5939" ht="15" customHeight="1" x14ac:dyDescent="0.25"/>
    <row r="5941" ht="15" customHeight="1" x14ac:dyDescent="0.25"/>
    <row r="5943" ht="15" customHeight="1" x14ac:dyDescent="0.25"/>
    <row r="5945" ht="15" customHeight="1" x14ac:dyDescent="0.25"/>
    <row r="5947" ht="15" customHeight="1" x14ac:dyDescent="0.25"/>
    <row r="5949" ht="15" customHeight="1" x14ac:dyDescent="0.25"/>
    <row r="5951" ht="15" customHeight="1" x14ac:dyDescent="0.25"/>
    <row r="5953" ht="15" customHeight="1" x14ac:dyDescent="0.25"/>
    <row r="5955" ht="15" customHeight="1" x14ac:dyDescent="0.25"/>
    <row r="5957" ht="15" customHeight="1" x14ac:dyDescent="0.25"/>
    <row r="5959" ht="15" customHeight="1" x14ac:dyDescent="0.25"/>
    <row r="5961" ht="15" customHeight="1" x14ac:dyDescent="0.25"/>
    <row r="5963" ht="15" customHeight="1" x14ac:dyDescent="0.25"/>
    <row r="5965" ht="15" customHeight="1" x14ac:dyDescent="0.25"/>
    <row r="5967" ht="15" customHeight="1" x14ac:dyDescent="0.25"/>
    <row r="5969" ht="15" customHeight="1" x14ac:dyDescent="0.25"/>
    <row r="5971" ht="15" customHeight="1" x14ac:dyDescent="0.25"/>
    <row r="5973" ht="15" customHeight="1" x14ac:dyDescent="0.25"/>
    <row r="5975" ht="15" customHeight="1" x14ac:dyDescent="0.25"/>
    <row r="5977" ht="15" customHeight="1" x14ac:dyDescent="0.25"/>
    <row r="5979" ht="15" customHeight="1" x14ac:dyDescent="0.25"/>
    <row r="5981" ht="15" customHeight="1" x14ac:dyDescent="0.25"/>
    <row r="5983" ht="15" customHeight="1" x14ac:dyDescent="0.25"/>
    <row r="5985" ht="15" customHeight="1" x14ac:dyDescent="0.25"/>
    <row r="5987" ht="15" customHeight="1" x14ac:dyDescent="0.25"/>
    <row r="5989" ht="15" customHeight="1" x14ac:dyDescent="0.25"/>
    <row r="5991" ht="15" customHeight="1" x14ac:dyDescent="0.25"/>
    <row r="5993" ht="15" customHeight="1" x14ac:dyDescent="0.25"/>
    <row r="5995" ht="15" customHeight="1" x14ac:dyDescent="0.25"/>
    <row r="5997" ht="15" customHeight="1" x14ac:dyDescent="0.25"/>
    <row r="5999" ht="15" customHeight="1" x14ac:dyDescent="0.25"/>
    <row r="6001" ht="15" customHeight="1" x14ac:dyDescent="0.25"/>
    <row r="6003" ht="15" customHeight="1" x14ac:dyDescent="0.25"/>
    <row r="6005" ht="15" customHeight="1" x14ac:dyDescent="0.25"/>
    <row r="6007" ht="15" customHeight="1" x14ac:dyDescent="0.25"/>
    <row r="6009" ht="15" customHeight="1" x14ac:dyDescent="0.25"/>
    <row r="6011" ht="15" customHeight="1" x14ac:dyDescent="0.25"/>
    <row r="6013" ht="15" customHeight="1" x14ac:dyDescent="0.25"/>
    <row r="6015" ht="15" customHeight="1" x14ac:dyDescent="0.25"/>
    <row r="6017" ht="15" customHeight="1" x14ac:dyDescent="0.25"/>
    <row r="6019" ht="15" customHeight="1" x14ac:dyDescent="0.25"/>
    <row r="6021" ht="15" customHeight="1" x14ac:dyDescent="0.25"/>
    <row r="6023" ht="15" customHeight="1" x14ac:dyDescent="0.25"/>
    <row r="6025" ht="15" customHeight="1" x14ac:dyDescent="0.25"/>
    <row r="6027" ht="15" customHeight="1" x14ac:dyDescent="0.25"/>
    <row r="6029" ht="15" customHeight="1" x14ac:dyDescent="0.25"/>
    <row r="6031" ht="15" customHeight="1" x14ac:dyDescent="0.25"/>
    <row r="6033" ht="15" customHeight="1" x14ac:dyDescent="0.25"/>
    <row r="6035" ht="15" customHeight="1" x14ac:dyDescent="0.25"/>
    <row r="6037" ht="15" customHeight="1" x14ac:dyDescent="0.25"/>
    <row r="6039" ht="15" customHeight="1" x14ac:dyDescent="0.25"/>
    <row r="6041" ht="15" customHeight="1" x14ac:dyDescent="0.25"/>
    <row r="6043" ht="15" customHeight="1" x14ac:dyDescent="0.25"/>
    <row r="6045" ht="15" customHeight="1" x14ac:dyDescent="0.25"/>
    <row r="6047" ht="15" customHeight="1" x14ac:dyDescent="0.25"/>
    <row r="6049" ht="15" customHeight="1" x14ac:dyDescent="0.25"/>
    <row r="6051" ht="15" customHeight="1" x14ac:dyDescent="0.25"/>
    <row r="6053" ht="15" customHeight="1" x14ac:dyDescent="0.25"/>
    <row r="6055" ht="15" customHeight="1" x14ac:dyDescent="0.25"/>
    <row r="6057" ht="15" customHeight="1" x14ac:dyDescent="0.25"/>
    <row r="6059" ht="15" customHeight="1" x14ac:dyDescent="0.25"/>
    <row r="6061" ht="15" customHeight="1" x14ac:dyDescent="0.25"/>
    <row r="6063" ht="15" customHeight="1" x14ac:dyDescent="0.25"/>
    <row r="6065" ht="15" customHeight="1" x14ac:dyDescent="0.25"/>
    <row r="6067" ht="15" customHeight="1" x14ac:dyDescent="0.25"/>
    <row r="6069" ht="15" customHeight="1" x14ac:dyDescent="0.25"/>
    <row r="6071" ht="15" customHeight="1" x14ac:dyDescent="0.25"/>
    <row r="6073" ht="15" customHeight="1" x14ac:dyDescent="0.25"/>
    <row r="6075" ht="15" customHeight="1" x14ac:dyDescent="0.25"/>
    <row r="6077" ht="15" customHeight="1" x14ac:dyDescent="0.25"/>
    <row r="6079" ht="15" customHeight="1" x14ac:dyDescent="0.25"/>
    <row r="6081" ht="15" customHeight="1" x14ac:dyDescent="0.25"/>
    <row r="6083" ht="15" customHeight="1" x14ac:dyDescent="0.25"/>
    <row r="6085" ht="15" customHeight="1" x14ac:dyDescent="0.25"/>
    <row r="6087" ht="15" customHeight="1" x14ac:dyDescent="0.25"/>
    <row r="6089" ht="15" customHeight="1" x14ac:dyDescent="0.25"/>
    <row r="6091" ht="15" customHeight="1" x14ac:dyDescent="0.25"/>
    <row r="6093" ht="15" customHeight="1" x14ac:dyDescent="0.25"/>
    <row r="6095" ht="15" customHeight="1" x14ac:dyDescent="0.25"/>
    <row r="6097" ht="15" customHeight="1" x14ac:dyDescent="0.25"/>
    <row r="6099" ht="15" customHeight="1" x14ac:dyDescent="0.25"/>
    <row r="6101" ht="15" customHeight="1" x14ac:dyDescent="0.25"/>
    <row r="6103" ht="15" customHeight="1" x14ac:dyDescent="0.25"/>
    <row r="6105" ht="15" customHeight="1" x14ac:dyDescent="0.25"/>
    <row r="6107" ht="15" customHeight="1" x14ac:dyDescent="0.25"/>
    <row r="6109" ht="15" customHeight="1" x14ac:dyDescent="0.25"/>
    <row r="6111" ht="15" customHeight="1" x14ac:dyDescent="0.25"/>
    <row r="6113" ht="15" customHeight="1" x14ac:dyDescent="0.25"/>
    <row r="6115" ht="15" customHeight="1" x14ac:dyDescent="0.25"/>
    <row r="6117" ht="15" customHeight="1" x14ac:dyDescent="0.25"/>
    <row r="6119" ht="15" customHeight="1" x14ac:dyDescent="0.25"/>
    <row r="6121" ht="15" customHeight="1" x14ac:dyDescent="0.25"/>
    <row r="6123" ht="15" customHeight="1" x14ac:dyDescent="0.25"/>
    <row r="6125" ht="15" customHeight="1" x14ac:dyDescent="0.25"/>
    <row r="6127" ht="15" customHeight="1" x14ac:dyDescent="0.25"/>
    <row r="6129" ht="15" customHeight="1" x14ac:dyDescent="0.25"/>
    <row r="6131" ht="15" customHeight="1" x14ac:dyDescent="0.25"/>
    <row r="6133" ht="15" customHeight="1" x14ac:dyDescent="0.25"/>
    <row r="6135" ht="15" customHeight="1" x14ac:dyDescent="0.25"/>
    <row r="6137" ht="15" customHeight="1" x14ac:dyDescent="0.25"/>
    <row r="6139" ht="15" customHeight="1" x14ac:dyDescent="0.25"/>
    <row r="6141" ht="15" customHeight="1" x14ac:dyDescent="0.25"/>
    <row r="6143" ht="15" customHeight="1" x14ac:dyDescent="0.25"/>
    <row r="6145" ht="15" customHeight="1" x14ac:dyDescent="0.25"/>
    <row r="6147" ht="15" customHeight="1" x14ac:dyDescent="0.25"/>
    <row r="6149" ht="15" customHeight="1" x14ac:dyDescent="0.25"/>
    <row r="6151" ht="15" customHeight="1" x14ac:dyDescent="0.25"/>
    <row r="6153" ht="15" customHeight="1" x14ac:dyDescent="0.25"/>
    <row r="6155" ht="15" customHeight="1" x14ac:dyDescent="0.25"/>
    <row r="6157" ht="15" customHeight="1" x14ac:dyDescent="0.25"/>
    <row r="6159" ht="15" customHeight="1" x14ac:dyDescent="0.25"/>
    <row r="6161" ht="15" customHeight="1" x14ac:dyDescent="0.25"/>
    <row r="6163" ht="15" customHeight="1" x14ac:dyDescent="0.25"/>
    <row r="6165" ht="15" customHeight="1" x14ac:dyDescent="0.25"/>
    <row r="6167" ht="15" customHeight="1" x14ac:dyDescent="0.25"/>
    <row r="6169" ht="15" customHeight="1" x14ac:dyDescent="0.25"/>
    <row r="6171" ht="15" customHeight="1" x14ac:dyDescent="0.25"/>
    <row r="6173" ht="15" customHeight="1" x14ac:dyDescent="0.25"/>
    <row r="6175" ht="15" customHeight="1" x14ac:dyDescent="0.25"/>
    <row r="6177" ht="15" customHeight="1" x14ac:dyDescent="0.25"/>
    <row r="6179" ht="15" customHeight="1" x14ac:dyDescent="0.25"/>
    <row r="6181" ht="15" customHeight="1" x14ac:dyDescent="0.25"/>
    <row r="6183" ht="15" customHeight="1" x14ac:dyDescent="0.25"/>
    <row r="6185" ht="15" customHeight="1" x14ac:dyDescent="0.25"/>
    <row r="6187" ht="15" customHeight="1" x14ac:dyDescent="0.25"/>
    <row r="6189" ht="15" customHeight="1" x14ac:dyDescent="0.25"/>
    <row r="6191" ht="15" customHeight="1" x14ac:dyDescent="0.25"/>
    <row r="6193" ht="15" customHeight="1" x14ac:dyDescent="0.25"/>
    <row r="6195" ht="15" customHeight="1" x14ac:dyDescent="0.25"/>
    <row r="6197" ht="15" customHeight="1" x14ac:dyDescent="0.25"/>
    <row r="6199" ht="15" customHeight="1" x14ac:dyDescent="0.25"/>
    <row r="6201" ht="15" customHeight="1" x14ac:dyDescent="0.25"/>
    <row r="6203" ht="15" customHeight="1" x14ac:dyDescent="0.25"/>
    <row r="6205" ht="15" customHeight="1" x14ac:dyDescent="0.25"/>
    <row r="6207" ht="15" customHeight="1" x14ac:dyDescent="0.25"/>
    <row r="6209" ht="15" customHeight="1" x14ac:dyDescent="0.25"/>
    <row r="6211" ht="15" customHeight="1" x14ac:dyDescent="0.25"/>
    <row r="6213" ht="15" customHeight="1" x14ac:dyDescent="0.25"/>
    <row r="6215" ht="15" customHeight="1" x14ac:dyDescent="0.25"/>
    <row r="6217" ht="15" customHeight="1" x14ac:dyDescent="0.25"/>
    <row r="6219" ht="15" customHeight="1" x14ac:dyDescent="0.25"/>
    <row r="6221" ht="15" customHeight="1" x14ac:dyDescent="0.25"/>
    <row r="6223" ht="15" customHeight="1" x14ac:dyDescent="0.25"/>
    <row r="6225" ht="15" customHeight="1" x14ac:dyDescent="0.25"/>
    <row r="6227" ht="15" customHeight="1" x14ac:dyDescent="0.25"/>
    <row r="6229" ht="15" customHeight="1" x14ac:dyDescent="0.25"/>
    <row r="6231" ht="15" customHeight="1" x14ac:dyDescent="0.25"/>
    <row r="6233" ht="15" customHeight="1" x14ac:dyDescent="0.25"/>
    <row r="6235" ht="15" customHeight="1" x14ac:dyDescent="0.25"/>
    <row r="6237" ht="15" customHeight="1" x14ac:dyDescent="0.25"/>
    <row r="6239" ht="15" customHeight="1" x14ac:dyDescent="0.25"/>
    <row r="6241" ht="15" customHeight="1" x14ac:dyDescent="0.25"/>
    <row r="6243" ht="15" customHeight="1" x14ac:dyDescent="0.25"/>
    <row r="6245" ht="15" customHeight="1" x14ac:dyDescent="0.25"/>
    <row r="6247" ht="15" customHeight="1" x14ac:dyDescent="0.25"/>
    <row r="6249" ht="15" customHeight="1" x14ac:dyDescent="0.25"/>
    <row r="6251" ht="15" customHeight="1" x14ac:dyDescent="0.25"/>
    <row r="6253" ht="15" customHeight="1" x14ac:dyDescent="0.25"/>
    <row r="6255" ht="15" customHeight="1" x14ac:dyDescent="0.25"/>
    <row r="6257" ht="15" customHeight="1" x14ac:dyDescent="0.25"/>
    <row r="6259" ht="15" customHeight="1" x14ac:dyDescent="0.25"/>
    <row r="6261" ht="15" customHeight="1" x14ac:dyDescent="0.25"/>
    <row r="6263" ht="15" customHeight="1" x14ac:dyDescent="0.25"/>
    <row r="6265" ht="15" customHeight="1" x14ac:dyDescent="0.25"/>
    <row r="6267" ht="15" customHeight="1" x14ac:dyDescent="0.25"/>
    <row r="6269" ht="15" customHeight="1" x14ac:dyDescent="0.25"/>
    <row r="6271" ht="15" customHeight="1" x14ac:dyDescent="0.25"/>
    <row r="6273" ht="15" customHeight="1" x14ac:dyDescent="0.25"/>
    <row r="6275" ht="15" customHeight="1" x14ac:dyDescent="0.25"/>
    <row r="6277" ht="15" customHeight="1" x14ac:dyDescent="0.25"/>
    <row r="6279" ht="15" customHeight="1" x14ac:dyDescent="0.25"/>
    <row r="6281" ht="15" customHeight="1" x14ac:dyDescent="0.25"/>
    <row r="6283" ht="15" customHeight="1" x14ac:dyDescent="0.25"/>
    <row r="6285" ht="15" customHeight="1" x14ac:dyDescent="0.25"/>
    <row r="6287" ht="15" customHeight="1" x14ac:dyDescent="0.25"/>
    <row r="6289" ht="15" customHeight="1" x14ac:dyDescent="0.25"/>
    <row r="6291" ht="15" customHeight="1" x14ac:dyDescent="0.25"/>
    <row r="6293" ht="15" customHeight="1" x14ac:dyDescent="0.25"/>
    <row r="6295" ht="15" customHeight="1" x14ac:dyDescent="0.25"/>
    <row r="6297" ht="15" customHeight="1" x14ac:dyDescent="0.25"/>
    <row r="6299" ht="15" customHeight="1" x14ac:dyDescent="0.25"/>
    <row r="6301" ht="15" customHeight="1" x14ac:dyDescent="0.25"/>
    <row r="6303" ht="15" customHeight="1" x14ac:dyDescent="0.25"/>
    <row r="6305" ht="15" customHeight="1" x14ac:dyDescent="0.25"/>
    <row r="6307" ht="15" customHeight="1" x14ac:dyDescent="0.25"/>
    <row r="6309" ht="15" customHeight="1" x14ac:dyDescent="0.25"/>
    <row r="6311" ht="15" customHeight="1" x14ac:dyDescent="0.25"/>
    <row r="6313" ht="15" customHeight="1" x14ac:dyDescent="0.25"/>
    <row r="6315" ht="15" customHeight="1" x14ac:dyDescent="0.25"/>
    <row r="6317" ht="15" customHeight="1" x14ac:dyDescent="0.25"/>
    <row r="6319" ht="15" customHeight="1" x14ac:dyDescent="0.25"/>
    <row r="6321" ht="15" customHeight="1" x14ac:dyDescent="0.25"/>
    <row r="6323" ht="15" customHeight="1" x14ac:dyDescent="0.25"/>
    <row r="6325" ht="15" customHeight="1" x14ac:dyDescent="0.25"/>
    <row r="6327" ht="15" customHeight="1" x14ac:dyDescent="0.25"/>
    <row r="6329" ht="15" customHeight="1" x14ac:dyDescent="0.25"/>
    <row r="6331" ht="15" customHeight="1" x14ac:dyDescent="0.25"/>
    <row r="6333" ht="15" customHeight="1" x14ac:dyDescent="0.25"/>
    <row r="6335" ht="15" customHeight="1" x14ac:dyDescent="0.25"/>
    <row r="6337" ht="15" customHeight="1" x14ac:dyDescent="0.25"/>
    <row r="6339" ht="15" customHeight="1" x14ac:dyDescent="0.25"/>
    <row r="6341" ht="15" customHeight="1" x14ac:dyDescent="0.25"/>
    <row r="6343" ht="15" customHeight="1" x14ac:dyDescent="0.25"/>
    <row r="6345" ht="15" customHeight="1" x14ac:dyDescent="0.25"/>
    <row r="6347" ht="15" customHeight="1" x14ac:dyDescent="0.25"/>
    <row r="6349" ht="15" customHeight="1" x14ac:dyDescent="0.25"/>
    <row r="6351" ht="15" customHeight="1" x14ac:dyDescent="0.25"/>
    <row r="6353" ht="15" customHeight="1" x14ac:dyDescent="0.25"/>
    <row r="6355" ht="15" customHeight="1" x14ac:dyDescent="0.25"/>
    <row r="6357" ht="15" customHeight="1" x14ac:dyDescent="0.25"/>
    <row r="6359" ht="15" customHeight="1" x14ac:dyDescent="0.25"/>
    <row r="6361" ht="15" customHeight="1" x14ac:dyDescent="0.25"/>
    <row r="6363" ht="15" customHeight="1" x14ac:dyDescent="0.25"/>
    <row r="6365" ht="15" customHeight="1" x14ac:dyDescent="0.25"/>
    <row r="6367" ht="15" customHeight="1" x14ac:dyDescent="0.25"/>
    <row r="6369" ht="15" customHeight="1" x14ac:dyDescent="0.25"/>
    <row r="6371" ht="15" customHeight="1" x14ac:dyDescent="0.25"/>
    <row r="6373" ht="15" customHeight="1" x14ac:dyDescent="0.25"/>
    <row r="6375" ht="15" customHeight="1" x14ac:dyDescent="0.25"/>
    <row r="6377" ht="15" customHeight="1" x14ac:dyDescent="0.25"/>
    <row r="6379" ht="15" customHeight="1" x14ac:dyDescent="0.25"/>
    <row r="6381" ht="15" customHeight="1" x14ac:dyDescent="0.25"/>
    <row r="6383" ht="15" customHeight="1" x14ac:dyDescent="0.25"/>
    <row r="6385" ht="15" customHeight="1" x14ac:dyDescent="0.25"/>
    <row r="6387" ht="15" customHeight="1" x14ac:dyDescent="0.25"/>
    <row r="6389" ht="15" customHeight="1" x14ac:dyDescent="0.25"/>
    <row r="6391" ht="15" customHeight="1" x14ac:dyDescent="0.25"/>
    <row r="6393" ht="15" customHeight="1" x14ac:dyDescent="0.25"/>
    <row r="6395" ht="15" customHeight="1" x14ac:dyDescent="0.25"/>
    <row r="6397" ht="15" customHeight="1" x14ac:dyDescent="0.25"/>
    <row r="6399" ht="15" customHeight="1" x14ac:dyDescent="0.25"/>
    <row r="6401" ht="15" customHeight="1" x14ac:dyDescent="0.25"/>
    <row r="6403" ht="15" customHeight="1" x14ac:dyDescent="0.25"/>
    <row r="6405" ht="15" customHeight="1" x14ac:dyDescent="0.25"/>
    <row r="6407" ht="15" customHeight="1" x14ac:dyDescent="0.25"/>
    <row r="6409" ht="15" customHeight="1" x14ac:dyDescent="0.25"/>
    <row r="6411" ht="15" customHeight="1" x14ac:dyDescent="0.25"/>
    <row r="6413" ht="15" customHeight="1" x14ac:dyDescent="0.25"/>
    <row r="6415" ht="15" customHeight="1" x14ac:dyDescent="0.25"/>
    <row r="6417" ht="15" customHeight="1" x14ac:dyDescent="0.25"/>
    <row r="6419" ht="15" customHeight="1" x14ac:dyDescent="0.25"/>
    <row r="6421" ht="15" customHeight="1" x14ac:dyDescent="0.25"/>
    <row r="6423" ht="15" customHeight="1" x14ac:dyDescent="0.25"/>
    <row r="6425" ht="15" customHeight="1" x14ac:dyDescent="0.25"/>
    <row r="6427" ht="15" customHeight="1" x14ac:dyDescent="0.25"/>
    <row r="6429" ht="15" customHeight="1" x14ac:dyDescent="0.25"/>
    <row r="6431" ht="15" customHeight="1" x14ac:dyDescent="0.25"/>
    <row r="6433" ht="15" customHeight="1" x14ac:dyDescent="0.25"/>
    <row r="6435" ht="15" customHeight="1" x14ac:dyDescent="0.25"/>
    <row r="6437" ht="15" customHeight="1" x14ac:dyDescent="0.25"/>
    <row r="6439" ht="15" customHeight="1" x14ac:dyDescent="0.25"/>
    <row r="6441" ht="15" customHeight="1" x14ac:dyDescent="0.25"/>
    <row r="6443" ht="15" customHeight="1" x14ac:dyDescent="0.25"/>
    <row r="6445" ht="15" customHeight="1" x14ac:dyDescent="0.25"/>
    <row r="6447" ht="15" customHeight="1" x14ac:dyDescent="0.25"/>
    <row r="6449" ht="15" customHeight="1" x14ac:dyDescent="0.25"/>
    <row r="6451" ht="15" customHeight="1" x14ac:dyDescent="0.25"/>
    <row r="6453" ht="15" customHeight="1" x14ac:dyDescent="0.25"/>
    <row r="6455" ht="15" customHeight="1" x14ac:dyDescent="0.25"/>
    <row r="6457" ht="15" customHeight="1" x14ac:dyDescent="0.25"/>
    <row r="6459" ht="15" customHeight="1" x14ac:dyDescent="0.25"/>
    <row r="6461" ht="15" customHeight="1" x14ac:dyDescent="0.25"/>
    <row r="6463" ht="15" customHeight="1" x14ac:dyDescent="0.25"/>
    <row r="6465" ht="15" customHeight="1" x14ac:dyDescent="0.25"/>
    <row r="6467" ht="15" customHeight="1" x14ac:dyDescent="0.25"/>
    <row r="6469" ht="15" customHeight="1" x14ac:dyDescent="0.25"/>
    <row r="6471" ht="15" customHeight="1" x14ac:dyDescent="0.25"/>
    <row r="6473" ht="15" customHeight="1" x14ac:dyDescent="0.25"/>
    <row r="6475" ht="15" customHeight="1" x14ac:dyDescent="0.25"/>
    <row r="6477" ht="15" customHeight="1" x14ac:dyDescent="0.25"/>
    <row r="6479" ht="15" customHeight="1" x14ac:dyDescent="0.25"/>
    <row r="6481" ht="15" customHeight="1" x14ac:dyDescent="0.25"/>
    <row r="6483" ht="15" customHeight="1" x14ac:dyDescent="0.25"/>
    <row r="6485" ht="15" customHeight="1" x14ac:dyDescent="0.25"/>
    <row r="6487" ht="15" customHeight="1" x14ac:dyDescent="0.25"/>
    <row r="6489" ht="15" customHeight="1" x14ac:dyDescent="0.25"/>
    <row r="6491" ht="15" customHeight="1" x14ac:dyDescent="0.25"/>
    <row r="6493" ht="15" customHeight="1" x14ac:dyDescent="0.25"/>
    <row r="6495" ht="15" customHeight="1" x14ac:dyDescent="0.25"/>
    <row r="6497" ht="15" customHeight="1" x14ac:dyDescent="0.25"/>
    <row r="6499" ht="15" customHeight="1" x14ac:dyDescent="0.25"/>
    <row r="6501" ht="15" customHeight="1" x14ac:dyDescent="0.25"/>
    <row r="6503" ht="15" customHeight="1" x14ac:dyDescent="0.25"/>
    <row r="6505" ht="15" customHeight="1" x14ac:dyDescent="0.25"/>
    <row r="6507" ht="15" customHeight="1" x14ac:dyDescent="0.25"/>
    <row r="6509" ht="15" customHeight="1" x14ac:dyDescent="0.25"/>
    <row r="6511" ht="15" customHeight="1" x14ac:dyDescent="0.25"/>
    <row r="6513" ht="15" customHeight="1" x14ac:dyDescent="0.25"/>
    <row r="6515" ht="15" customHeight="1" x14ac:dyDescent="0.25"/>
    <row r="6517" ht="15" customHeight="1" x14ac:dyDescent="0.25"/>
    <row r="6519" ht="15" customHeight="1" x14ac:dyDescent="0.25"/>
    <row r="6521" ht="15" customHeight="1" x14ac:dyDescent="0.25"/>
    <row r="6523" ht="15" customHeight="1" x14ac:dyDescent="0.25"/>
    <row r="6525" ht="15" customHeight="1" x14ac:dyDescent="0.25"/>
    <row r="6527" ht="15" customHeight="1" x14ac:dyDescent="0.25"/>
    <row r="6529" ht="15" customHeight="1" x14ac:dyDescent="0.25"/>
    <row r="6531" ht="15" customHeight="1" x14ac:dyDescent="0.25"/>
    <row r="6533" ht="15" customHeight="1" x14ac:dyDescent="0.25"/>
    <row r="6535" ht="15" customHeight="1" x14ac:dyDescent="0.25"/>
    <row r="6537" ht="15" customHeight="1" x14ac:dyDescent="0.25"/>
    <row r="6539" ht="15" customHeight="1" x14ac:dyDescent="0.25"/>
    <row r="6541" ht="15" customHeight="1" x14ac:dyDescent="0.25"/>
    <row r="6543" ht="15" customHeight="1" x14ac:dyDescent="0.25"/>
    <row r="6545" ht="15" customHeight="1" x14ac:dyDescent="0.25"/>
    <row r="6547" ht="15" customHeight="1" x14ac:dyDescent="0.25"/>
    <row r="6549" ht="15" customHeight="1" x14ac:dyDescent="0.25"/>
    <row r="6551" ht="15" customHeight="1" x14ac:dyDescent="0.25"/>
    <row r="6553" ht="15" customHeight="1" x14ac:dyDescent="0.25"/>
    <row r="6555" ht="15" customHeight="1" x14ac:dyDescent="0.25"/>
    <row r="6557" ht="15" customHeight="1" x14ac:dyDescent="0.25"/>
    <row r="6559" ht="15" customHeight="1" x14ac:dyDescent="0.25"/>
    <row r="6561" ht="15" customHeight="1" x14ac:dyDescent="0.25"/>
    <row r="6563" ht="15" customHeight="1" x14ac:dyDescent="0.25"/>
    <row r="6565" ht="15" customHeight="1" x14ac:dyDescent="0.25"/>
    <row r="6567" ht="15" customHeight="1" x14ac:dyDescent="0.25"/>
    <row r="6569" ht="15" customHeight="1" x14ac:dyDescent="0.25"/>
    <row r="6571" ht="15" customHeight="1" x14ac:dyDescent="0.25"/>
    <row r="6573" ht="15" customHeight="1" x14ac:dyDescent="0.25"/>
    <row r="6575" ht="15" customHeight="1" x14ac:dyDescent="0.25"/>
    <row r="6577" ht="15" customHeight="1" x14ac:dyDescent="0.25"/>
    <row r="6579" ht="15" customHeight="1" x14ac:dyDescent="0.25"/>
    <row r="6581" ht="15" customHeight="1" x14ac:dyDescent="0.25"/>
    <row r="6583" ht="15" customHeight="1" x14ac:dyDescent="0.25"/>
    <row r="6585" ht="15" customHeight="1" x14ac:dyDescent="0.25"/>
    <row r="6587" ht="15" customHeight="1" x14ac:dyDescent="0.25"/>
    <row r="6589" ht="15" customHeight="1" x14ac:dyDescent="0.25"/>
    <row r="6591" ht="15" customHeight="1" x14ac:dyDescent="0.25"/>
    <row r="6593" ht="15" customHeight="1" x14ac:dyDescent="0.25"/>
    <row r="6595" ht="15" customHeight="1" x14ac:dyDescent="0.25"/>
    <row r="6597" ht="15" customHeight="1" x14ac:dyDescent="0.25"/>
    <row r="6599" ht="15" customHeight="1" x14ac:dyDescent="0.25"/>
    <row r="6601" ht="15" customHeight="1" x14ac:dyDescent="0.25"/>
    <row r="6603" ht="15" customHeight="1" x14ac:dyDescent="0.25"/>
    <row r="6605" ht="15" customHeight="1" x14ac:dyDescent="0.25"/>
    <row r="6607" ht="15" customHeight="1" x14ac:dyDescent="0.25"/>
    <row r="6609" ht="15" customHeight="1" x14ac:dyDescent="0.25"/>
    <row r="6611" ht="15" customHeight="1" x14ac:dyDescent="0.25"/>
    <row r="6613" ht="15" customHeight="1" x14ac:dyDescent="0.25"/>
    <row r="6615" ht="15" customHeight="1" x14ac:dyDescent="0.25"/>
    <row r="6617" ht="15" customHeight="1" x14ac:dyDescent="0.25"/>
    <row r="6619" ht="15" customHeight="1" x14ac:dyDescent="0.25"/>
    <row r="6621" ht="15" customHeight="1" x14ac:dyDescent="0.25"/>
    <row r="6623" ht="15" customHeight="1" x14ac:dyDescent="0.25"/>
    <row r="6625" ht="15" customHeight="1" x14ac:dyDescent="0.25"/>
    <row r="6627" ht="15" customHeight="1" x14ac:dyDescent="0.25"/>
    <row r="6629" ht="15" customHeight="1" x14ac:dyDescent="0.25"/>
    <row r="6631" ht="15" customHeight="1" x14ac:dyDescent="0.25"/>
    <row r="6633" ht="15" customHeight="1" x14ac:dyDescent="0.25"/>
    <row r="6635" ht="15" customHeight="1" x14ac:dyDescent="0.25"/>
    <row r="6637" ht="15" customHeight="1" x14ac:dyDescent="0.25"/>
    <row r="6639" ht="15" customHeight="1" x14ac:dyDescent="0.25"/>
    <row r="6641" ht="15" customHeight="1" x14ac:dyDescent="0.25"/>
    <row r="6643" ht="15" customHeight="1" x14ac:dyDescent="0.25"/>
    <row r="6645" ht="15" customHeight="1" x14ac:dyDescent="0.25"/>
    <row r="6647" ht="15" customHeight="1" x14ac:dyDescent="0.25"/>
    <row r="6649" ht="15" customHeight="1" x14ac:dyDescent="0.25"/>
    <row r="6651" ht="15" customHeight="1" x14ac:dyDescent="0.25"/>
    <row r="6653" ht="15" customHeight="1" x14ac:dyDescent="0.25"/>
    <row r="6655" ht="15" customHeight="1" x14ac:dyDescent="0.25"/>
    <row r="6657" ht="15" customHeight="1" x14ac:dyDescent="0.25"/>
    <row r="6659" ht="15" customHeight="1" x14ac:dyDescent="0.25"/>
    <row r="6661" ht="15" customHeight="1" x14ac:dyDescent="0.25"/>
    <row r="6663" ht="15" customHeight="1" x14ac:dyDescent="0.25"/>
    <row r="6665" ht="15" customHeight="1" x14ac:dyDescent="0.25"/>
    <row r="6667" ht="15" customHeight="1" x14ac:dyDescent="0.25"/>
    <row r="6669" ht="15" customHeight="1" x14ac:dyDescent="0.25"/>
    <row r="6671" ht="15" customHeight="1" x14ac:dyDescent="0.25"/>
    <row r="6673" ht="15" customHeight="1" x14ac:dyDescent="0.25"/>
    <row r="6675" ht="15" customHeight="1" x14ac:dyDescent="0.25"/>
    <row r="6677" ht="15" customHeight="1" x14ac:dyDescent="0.25"/>
    <row r="6679" ht="15" customHeight="1" x14ac:dyDescent="0.25"/>
    <row r="6681" ht="15" customHeight="1" x14ac:dyDescent="0.25"/>
    <row r="6683" ht="15" customHeight="1" x14ac:dyDescent="0.25"/>
    <row r="6685" ht="15" customHeight="1" x14ac:dyDescent="0.25"/>
    <row r="6687" ht="15" customHeight="1" x14ac:dyDescent="0.25"/>
    <row r="6689" ht="15" customHeight="1" x14ac:dyDescent="0.25"/>
    <row r="6691" ht="15" customHeight="1" x14ac:dyDescent="0.25"/>
    <row r="6693" ht="15" customHeight="1" x14ac:dyDescent="0.25"/>
    <row r="6695" ht="15" customHeight="1" x14ac:dyDescent="0.25"/>
    <row r="6697" ht="15" customHeight="1" x14ac:dyDescent="0.25"/>
    <row r="6699" ht="15" customHeight="1" x14ac:dyDescent="0.25"/>
    <row r="6701" ht="15" customHeight="1" x14ac:dyDescent="0.25"/>
    <row r="6703" ht="15" customHeight="1" x14ac:dyDescent="0.25"/>
    <row r="6705" ht="15" customHeight="1" x14ac:dyDescent="0.25"/>
    <row r="6707" ht="15" customHeight="1" x14ac:dyDescent="0.25"/>
    <row r="6709" ht="15" customHeight="1" x14ac:dyDescent="0.25"/>
    <row r="6711" ht="15" customHeight="1" x14ac:dyDescent="0.25"/>
    <row r="6713" ht="15" customHeight="1" x14ac:dyDescent="0.25"/>
    <row r="6715" ht="15" customHeight="1" x14ac:dyDescent="0.25"/>
    <row r="6717" ht="15" customHeight="1" x14ac:dyDescent="0.25"/>
    <row r="6719" ht="15" customHeight="1" x14ac:dyDescent="0.25"/>
    <row r="6721" ht="15" customHeight="1" x14ac:dyDescent="0.25"/>
    <row r="6723" ht="15" customHeight="1" x14ac:dyDescent="0.25"/>
    <row r="6725" ht="15" customHeight="1" x14ac:dyDescent="0.25"/>
    <row r="6727" ht="15" customHeight="1" x14ac:dyDescent="0.25"/>
    <row r="6729" ht="15" customHeight="1" x14ac:dyDescent="0.25"/>
    <row r="6731" ht="15" customHeight="1" x14ac:dyDescent="0.25"/>
    <row r="6733" ht="15" customHeight="1" x14ac:dyDescent="0.25"/>
    <row r="6735" ht="15" customHeight="1" x14ac:dyDescent="0.25"/>
    <row r="6737" ht="15" customHeight="1" x14ac:dyDescent="0.25"/>
    <row r="6739" ht="15" customHeight="1" x14ac:dyDescent="0.25"/>
    <row r="6741" ht="15" customHeight="1" x14ac:dyDescent="0.25"/>
    <row r="6743" ht="15" customHeight="1" x14ac:dyDescent="0.25"/>
    <row r="6745" ht="15" customHeight="1" x14ac:dyDescent="0.25"/>
    <row r="6747" ht="15" customHeight="1" x14ac:dyDescent="0.25"/>
    <row r="6749" ht="15" customHeight="1" x14ac:dyDescent="0.25"/>
    <row r="6751" ht="15" customHeight="1" x14ac:dyDescent="0.25"/>
    <row r="6753" ht="15" customHeight="1" x14ac:dyDescent="0.25"/>
    <row r="6755" ht="15" customHeight="1" x14ac:dyDescent="0.25"/>
    <row r="6757" ht="15" customHeight="1" x14ac:dyDescent="0.25"/>
    <row r="6759" ht="15" customHeight="1" x14ac:dyDescent="0.25"/>
    <row r="6761" ht="15" customHeight="1" x14ac:dyDescent="0.25"/>
    <row r="6763" ht="15" customHeight="1" x14ac:dyDescent="0.25"/>
    <row r="6765" ht="15" customHeight="1" x14ac:dyDescent="0.25"/>
    <row r="6767" ht="15" customHeight="1" x14ac:dyDescent="0.25"/>
    <row r="6769" ht="15" customHeight="1" x14ac:dyDescent="0.25"/>
    <row r="6771" ht="15" customHeight="1" x14ac:dyDescent="0.25"/>
    <row r="6773" ht="15" customHeight="1" x14ac:dyDescent="0.25"/>
    <row r="6775" ht="15" customHeight="1" x14ac:dyDescent="0.25"/>
    <row r="6777" ht="15" customHeight="1" x14ac:dyDescent="0.25"/>
    <row r="6779" ht="15" customHeight="1" x14ac:dyDescent="0.25"/>
    <row r="6781" ht="15" customHeight="1" x14ac:dyDescent="0.25"/>
    <row r="6783" ht="15" customHeight="1" x14ac:dyDescent="0.25"/>
    <row r="6785" ht="15" customHeight="1" x14ac:dyDescent="0.25"/>
    <row r="6787" ht="15" customHeight="1" x14ac:dyDescent="0.25"/>
    <row r="6789" ht="15" customHeight="1" x14ac:dyDescent="0.25"/>
    <row r="6791" ht="15" customHeight="1" x14ac:dyDescent="0.25"/>
    <row r="6793" ht="15" customHeight="1" x14ac:dyDescent="0.25"/>
    <row r="6795" ht="15" customHeight="1" x14ac:dyDescent="0.25"/>
    <row r="6797" ht="15" customHeight="1" x14ac:dyDescent="0.25"/>
    <row r="6799" ht="15" customHeight="1" x14ac:dyDescent="0.25"/>
    <row r="6801" ht="15" customHeight="1" x14ac:dyDescent="0.25"/>
    <row r="6803" ht="15" customHeight="1" x14ac:dyDescent="0.25"/>
    <row r="6805" ht="15" customHeight="1" x14ac:dyDescent="0.25"/>
    <row r="6807" ht="15" customHeight="1" x14ac:dyDescent="0.25"/>
    <row r="6809" ht="15" customHeight="1" x14ac:dyDescent="0.25"/>
    <row r="6811" ht="15" customHeight="1" x14ac:dyDescent="0.25"/>
    <row r="6813" ht="15" customHeight="1" x14ac:dyDescent="0.25"/>
    <row r="6815" ht="15" customHeight="1" x14ac:dyDescent="0.25"/>
    <row r="6817" ht="15" customHeight="1" x14ac:dyDescent="0.25"/>
    <row r="6819" ht="15" customHeight="1" x14ac:dyDescent="0.25"/>
    <row r="6821" ht="15" customHeight="1" x14ac:dyDescent="0.25"/>
    <row r="6823" ht="15" customHeight="1" x14ac:dyDescent="0.25"/>
    <row r="6825" ht="15" customHeight="1" x14ac:dyDescent="0.25"/>
    <row r="6827" ht="15" customHeight="1" x14ac:dyDescent="0.25"/>
    <row r="6829" ht="15" customHeight="1" x14ac:dyDescent="0.25"/>
    <row r="6831" ht="15" customHeight="1" x14ac:dyDescent="0.25"/>
    <row r="6833" ht="15" customHeight="1" x14ac:dyDescent="0.25"/>
    <row r="6835" ht="15" customHeight="1" x14ac:dyDescent="0.25"/>
    <row r="6837" ht="15" customHeight="1" x14ac:dyDescent="0.25"/>
    <row r="6839" ht="15" customHeight="1" x14ac:dyDescent="0.25"/>
    <row r="6841" ht="15" customHeight="1" x14ac:dyDescent="0.25"/>
    <row r="6843" ht="15" customHeight="1" x14ac:dyDescent="0.25"/>
    <row r="6845" ht="15" customHeight="1" x14ac:dyDescent="0.25"/>
    <row r="6847" ht="15" customHeight="1" x14ac:dyDescent="0.25"/>
    <row r="6849" ht="15" customHeight="1" x14ac:dyDescent="0.25"/>
    <row r="6851" ht="15" customHeight="1" x14ac:dyDescent="0.25"/>
    <row r="6853" ht="15" customHeight="1" x14ac:dyDescent="0.25"/>
    <row r="6855" ht="15" customHeight="1" x14ac:dyDescent="0.25"/>
    <row r="6857" ht="15" customHeight="1" x14ac:dyDescent="0.25"/>
    <row r="6859" ht="15" customHeight="1" x14ac:dyDescent="0.25"/>
    <row r="6861" ht="15" customHeight="1" x14ac:dyDescent="0.25"/>
    <row r="6863" ht="15" customHeight="1" x14ac:dyDescent="0.25"/>
    <row r="6865" ht="15" customHeight="1" x14ac:dyDescent="0.25"/>
    <row r="6867" ht="15" customHeight="1" x14ac:dyDescent="0.25"/>
    <row r="6869" ht="15" customHeight="1" x14ac:dyDescent="0.25"/>
    <row r="6871" ht="15" customHeight="1" x14ac:dyDescent="0.25"/>
    <row r="6873" ht="15" customHeight="1" x14ac:dyDescent="0.25"/>
    <row r="6875" ht="15" customHeight="1" x14ac:dyDescent="0.25"/>
    <row r="6877" ht="15" customHeight="1" x14ac:dyDescent="0.25"/>
    <row r="6879" ht="15" customHeight="1" x14ac:dyDescent="0.25"/>
    <row r="6881" ht="15" customHeight="1" x14ac:dyDescent="0.25"/>
    <row r="6883" ht="15" customHeight="1" x14ac:dyDescent="0.25"/>
    <row r="6885" ht="15" customHeight="1" x14ac:dyDescent="0.25"/>
    <row r="6887" ht="15" customHeight="1" x14ac:dyDescent="0.25"/>
    <row r="6889" ht="15" customHeight="1" x14ac:dyDescent="0.25"/>
    <row r="6891" ht="15" customHeight="1" x14ac:dyDescent="0.25"/>
    <row r="6893" ht="15" customHeight="1" x14ac:dyDescent="0.25"/>
    <row r="6895" ht="15" customHeight="1" x14ac:dyDescent="0.25"/>
    <row r="6897" ht="15" customHeight="1" x14ac:dyDescent="0.25"/>
    <row r="6899" ht="15" customHeight="1" x14ac:dyDescent="0.25"/>
    <row r="6901" ht="15" customHeight="1" x14ac:dyDescent="0.25"/>
    <row r="6903" ht="15" customHeight="1" x14ac:dyDescent="0.25"/>
    <row r="6905" ht="15" customHeight="1" x14ac:dyDescent="0.25"/>
    <row r="6907" ht="15" customHeight="1" x14ac:dyDescent="0.25"/>
    <row r="6909" ht="15" customHeight="1" x14ac:dyDescent="0.25"/>
    <row r="6911" ht="15" customHeight="1" x14ac:dyDescent="0.25"/>
    <row r="6913" ht="15" customHeight="1" x14ac:dyDescent="0.25"/>
    <row r="6915" ht="15" customHeight="1" x14ac:dyDescent="0.25"/>
    <row r="6917" ht="15" customHeight="1" x14ac:dyDescent="0.25"/>
    <row r="6919" ht="15" customHeight="1" x14ac:dyDescent="0.25"/>
    <row r="6921" ht="15" customHeight="1" x14ac:dyDescent="0.25"/>
    <row r="6923" ht="15" customHeight="1" x14ac:dyDescent="0.25"/>
    <row r="6925" ht="15" customHeight="1" x14ac:dyDescent="0.25"/>
    <row r="6927" ht="15" customHeight="1" x14ac:dyDescent="0.25"/>
    <row r="6929" ht="15" customHeight="1" x14ac:dyDescent="0.25"/>
    <row r="6931" ht="15" customHeight="1" x14ac:dyDescent="0.25"/>
    <row r="6933" ht="15" customHeight="1" x14ac:dyDescent="0.25"/>
    <row r="6935" ht="15" customHeight="1" x14ac:dyDescent="0.25"/>
    <row r="6937" ht="15" customHeight="1" x14ac:dyDescent="0.25"/>
    <row r="6939" ht="15" customHeight="1" x14ac:dyDescent="0.25"/>
    <row r="6941" ht="15" customHeight="1" x14ac:dyDescent="0.25"/>
    <row r="6943" ht="15" customHeight="1" x14ac:dyDescent="0.25"/>
    <row r="6945" ht="15" customHeight="1" x14ac:dyDescent="0.25"/>
    <row r="6947" ht="15" customHeight="1" x14ac:dyDescent="0.25"/>
    <row r="6949" ht="15" customHeight="1" x14ac:dyDescent="0.25"/>
    <row r="6951" ht="15" customHeight="1" x14ac:dyDescent="0.25"/>
    <row r="6953" ht="15" customHeight="1" x14ac:dyDescent="0.25"/>
    <row r="6955" ht="15" customHeight="1" x14ac:dyDescent="0.25"/>
    <row r="6957" ht="15" customHeight="1" x14ac:dyDescent="0.25"/>
    <row r="6959" ht="15" customHeight="1" x14ac:dyDescent="0.25"/>
    <row r="6961" ht="15" customHeight="1" x14ac:dyDescent="0.25"/>
    <row r="6963" ht="15" customHeight="1" x14ac:dyDescent="0.25"/>
    <row r="6965" ht="15" customHeight="1" x14ac:dyDescent="0.25"/>
    <row r="6967" ht="15" customHeight="1" x14ac:dyDescent="0.25"/>
    <row r="6969" ht="15" customHeight="1" x14ac:dyDescent="0.25"/>
    <row r="6971" ht="15" customHeight="1" x14ac:dyDescent="0.25"/>
    <row r="6973" ht="15" customHeight="1" x14ac:dyDescent="0.25"/>
    <row r="6975" ht="15" customHeight="1" x14ac:dyDescent="0.25"/>
    <row r="6977" ht="15" customHeight="1" x14ac:dyDescent="0.25"/>
    <row r="6979" ht="15" customHeight="1" x14ac:dyDescent="0.25"/>
    <row r="6981" ht="15" customHeight="1" x14ac:dyDescent="0.25"/>
    <row r="6983" ht="15" customHeight="1" x14ac:dyDescent="0.25"/>
    <row r="6985" ht="15" customHeight="1" x14ac:dyDescent="0.25"/>
    <row r="6987" ht="15" customHeight="1" x14ac:dyDescent="0.25"/>
    <row r="6989" ht="15" customHeight="1" x14ac:dyDescent="0.25"/>
    <row r="6991" ht="15" customHeight="1" x14ac:dyDescent="0.25"/>
    <row r="6993" ht="15" customHeight="1" x14ac:dyDescent="0.25"/>
    <row r="6995" ht="15" customHeight="1" x14ac:dyDescent="0.25"/>
    <row r="6997" ht="15" customHeight="1" x14ac:dyDescent="0.25"/>
    <row r="6999" ht="15" customHeight="1" x14ac:dyDescent="0.25"/>
    <row r="7001" ht="15" customHeight="1" x14ac:dyDescent="0.25"/>
    <row r="7003" ht="15" customHeight="1" x14ac:dyDescent="0.25"/>
    <row r="7005" ht="15" customHeight="1" x14ac:dyDescent="0.25"/>
    <row r="7007" ht="15" customHeight="1" x14ac:dyDescent="0.25"/>
    <row r="7009" ht="15" customHeight="1" x14ac:dyDescent="0.25"/>
    <row r="7011" ht="15" customHeight="1" x14ac:dyDescent="0.25"/>
    <row r="7013" ht="15" customHeight="1" x14ac:dyDescent="0.25"/>
    <row r="7015" ht="15" customHeight="1" x14ac:dyDescent="0.25"/>
    <row r="7017" ht="15" customHeight="1" x14ac:dyDescent="0.25"/>
    <row r="7019" ht="15" customHeight="1" x14ac:dyDescent="0.25"/>
    <row r="7021" ht="15" customHeight="1" x14ac:dyDescent="0.25"/>
    <row r="7023" ht="15" customHeight="1" x14ac:dyDescent="0.25"/>
    <row r="7025" ht="15" customHeight="1" x14ac:dyDescent="0.25"/>
    <row r="7027" ht="15" customHeight="1" x14ac:dyDescent="0.25"/>
    <row r="7029" ht="15" customHeight="1" x14ac:dyDescent="0.25"/>
    <row r="7031" ht="15" customHeight="1" x14ac:dyDescent="0.25"/>
    <row r="7033" ht="15" customHeight="1" x14ac:dyDescent="0.25"/>
    <row r="7035" ht="15" customHeight="1" x14ac:dyDescent="0.25"/>
    <row r="7037" ht="15" customHeight="1" x14ac:dyDescent="0.25"/>
    <row r="7039" ht="15" customHeight="1" x14ac:dyDescent="0.25"/>
    <row r="7041" ht="15" customHeight="1" x14ac:dyDescent="0.25"/>
    <row r="7043" ht="15" customHeight="1" x14ac:dyDescent="0.25"/>
    <row r="7045" ht="15" customHeight="1" x14ac:dyDescent="0.25"/>
    <row r="7047" ht="15" customHeight="1" x14ac:dyDescent="0.25"/>
    <row r="7049" ht="15" customHeight="1" x14ac:dyDescent="0.25"/>
    <row r="7051" ht="15" customHeight="1" x14ac:dyDescent="0.25"/>
    <row r="7053" ht="15" customHeight="1" x14ac:dyDescent="0.25"/>
    <row r="7055" ht="15" customHeight="1" x14ac:dyDescent="0.25"/>
    <row r="7057" ht="15" customHeight="1" x14ac:dyDescent="0.25"/>
    <row r="7059" ht="15" customHeight="1" x14ac:dyDescent="0.25"/>
    <row r="7061" ht="15" customHeight="1" x14ac:dyDescent="0.25"/>
    <row r="7063" ht="15" customHeight="1" x14ac:dyDescent="0.25"/>
    <row r="7065" ht="15" customHeight="1" x14ac:dyDescent="0.25"/>
    <row r="7067" ht="15" customHeight="1" x14ac:dyDescent="0.25"/>
    <row r="7069" ht="15" customHeight="1" x14ac:dyDescent="0.25"/>
    <row r="7071" ht="15" customHeight="1" x14ac:dyDescent="0.25"/>
    <row r="7073" ht="15" customHeight="1" x14ac:dyDescent="0.25"/>
    <row r="7075" ht="15" customHeight="1" x14ac:dyDescent="0.25"/>
    <row r="7077" ht="15" customHeight="1" x14ac:dyDescent="0.25"/>
    <row r="7079" ht="15" customHeight="1" x14ac:dyDescent="0.25"/>
    <row r="7081" ht="15" customHeight="1" x14ac:dyDescent="0.25"/>
    <row r="7083" ht="15" customHeight="1" x14ac:dyDescent="0.25"/>
    <row r="7085" ht="15" customHeight="1" x14ac:dyDescent="0.25"/>
    <row r="7087" ht="15" customHeight="1" x14ac:dyDescent="0.25"/>
    <row r="7089" ht="15" customHeight="1" x14ac:dyDescent="0.25"/>
    <row r="7091" ht="15" customHeight="1" x14ac:dyDescent="0.25"/>
    <row r="7093" ht="15" customHeight="1" x14ac:dyDescent="0.25"/>
    <row r="7095" ht="15" customHeight="1" x14ac:dyDescent="0.25"/>
    <row r="7097" ht="15" customHeight="1" x14ac:dyDescent="0.25"/>
    <row r="7099" ht="15" customHeight="1" x14ac:dyDescent="0.25"/>
    <row r="7101" ht="15" customHeight="1" x14ac:dyDescent="0.25"/>
    <row r="7103" ht="15" customHeight="1" x14ac:dyDescent="0.25"/>
    <row r="7105" ht="15" customHeight="1" x14ac:dyDescent="0.25"/>
    <row r="7107" ht="15" customHeight="1" x14ac:dyDescent="0.25"/>
    <row r="7109" ht="15" customHeight="1" x14ac:dyDescent="0.25"/>
    <row r="7111" ht="15" customHeight="1" x14ac:dyDescent="0.25"/>
    <row r="7113" ht="15" customHeight="1" x14ac:dyDescent="0.25"/>
    <row r="7115" ht="15" customHeight="1" x14ac:dyDescent="0.25"/>
    <row r="7117" ht="15" customHeight="1" x14ac:dyDescent="0.25"/>
    <row r="7119" ht="15" customHeight="1" x14ac:dyDescent="0.25"/>
    <row r="7121" ht="15" customHeight="1" x14ac:dyDescent="0.25"/>
    <row r="7123" ht="15" customHeight="1" x14ac:dyDescent="0.25"/>
    <row r="7125" ht="15" customHeight="1" x14ac:dyDescent="0.25"/>
    <row r="7127" ht="15" customHeight="1" x14ac:dyDescent="0.25"/>
    <row r="7129" ht="15" customHeight="1" x14ac:dyDescent="0.25"/>
    <row r="7131" ht="15" customHeight="1" x14ac:dyDescent="0.25"/>
    <row r="7133" ht="15" customHeight="1" x14ac:dyDescent="0.25"/>
    <row r="7135" ht="15" customHeight="1" x14ac:dyDescent="0.25"/>
    <row r="7137" ht="15" customHeight="1" x14ac:dyDescent="0.25"/>
    <row r="7139" ht="15" customHeight="1" x14ac:dyDescent="0.25"/>
    <row r="7141" ht="15" customHeight="1" x14ac:dyDescent="0.25"/>
    <row r="7143" ht="15" customHeight="1" x14ac:dyDescent="0.25"/>
    <row r="7145" ht="15" customHeight="1" x14ac:dyDescent="0.25"/>
    <row r="7147" ht="15" customHeight="1" x14ac:dyDescent="0.25"/>
    <row r="7149" ht="15" customHeight="1" x14ac:dyDescent="0.25"/>
    <row r="7151" ht="15" customHeight="1" x14ac:dyDescent="0.25"/>
    <row r="7153" ht="15" customHeight="1" x14ac:dyDescent="0.25"/>
    <row r="7155" ht="15" customHeight="1" x14ac:dyDescent="0.25"/>
    <row r="7157" ht="15" customHeight="1" x14ac:dyDescent="0.25"/>
    <row r="7159" ht="15" customHeight="1" x14ac:dyDescent="0.25"/>
    <row r="7161" ht="15" customHeight="1" x14ac:dyDescent="0.25"/>
    <row r="7163" ht="15" customHeight="1" x14ac:dyDescent="0.25"/>
    <row r="7165" ht="15" customHeight="1" x14ac:dyDescent="0.25"/>
    <row r="7167" ht="15" customHeight="1" x14ac:dyDescent="0.25"/>
    <row r="7169" ht="15" customHeight="1" x14ac:dyDescent="0.25"/>
    <row r="7171" ht="15" customHeight="1" x14ac:dyDescent="0.25"/>
    <row r="7173" ht="15" customHeight="1" x14ac:dyDescent="0.25"/>
    <row r="7175" ht="15" customHeight="1" x14ac:dyDescent="0.25"/>
    <row r="7177" ht="15" customHeight="1" x14ac:dyDescent="0.25"/>
    <row r="7179" ht="15" customHeight="1" x14ac:dyDescent="0.25"/>
    <row r="7181" ht="15" customHeight="1" x14ac:dyDescent="0.25"/>
    <row r="7183" ht="15" customHeight="1" x14ac:dyDescent="0.25"/>
    <row r="7185" ht="15" customHeight="1" x14ac:dyDescent="0.25"/>
    <row r="7187" ht="15" customHeight="1" x14ac:dyDescent="0.25"/>
    <row r="7189" ht="15" customHeight="1" x14ac:dyDescent="0.25"/>
    <row r="7191" ht="15" customHeight="1" x14ac:dyDescent="0.25"/>
    <row r="7193" ht="15" customHeight="1" x14ac:dyDescent="0.25"/>
    <row r="7195" ht="15" customHeight="1" x14ac:dyDescent="0.25"/>
    <row r="7197" ht="15" customHeight="1" x14ac:dyDescent="0.25"/>
    <row r="7199" ht="15" customHeight="1" x14ac:dyDescent="0.25"/>
    <row r="7201" ht="15" customHeight="1" x14ac:dyDescent="0.25"/>
    <row r="7203" ht="15" customHeight="1" x14ac:dyDescent="0.25"/>
    <row r="7205" ht="15" customHeight="1" x14ac:dyDescent="0.25"/>
    <row r="7207" ht="15" customHeight="1" x14ac:dyDescent="0.25"/>
    <row r="7209" ht="15" customHeight="1" x14ac:dyDescent="0.25"/>
    <row r="7211" ht="15" customHeight="1" x14ac:dyDescent="0.25"/>
    <row r="7213" ht="15" customHeight="1" x14ac:dyDescent="0.25"/>
    <row r="7215" ht="15" customHeight="1" x14ac:dyDescent="0.25"/>
    <row r="7217" ht="15" customHeight="1" x14ac:dyDescent="0.25"/>
    <row r="7219" ht="15" customHeight="1" x14ac:dyDescent="0.25"/>
    <row r="7221" ht="15" customHeight="1" x14ac:dyDescent="0.25"/>
    <row r="7223" ht="15" customHeight="1" x14ac:dyDescent="0.25"/>
    <row r="7225" ht="15" customHeight="1" x14ac:dyDescent="0.25"/>
    <row r="7227" ht="15" customHeight="1" x14ac:dyDescent="0.25"/>
    <row r="7229" ht="15" customHeight="1" x14ac:dyDescent="0.25"/>
    <row r="7231" ht="15" customHeight="1" x14ac:dyDescent="0.25"/>
    <row r="7233" ht="15" customHeight="1" x14ac:dyDescent="0.25"/>
    <row r="7235" ht="15" customHeight="1" x14ac:dyDescent="0.25"/>
    <row r="7237" ht="15" customHeight="1" x14ac:dyDescent="0.25"/>
    <row r="7239" ht="15" customHeight="1" x14ac:dyDescent="0.25"/>
    <row r="7241" ht="15" customHeight="1" x14ac:dyDescent="0.25"/>
    <row r="7243" ht="15" customHeight="1" x14ac:dyDescent="0.25"/>
    <row r="7245" ht="15" customHeight="1" x14ac:dyDescent="0.25"/>
    <row r="7247" ht="15" customHeight="1" x14ac:dyDescent="0.25"/>
    <row r="7249" ht="15" customHeight="1" x14ac:dyDescent="0.25"/>
    <row r="7251" ht="15" customHeight="1" x14ac:dyDescent="0.25"/>
    <row r="7253" ht="15" customHeight="1" x14ac:dyDescent="0.25"/>
    <row r="7255" ht="15" customHeight="1" x14ac:dyDescent="0.25"/>
    <row r="7257" ht="15" customHeight="1" x14ac:dyDescent="0.25"/>
    <row r="7259" ht="15" customHeight="1" x14ac:dyDescent="0.25"/>
    <row r="7261" ht="15" customHeight="1" x14ac:dyDescent="0.25"/>
    <row r="7263" ht="15" customHeight="1" x14ac:dyDescent="0.25"/>
    <row r="7265" ht="15" customHeight="1" x14ac:dyDescent="0.25"/>
    <row r="7267" ht="15" customHeight="1" x14ac:dyDescent="0.25"/>
    <row r="7269" ht="15" customHeight="1" x14ac:dyDescent="0.25"/>
    <row r="7271" ht="15" customHeight="1" x14ac:dyDescent="0.25"/>
    <row r="7273" ht="15" customHeight="1" x14ac:dyDescent="0.25"/>
    <row r="7275" ht="15" customHeight="1" x14ac:dyDescent="0.25"/>
    <row r="7277" ht="15" customHeight="1" x14ac:dyDescent="0.25"/>
    <row r="7279" ht="15" customHeight="1" x14ac:dyDescent="0.25"/>
    <row r="7281" ht="15" customHeight="1" x14ac:dyDescent="0.25"/>
    <row r="7283" ht="15" customHeight="1" x14ac:dyDescent="0.25"/>
    <row r="7285" ht="15" customHeight="1" x14ac:dyDescent="0.25"/>
    <row r="7287" ht="15" customHeight="1" x14ac:dyDescent="0.25"/>
    <row r="7289" ht="15" customHeight="1" x14ac:dyDescent="0.25"/>
    <row r="7291" ht="15" customHeight="1" x14ac:dyDescent="0.25"/>
    <row r="7293" ht="15" customHeight="1" x14ac:dyDescent="0.25"/>
    <row r="7295" ht="15" customHeight="1" x14ac:dyDescent="0.25"/>
    <row r="7297" ht="15" customHeight="1" x14ac:dyDescent="0.25"/>
    <row r="7299" ht="15" customHeight="1" x14ac:dyDescent="0.25"/>
    <row r="7301" ht="15" customHeight="1" x14ac:dyDescent="0.25"/>
    <row r="7303" ht="15" customHeight="1" x14ac:dyDescent="0.25"/>
    <row r="7305" ht="15" customHeight="1" x14ac:dyDescent="0.25"/>
    <row r="7307" ht="15" customHeight="1" x14ac:dyDescent="0.25"/>
    <row r="7309" ht="15" customHeight="1" x14ac:dyDescent="0.25"/>
    <row r="7311" ht="15" customHeight="1" x14ac:dyDescent="0.25"/>
    <row r="7313" ht="15" customHeight="1" x14ac:dyDescent="0.25"/>
    <row r="7315" ht="15" customHeight="1" x14ac:dyDescent="0.25"/>
    <row r="7317" ht="15" customHeight="1" x14ac:dyDescent="0.25"/>
    <row r="7319" ht="15" customHeight="1" x14ac:dyDescent="0.25"/>
    <row r="7321" ht="15" customHeight="1" x14ac:dyDescent="0.25"/>
    <row r="7323" ht="15" customHeight="1" x14ac:dyDescent="0.25"/>
    <row r="7325" ht="15" customHeight="1" x14ac:dyDescent="0.25"/>
    <row r="7327" ht="15" customHeight="1" x14ac:dyDescent="0.25"/>
    <row r="7329" ht="15" customHeight="1" x14ac:dyDescent="0.25"/>
    <row r="7331" ht="15" customHeight="1" x14ac:dyDescent="0.25"/>
    <row r="7333" ht="15" customHeight="1" x14ac:dyDescent="0.25"/>
    <row r="7335" ht="15" customHeight="1" x14ac:dyDescent="0.25"/>
    <row r="7337" ht="15" customHeight="1" x14ac:dyDescent="0.25"/>
    <row r="7339" ht="15" customHeight="1" x14ac:dyDescent="0.25"/>
    <row r="7341" ht="15" customHeight="1" x14ac:dyDescent="0.25"/>
    <row r="7343" ht="15" customHeight="1" x14ac:dyDescent="0.25"/>
    <row r="7345" ht="15" customHeight="1" x14ac:dyDescent="0.25"/>
    <row r="7347" ht="15" customHeight="1" x14ac:dyDescent="0.25"/>
    <row r="7349" ht="15" customHeight="1" x14ac:dyDescent="0.25"/>
    <row r="7351" ht="15" customHeight="1" x14ac:dyDescent="0.25"/>
    <row r="7353" ht="15" customHeight="1" x14ac:dyDescent="0.25"/>
    <row r="7355" ht="15" customHeight="1" x14ac:dyDescent="0.25"/>
    <row r="7357" ht="15" customHeight="1" x14ac:dyDescent="0.25"/>
    <row r="7359" ht="15" customHeight="1" x14ac:dyDescent="0.25"/>
    <row r="7361" ht="15" customHeight="1" x14ac:dyDescent="0.25"/>
    <row r="7363" ht="15" customHeight="1" x14ac:dyDescent="0.25"/>
    <row r="7365" ht="15" customHeight="1" x14ac:dyDescent="0.25"/>
    <row r="7367" ht="15" customHeight="1" x14ac:dyDescent="0.25"/>
    <row r="7369" ht="15" customHeight="1" x14ac:dyDescent="0.25"/>
    <row r="7371" ht="15" customHeight="1" x14ac:dyDescent="0.25"/>
    <row r="7373" ht="15" customHeight="1" x14ac:dyDescent="0.25"/>
    <row r="7375" ht="15" customHeight="1" x14ac:dyDescent="0.25"/>
    <row r="7377" ht="15" customHeight="1" x14ac:dyDescent="0.25"/>
    <row r="7379" ht="15" customHeight="1" x14ac:dyDescent="0.25"/>
    <row r="7381" ht="15" customHeight="1" x14ac:dyDescent="0.25"/>
    <row r="7383" ht="15" customHeight="1" x14ac:dyDescent="0.25"/>
    <row r="7385" ht="15" customHeight="1" x14ac:dyDescent="0.25"/>
    <row r="7387" ht="15" customHeight="1" x14ac:dyDescent="0.25"/>
    <row r="7389" ht="15" customHeight="1" x14ac:dyDescent="0.25"/>
    <row r="7391" ht="15" customHeight="1" x14ac:dyDescent="0.25"/>
    <row r="7393" ht="15" customHeight="1" x14ac:dyDescent="0.25"/>
    <row r="7395" ht="15" customHeight="1" x14ac:dyDescent="0.25"/>
    <row r="7397" ht="15" customHeight="1" x14ac:dyDescent="0.25"/>
    <row r="7399" ht="15" customHeight="1" x14ac:dyDescent="0.25"/>
    <row r="7401" ht="15" customHeight="1" x14ac:dyDescent="0.25"/>
    <row r="7403" ht="15" customHeight="1" x14ac:dyDescent="0.25"/>
    <row r="7405" ht="15" customHeight="1" x14ac:dyDescent="0.25"/>
    <row r="7407" ht="15" customHeight="1" x14ac:dyDescent="0.25"/>
    <row r="7409" ht="15" customHeight="1" x14ac:dyDescent="0.25"/>
    <row r="7411" ht="15" customHeight="1" x14ac:dyDescent="0.25"/>
    <row r="7413" ht="15" customHeight="1" x14ac:dyDescent="0.25"/>
    <row r="7415" ht="15" customHeight="1" x14ac:dyDescent="0.25"/>
    <row r="7417" ht="15" customHeight="1" x14ac:dyDescent="0.25"/>
    <row r="7419" ht="15" customHeight="1" x14ac:dyDescent="0.25"/>
    <row r="7421" ht="15" customHeight="1" x14ac:dyDescent="0.25"/>
    <row r="7423" ht="15" customHeight="1" x14ac:dyDescent="0.25"/>
    <row r="7425" ht="15" customHeight="1" x14ac:dyDescent="0.25"/>
    <row r="7427" ht="15" customHeight="1" x14ac:dyDescent="0.25"/>
    <row r="7429" ht="15" customHeight="1" x14ac:dyDescent="0.25"/>
    <row r="7431" ht="15" customHeight="1" x14ac:dyDescent="0.25"/>
    <row r="7433" ht="15" customHeight="1" x14ac:dyDescent="0.25"/>
    <row r="7435" ht="15" customHeight="1" x14ac:dyDescent="0.25"/>
    <row r="7437" ht="15" customHeight="1" x14ac:dyDescent="0.25"/>
    <row r="7439" ht="15" customHeight="1" x14ac:dyDescent="0.25"/>
    <row r="7441" ht="15" customHeight="1" x14ac:dyDescent="0.25"/>
    <row r="7443" ht="15" customHeight="1" x14ac:dyDescent="0.25"/>
    <row r="7445" ht="15" customHeight="1" x14ac:dyDescent="0.25"/>
    <row r="7447" ht="15" customHeight="1" x14ac:dyDescent="0.25"/>
    <row r="7449" ht="15" customHeight="1" x14ac:dyDescent="0.25"/>
    <row r="7451" ht="15" customHeight="1" x14ac:dyDescent="0.25"/>
    <row r="7453" ht="15" customHeight="1" x14ac:dyDescent="0.25"/>
    <row r="7455" ht="15" customHeight="1" x14ac:dyDescent="0.25"/>
    <row r="7457" ht="15" customHeight="1" x14ac:dyDescent="0.25"/>
    <row r="7459" ht="15" customHeight="1" x14ac:dyDescent="0.25"/>
    <row r="7461" ht="15" customHeight="1" x14ac:dyDescent="0.25"/>
    <row r="7463" ht="15" customHeight="1" x14ac:dyDescent="0.25"/>
    <row r="7465" ht="15" customHeight="1" x14ac:dyDescent="0.25"/>
    <row r="7467" ht="15" customHeight="1" x14ac:dyDescent="0.25"/>
    <row r="7469" ht="15" customHeight="1" x14ac:dyDescent="0.25"/>
    <row r="7471" ht="15" customHeight="1" x14ac:dyDescent="0.25"/>
    <row r="7473" ht="15" customHeight="1" x14ac:dyDescent="0.25"/>
    <row r="7475" ht="15" customHeight="1" x14ac:dyDescent="0.25"/>
    <row r="7477" ht="15" customHeight="1" x14ac:dyDescent="0.25"/>
    <row r="7479" ht="15" customHeight="1" x14ac:dyDescent="0.25"/>
    <row r="7481" ht="15" customHeight="1" x14ac:dyDescent="0.25"/>
    <row r="7483" ht="15" customHeight="1" x14ac:dyDescent="0.25"/>
    <row r="7485" ht="15" customHeight="1" x14ac:dyDescent="0.25"/>
    <row r="7487" ht="15" customHeight="1" x14ac:dyDescent="0.25"/>
    <row r="7489" ht="15" customHeight="1" x14ac:dyDescent="0.25"/>
    <row r="7491" ht="15" customHeight="1" x14ac:dyDescent="0.25"/>
    <row r="7493" ht="15" customHeight="1" x14ac:dyDescent="0.25"/>
    <row r="7495" ht="15" customHeight="1" x14ac:dyDescent="0.25"/>
    <row r="7497" ht="15" customHeight="1" x14ac:dyDescent="0.25"/>
    <row r="7499" ht="15" customHeight="1" x14ac:dyDescent="0.25"/>
    <row r="7501" ht="15" customHeight="1" x14ac:dyDescent="0.25"/>
    <row r="7503" ht="15" customHeight="1" x14ac:dyDescent="0.25"/>
    <row r="7505" ht="15" customHeight="1" x14ac:dyDescent="0.25"/>
    <row r="7507" ht="15" customHeight="1" x14ac:dyDescent="0.25"/>
    <row r="7509" ht="15" customHeight="1" x14ac:dyDescent="0.25"/>
    <row r="7511" ht="15" customHeight="1" x14ac:dyDescent="0.25"/>
    <row r="7513" ht="15" customHeight="1" x14ac:dyDescent="0.25"/>
    <row r="7515" ht="15" customHeight="1" x14ac:dyDescent="0.25"/>
    <row r="7517" ht="15" customHeight="1" x14ac:dyDescent="0.25"/>
    <row r="7519" ht="15" customHeight="1" x14ac:dyDescent="0.25"/>
    <row r="7521" ht="15" customHeight="1" x14ac:dyDescent="0.25"/>
    <row r="7523" ht="15" customHeight="1" x14ac:dyDescent="0.25"/>
    <row r="7525" ht="15" customHeight="1" x14ac:dyDescent="0.25"/>
    <row r="7527" ht="15" customHeight="1" x14ac:dyDescent="0.25"/>
    <row r="7529" ht="15" customHeight="1" x14ac:dyDescent="0.25"/>
    <row r="7531" ht="15" customHeight="1" x14ac:dyDescent="0.25"/>
    <row r="7533" ht="15" customHeight="1" x14ac:dyDescent="0.25"/>
    <row r="7535" ht="15" customHeight="1" x14ac:dyDescent="0.25"/>
    <row r="7537" ht="15" customHeight="1" x14ac:dyDescent="0.25"/>
    <row r="7539" ht="15" customHeight="1" x14ac:dyDescent="0.25"/>
    <row r="7541" ht="15" customHeight="1" x14ac:dyDescent="0.25"/>
    <row r="7543" ht="15" customHeight="1" x14ac:dyDescent="0.25"/>
    <row r="7545" ht="15" customHeight="1" x14ac:dyDescent="0.25"/>
    <row r="7547" ht="15" customHeight="1" x14ac:dyDescent="0.25"/>
    <row r="7549" ht="15" customHeight="1" x14ac:dyDescent="0.25"/>
    <row r="7551" ht="15" customHeight="1" x14ac:dyDescent="0.25"/>
    <row r="7553" ht="15" customHeight="1" x14ac:dyDescent="0.25"/>
    <row r="7555" ht="15" customHeight="1" x14ac:dyDescent="0.25"/>
    <row r="7557" ht="15" customHeight="1" x14ac:dyDescent="0.25"/>
    <row r="7559" ht="15" customHeight="1" x14ac:dyDescent="0.25"/>
    <row r="7561" ht="15" customHeight="1" x14ac:dyDescent="0.25"/>
    <row r="7563" ht="15" customHeight="1" x14ac:dyDescent="0.25"/>
    <row r="7565" ht="15" customHeight="1" x14ac:dyDescent="0.25"/>
    <row r="7567" ht="15" customHeight="1" x14ac:dyDescent="0.25"/>
    <row r="7569" ht="15" customHeight="1" x14ac:dyDescent="0.25"/>
    <row r="7571" ht="15" customHeight="1" x14ac:dyDescent="0.25"/>
    <row r="7573" ht="15" customHeight="1" x14ac:dyDescent="0.25"/>
    <row r="7575" ht="15" customHeight="1" x14ac:dyDescent="0.25"/>
    <row r="7577" ht="15" customHeight="1" x14ac:dyDescent="0.25"/>
    <row r="7579" ht="15" customHeight="1" x14ac:dyDescent="0.25"/>
    <row r="7581" ht="15" customHeight="1" x14ac:dyDescent="0.25"/>
    <row r="7583" ht="15" customHeight="1" x14ac:dyDescent="0.25"/>
    <row r="7585" ht="15" customHeight="1" x14ac:dyDescent="0.25"/>
    <row r="7587" ht="15" customHeight="1" x14ac:dyDescent="0.25"/>
    <row r="7589" ht="15" customHeight="1" x14ac:dyDescent="0.25"/>
    <row r="7591" ht="15" customHeight="1" x14ac:dyDescent="0.25"/>
    <row r="7593" ht="15" customHeight="1" x14ac:dyDescent="0.25"/>
    <row r="7595" ht="15" customHeight="1" x14ac:dyDescent="0.25"/>
    <row r="7597" ht="15" customHeight="1" x14ac:dyDescent="0.25"/>
    <row r="7599" ht="15" customHeight="1" x14ac:dyDescent="0.25"/>
    <row r="7601" ht="15" customHeight="1" x14ac:dyDescent="0.25"/>
    <row r="7603" ht="15" customHeight="1" x14ac:dyDescent="0.25"/>
    <row r="7605" ht="15" customHeight="1" x14ac:dyDescent="0.25"/>
    <row r="7607" ht="15" customHeight="1" x14ac:dyDescent="0.25"/>
    <row r="7609" ht="15" customHeight="1" x14ac:dyDescent="0.25"/>
    <row r="7611" ht="15" customHeight="1" x14ac:dyDescent="0.25"/>
    <row r="7613" ht="15" customHeight="1" x14ac:dyDescent="0.25"/>
    <row r="7615" ht="15" customHeight="1" x14ac:dyDescent="0.25"/>
    <row r="7617" ht="15" customHeight="1" x14ac:dyDescent="0.25"/>
    <row r="7619" ht="15" customHeight="1" x14ac:dyDescent="0.25"/>
    <row r="7621" ht="15" customHeight="1" x14ac:dyDescent="0.25"/>
    <row r="7623" ht="15" customHeight="1" x14ac:dyDescent="0.25"/>
    <row r="7625" ht="15" customHeight="1" x14ac:dyDescent="0.25"/>
    <row r="7627" ht="15" customHeight="1" x14ac:dyDescent="0.25"/>
    <row r="7629" ht="15" customHeight="1" x14ac:dyDescent="0.25"/>
    <row r="7631" ht="15" customHeight="1" x14ac:dyDescent="0.25"/>
    <row r="7633" ht="15" customHeight="1" x14ac:dyDescent="0.25"/>
    <row r="7635" ht="15" customHeight="1" x14ac:dyDescent="0.25"/>
    <row r="7637" ht="15" customHeight="1" x14ac:dyDescent="0.25"/>
    <row r="7639" ht="15" customHeight="1" x14ac:dyDescent="0.25"/>
    <row r="7641" ht="15" customHeight="1" x14ac:dyDescent="0.25"/>
    <row r="7643" ht="15" customHeight="1" x14ac:dyDescent="0.25"/>
    <row r="7645" ht="15" customHeight="1" x14ac:dyDescent="0.25"/>
    <row r="7647" ht="15" customHeight="1" x14ac:dyDescent="0.25"/>
    <row r="7649" ht="15" customHeight="1" x14ac:dyDescent="0.25"/>
    <row r="7651" ht="15" customHeight="1" x14ac:dyDescent="0.25"/>
    <row r="7653" ht="15" customHeight="1" x14ac:dyDescent="0.25"/>
    <row r="7655" ht="15" customHeight="1" x14ac:dyDescent="0.25"/>
    <row r="7657" ht="15" customHeight="1" x14ac:dyDescent="0.25"/>
    <row r="7659" ht="15" customHeight="1" x14ac:dyDescent="0.25"/>
    <row r="7661" ht="15" customHeight="1" x14ac:dyDescent="0.25"/>
    <row r="7663" ht="15" customHeight="1" x14ac:dyDescent="0.25"/>
    <row r="7665" ht="15" customHeight="1" x14ac:dyDescent="0.25"/>
    <row r="7667" ht="15" customHeight="1" x14ac:dyDescent="0.25"/>
    <row r="7669" ht="15" customHeight="1" x14ac:dyDescent="0.25"/>
    <row r="7671" ht="15" customHeight="1" x14ac:dyDescent="0.25"/>
    <row r="7673" ht="15" customHeight="1" x14ac:dyDescent="0.25"/>
    <row r="7675" ht="15" customHeight="1" x14ac:dyDescent="0.25"/>
    <row r="7677" ht="15" customHeight="1" x14ac:dyDescent="0.25"/>
    <row r="7679" ht="15" customHeight="1" x14ac:dyDescent="0.25"/>
    <row r="7681" ht="15" customHeight="1" x14ac:dyDescent="0.25"/>
    <row r="7683" ht="15" customHeight="1" x14ac:dyDescent="0.25"/>
    <row r="7685" ht="15" customHeight="1" x14ac:dyDescent="0.25"/>
    <row r="7687" ht="15" customHeight="1" x14ac:dyDescent="0.25"/>
    <row r="7689" ht="15" customHeight="1" x14ac:dyDescent="0.25"/>
    <row r="7691" ht="15" customHeight="1" x14ac:dyDescent="0.25"/>
    <row r="7693" ht="15" customHeight="1" x14ac:dyDescent="0.25"/>
    <row r="7695" ht="15" customHeight="1" x14ac:dyDescent="0.25"/>
    <row r="7697" ht="15" customHeight="1" x14ac:dyDescent="0.25"/>
    <row r="7699" ht="15" customHeight="1" x14ac:dyDescent="0.25"/>
    <row r="7701" ht="15" customHeight="1" x14ac:dyDescent="0.25"/>
    <row r="7703" ht="15" customHeight="1" x14ac:dyDescent="0.25"/>
    <row r="7705" ht="15" customHeight="1" x14ac:dyDescent="0.25"/>
    <row r="7707" ht="15" customHeight="1" x14ac:dyDescent="0.25"/>
    <row r="7709" ht="15" customHeight="1" x14ac:dyDescent="0.25"/>
    <row r="7711" ht="15" customHeight="1" x14ac:dyDescent="0.25"/>
    <row r="7713" ht="15" customHeight="1" x14ac:dyDescent="0.25"/>
    <row r="7715" ht="15" customHeight="1" x14ac:dyDescent="0.25"/>
    <row r="7717" ht="15" customHeight="1" x14ac:dyDescent="0.25"/>
    <row r="7719" ht="15" customHeight="1" x14ac:dyDescent="0.25"/>
    <row r="7721" ht="15" customHeight="1" x14ac:dyDescent="0.25"/>
    <row r="7723" ht="15" customHeight="1" x14ac:dyDescent="0.25"/>
    <row r="7725" ht="15" customHeight="1" x14ac:dyDescent="0.25"/>
    <row r="7727" ht="15" customHeight="1" x14ac:dyDescent="0.25"/>
    <row r="7729" ht="15" customHeight="1" x14ac:dyDescent="0.25"/>
    <row r="7731" ht="15" customHeight="1" x14ac:dyDescent="0.25"/>
    <row r="7733" ht="15" customHeight="1" x14ac:dyDescent="0.25"/>
    <row r="7735" ht="15" customHeight="1" x14ac:dyDescent="0.25"/>
    <row r="7737" ht="15" customHeight="1" x14ac:dyDescent="0.25"/>
    <row r="7739" ht="15" customHeight="1" x14ac:dyDescent="0.25"/>
    <row r="7741" ht="15" customHeight="1" x14ac:dyDescent="0.25"/>
    <row r="7743" ht="15" customHeight="1" x14ac:dyDescent="0.25"/>
    <row r="7745" ht="15" customHeight="1" x14ac:dyDescent="0.25"/>
    <row r="7747" ht="15" customHeight="1" x14ac:dyDescent="0.25"/>
    <row r="7749" ht="15" customHeight="1" x14ac:dyDescent="0.25"/>
    <row r="7751" ht="15" customHeight="1" x14ac:dyDescent="0.25"/>
    <row r="7753" ht="15" customHeight="1" x14ac:dyDescent="0.25"/>
    <row r="7755" ht="15" customHeight="1" x14ac:dyDescent="0.25"/>
    <row r="7757" ht="15" customHeight="1" x14ac:dyDescent="0.25"/>
    <row r="7759" ht="15" customHeight="1" x14ac:dyDescent="0.25"/>
    <row r="7761" ht="15" customHeight="1" x14ac:dyDescent="0.25"/>
    <row r="7763" ht="15" customHeight="1" x14ac:dyDescent="0.25"/>
    <row r="7765" ht="15" customHeight="1" x14ac:dyDescent="0.25"/>
    <row r="7767" ht="15" customHeight="1" x14ac:dyDescent="0.25"/>
    <row r="7769" ht="15" customHeight="1" x14ac:dyDescent="0.25"/>
    <row r="7771" ht="15" customHeight="1" x14ac:dyDescent="0.25"/>
    <row r="7773" ht="15" customHeight="1" x14ac:dyDescent="0.25"/>
    <row r="7775" ht="15" customHeight="1" x14ac:dyDescent="0.25"/>
    <row r="7777" ht="15" customHeight="1" x14ac:dyDescent="0.25"/>
    <row r="7779" ht="15" customHeight="1" x14ac:dyDescent="0.25"/>
    <row r="7781" ht="15" customHeight="1" x14ac:dyDescent="0.25"/>
    <row r="7783" ht="15" customHeight="1" x14ac:dyDescent="0.25"/>
    <row r="7785" ht="15" customHeight="1" x14ac:dyDescent="0.25"/>
    <row r="7787" ht="15" customHeight="1" x14ac:dyDescent="0.25"/>
    <row r="7789" ht="15" customHeight="1" x14ac:dyDescent="0.25"/>
    <row r="7791" ht="15" customHeight="1" x14ac:dyDescent="0.25"/>
    <row r="7793" ht="15" customHeight="1" x14ac:dyDescent="0.25"/>
    <row r="7795" ht="15" customHeight="1" x14ac:dyDescent="0.25"/>
    <row r="7797" ht="15" customHeight="1" x14ac:dyDescent="0.25"/>
    <row r="7799" ht="15" customHeight="1" x14ac:dyDescent="0.25"/>
    <row r="7801" ht="15" customHeight="1" x14ac:dyDescent="0.25"/>
    <row r="7803" ht="15" customHeight="1" x14ac:dyDescent="0.25"/>
    <row r="7805" ht="15" customHeight="1" x14ac:dyDescent="0.25"/>
    <row r="7807" ht="15" customHeight="1" x14ac:dyDescent="0.25"/>
    <row r="7809" ht="15" customHeight="1" x14ac:dyDescent="0.25"/>
    <row r="7811" ht="15" customHeight="1" x14ac:dyDescent="0.25"/>
    <row r="7813" ht="15" customHeight="1" x14ac:dyDescent="0.25"/>
    <row r="7815" ht="15" customHeight="1" x14ac:dyDescent="0.25"/>
    <row r="7817" ht="15" customHeight="1" x14ac:dyDescent="0.25"/>
    <row r="7819" ht="15" customHeight="1" x14ac:dyDescent="0.25"/>
    <row r="7821" ht="15" customHeight="1" x14ac:dyDescent="0.25"/>
    <row r="7823" ht="15" customHeight="1" x14ac:dyDescent="0.25"/>
    <row r="7825" ht="15" customHeight="1" x14ac:dyDescent="0.25"/>
    <row r="7827" ht="15" customHeight="1" x14ac:dyDescent="0.25"/>
    <row r="7829" ht="15" customHeight="1" x14ac:dyDescent="0.25"/>
    <row r="7831" ht="15" customHeight="1" x14ac:dyDescent="0.25"/>
    <row r="7833" ht="15" customHeight="1" x14ac:dyDescent="0.25"/>
    <row r="7835" ht="15" customHeight="1" x14ac:dyDescent="0.25"/>
    <row r="7837" ht="15" customHeight="1" x14ac:dyDescent="0.25"/>
    <row r="7839" ht="15" customHeight="1" x14ac:dyDescent="0.25"/>
    <row r="7841" ht="15" customHeight="1" x14ac:dyDescent="0.25"/>
    <row r="7843" ht="15" customHeight="1" x14ac:dyDescent="0.25"/>
    <row r="7845" ht="15" customHeight="1" x14ac:dyDescent="0.25"/>
    <row r="7847" ht="15" customHeight="1" x14ac:dyDescent="0.25"/>
    <row r="7849" ht="15" customHeight="1" x14ac:dyDescent="0.25"/>
    <row r="7851" ht="15" customHeight="1" x14ac:dyDescent="0.25"/>
    <row r="7853" ht="15" customHeight="1" x14ac:dyDescent="0.25"/>
    <row r="7855" ht="15" customHeight="1" x14ac:dyDescent="0.25"/>
    <row r="7857" ht="15" customHeight="1" x14ac:dyDescent="0.25"/>
    <row r="7859" ht="15" customHeight="1" x14ac:dyDescent="0.25"/>
    <row r="7861" ht="15" customHeight="1" x14ac:dyDescent="0.25"/>
    <row r="7863" ht="15" customHeight="1" x14ac:dyDescent="0.25"/>
    <row r="7865" ht="15" customHeight="1" x14ac:dyDescent="0.25"/>
    <row r="7867" ht="15" customHeight="1" x14ac:dyDescent="0.25"/>
    <row r="7869" ht="15" customHeight="1" x14ac:dyDescent="0.25"/>
    <row r="7871" ht="15" customHeight="1" x14ac:dyDescent="0.25"/>
    <row r="7873" ht="15" customHeight="1" x14ac:dyDescent="0.25"/>
    <row r="7875" ht="15" customHeight="1" x14ac:dyDescent="0.25"/>
    <row r="7877" ht="15" customHeight="1" x14ac:dyDescent="0.25"/>
    <row r="7879" ht="15" customHeight="1" x14ac:dyDescent="0.25"/>
    <row r="7881" ht="15" customHeight="1" x14ac:dyDescent="0.25"/>
    <row r="7883" ht="15" customHeight="1" x14ac:dyDescent="0.25"/>
    <row r="7885" ht="15" customHeight="1" x14ac:dyDescent="0.25"/>
    <row r="7887" ht="15" customHeight="1" x14ac:dyDescent="0.25"/>
    <row r="7889" ht="15" customHeight="1" x14ac:dyDescent="0.25"/>
    <row r="7891" ht="15" customHeight="1" x14ac:dyDescent="0.25"/>
    <row r="7893" ht="15" customHeight="1" x14ac:dyDescent="0.25"/>
    <row r="7895" ht="15" customHeight="1" x14ac:dyDescent="0.25"/>
    <row r="7897" ht="15" customHeight="1" x14ac:dyDescent="0.25"/>
    <row r="7899" ht="15" customHeight="1" x14ac:dyDescent="0.25"/>
    <row r="7901" ht="15" customHeight="1" x14ac:dyDescent="0.25"/>
    <row r="7903" ht="15" customHeight="1" x14ac:dyDescent="0.25"/>
    <row r="7905" ht="15" customHeight="1" x14ac:dyDescent="0.25"/>
    <row r="7907" ht="15" customHeight="1" x14ac:dyDescent="0.25"/>
    <row r="7909" ht="15" customHeight="1" x14ac:dyDescent="0.25"/>
    <row r="7911" ht="15" customHeight="1" x14ac:dyDescent="0.25"/>
    <row r="7913" ht="15" customHeight="1" x14ac:dyDescent="0.25"/>
    <row r="7915" ht="15" customHeight="1" x14ac:dyDescent="0.25"/>
    <row r="7917" ht="15" customHeight="1" x14ac:dyDescent="0.25"/>
    <row r="7919" ht="15" customHeight="1" x14ac:dyDescent="0.25"/>
    <row r="7921" ht="15" customHeight="1" x14ac:dyDescent="0.25"/>
    <row r="7923" ht="15" customHeight="1" x14ac:dyDescent="0.25"/>
    <row r="7925" ht="15" customHeight="1" x14ac:dyDescent="0.25"/>
    <row r="7927" ht="15" customHeight="1" x14ac:dyDescent="0.25"/>
    <row r="7929" ht="15" customHeight="1" x14ac:dyDescent="0.25"/>
    <row r="7931" ht="15" customHeight="1" x14ac:dyDescent="0.25"/>
    <row r="7933" ht="15" customHeight="1" x14ac:dyDescent="0.25"/>
    <row r="7935" ht="15" customHeight="1" x14ac:dyDescent="0.25"/>
    <row r="7937" ht="15" customHeight="1" x14ac:dyDescent="0.25"/>
    <row r="7939" ht="15" customHeight="1" x14ac:dyDescent="0.25"/>
    <row r="7941" ht="15" customHeight="1" x14ac:dyDescent="0.25"/>
    <row r="7943" ht="15" customHeight="1" x14ac:dyDescent="0.25"/>
    <row r="7945" ht="15" customHeight="1" x14ac:dyDescent="0.25"/>
    <row r="7947" ht="15" customHeight="1" x14ac:dyDescent="0.25"/>
    <row r="7949" ht="15" customHeight="1" x14ac:dyDescent="0.25"/>
    <row r="7951" ht="15" customHeight="1" x14ac:dyDescent="0.25"/>
    <row r="7953" ht="15" customHeight="1" x14ac:dyDescent="0.25"/>
    <row r="7955" ht="15" customHeight="1" x14ac:dyDescent="0.25"/>
    <row r="7957" ht="15" customHeight="1" x14ac:dyDescent="0.25"/>
    <row r="7959" ht="15" customHeight="1" x14ac:dyDescent="0.25"/>
    <row r="7961" ht="15" customHeight="1" x14ac:dyDescent="0.25"/>
    <row r="7963" ht="15" customHeight="1" x14ac:dyDescent="0.25"/>
    <row r="7965" ht="15" customHeight="1" x14ac:dyDescent="0.25"/>
    <row r="7967" ht="15" customHeight="1" x14ac:dyDescent="0.25"/>
    <row r="7969" ht="15" customHeight="1" x14ac:dyDescent="0.25"/>
    <row r="7971" ht="15" customHeight="1" x14ac:dyDescent="0.25"/>
    <row r="7973" ht="15" customHeight="1" x14ac:dyDescent="0.25"/>
    <row r="7975" ht="15" customHeight="1" x14ac:dyDescent="0.25"/>
    <row r="7977" ht="15" customHeight="1" x14ac:dyDescent="0.25"/>
    <row r="7979" ht="15" customHeight="1" x14ac:dyDescent="0.25"/>
    <row r="7981" ht="15" customHeight="1" x14ac:dyDescent="0.25"/>
    <row r="7983" ht="15" customHeight="1" x14ac:dyDescent="0.25"/>
    <row r="7985" ht="15" customHeight="1" x14ac:dyDescent="0.25"/>
    <row r="7987" ht="15" customHeight="1" x14ac:dyDescent="0.25"/>
    <row r="7989" ht="15" customHeight="1" x14ac:dyDescent="0.25"/>
    <row r="7991" ht="15" customHeight="1" x14ac:dyDescent="0.25"/>
    <row r="7993" ht="15" customHeight="1" x14ac:dyDescent="0.25"/>
    <row r="7995" ht="15" customHeight="1" x14ac:dyDescent="0.25"/>
    <row r="7997" ht="15" customHeight="1" x14ac:dyDescent="0.25"/>
    <row r="7999" ht="15" customHeight="1" x14ac:dyDescent="0.25"/>
    <row r="8001" ht="15" customHeight="1" x14ac:dyDescent="0.25"/>
    <row r="8003" ht="15" customHeight="1" x14ac:dyDescent="0.25"/>
    <row r="8005" ht="15" customHeight="1" x14ac:dyDescent="0.25"/>
    <row r="8007" ht="15" customHeight="1" x14ac:dyDescent="0.25"/>
    <row r="8009" ht="15" customHeight="1" x14ac:dyDescent="0.25"/>
    <row r="8011" ht="15" customHeight="1" x14ac:dyDescent="0.25"/>
    <row r="8013" ht="15" customHeight="1" x14ac:dyDescent="0.25"/>
    <row r="8015" ht="15" customHeight="1" x14ac:dyDescent="0.25"/>
    <row r="8017" ht="15" customHeight="1" x14ac:dyDescent="0.25"/>
    <row r="8019" ht="15" customHeight="1" x14ac:dyDescent="0.25"/>
    <row r="8021" ht="15" customHeight="1" x14ac:dyDescent="0.25"/>
    <row r="8023" ht="15" customHeight="1" x14ac:dyDescent="0.25"/>
    <row r="8025" ht="15" customHeight="1" x14ac:dyDescent="0.25"/>
    <row r="8027" ht="15" customHeight="1" x14ac:dyDescent="0.25"/>
    <row r="8029" ht="15" customHeight="1" x14ac:dyDescent="0.25"/>
    <row r="8031" ht="15" customHeight="1" x14ac:dyDescent="0.25"/>
    <row r="8033" ht="15" customHeight="1" x14ac:dyDescent="0.25"/>
    <row r="8035" ht="15" customHeight="1" x14ac:dyDescent="0.25"/>
    <row r="8037" ht="15" customHeight="1" x14ac:dyDescent="0.25"/>
    <row r="8039" ht="15" customHeight="1" x14ac:dyDescent="0.25"/>
    <row r="8041" ht="15" customHeight="1" x14ac:dyDescent="0.25"/>
    <row r="8043" ht="15" customHeight="1" x14ac:dyDescent="0.25"/>
    <row r="8045" ht="15" customHeight="1" x14ac:dyDescent="0.25"/>
    <row r="8047" ht="15" customHeight="1" x14ac:dyDescent="0.25"/>
    <row r="8049" ht="15" customHeight="1" x14ac:dyDescent="0.25"/>
    <row r="8051" ht="15" customHeight="1" x14ac:dyDescent="0.25"/>
    <row r="8053" ht="15" customHeight="1" x14ac:dyDescent="0.25"/>
    <row r="8055" ht="15" customHeight="1" x14ac:dyDescent="0.25"/>
    <row r="8057" ht="15" customHeight="1" x14ac:dyDescent="0.25"/>
    <row r="8059" ht="15" customHeight="1" x14ac:dyDescent="0.25"/>
    <row r="8061" ht="15" customHeight="1" x14ac:dyDescent="0.25"/>
    <row r="8063" ht="15" customHeight="1" x14ac:dyDescent="0.25"/>
    <row r="8065" ht="15" customHeight="1" x14ac:dyDescent="0.25"/>
    <row r="8067" ht="15" customHeight="1" x14ac:dyDescent="0.25"/>
    <row r="8069" ht="15" customHeight="1" x14ac:dyDescent="0.25"/>
    <row r="8071" ht="15" customHeight="1" x14ac:dyDescent="0.25"/>
    <row r="8073" ht="15" customHeight="1" x14ac:dyDescent="0.25"/>
    <row r="8075" ht="15" customHeight="1" x14ac:dyDescent="0.25"/>
    <row r="8077" ht="15" customHeight="1" x14ac:dyDescent="0.25"/>
    <row r="8079" ht="15" customHeight="1" x14ac:dyDescent="0.25"/>
    <row r="8081" ht="15" customHeight="1" x14ac:dyDescent="0.25"/>
    <row r="8083" ht="15" customHeight="1" x14ac:dyDescent="0.25"/>
    <row r="8085" ht="15" customHeight="1" x14ac:dyDescent="0.25"/>
    <row r="8087" ht="15" customHeight="1" x14ac:dyDescent="0.25"/>
    <row r="8089" ht="15" customHeight="1" x14ac:dyDescent="0.25"/>
    <row r="8091" ht="15" customHeight="1" x14ac:dyDescent="0.25"/>
    <row r="8093" ht="15" customHeight="1" x14ac:dyDescent="0.25"/>
    <row r="8095" ht="15" customHeight="1" x14ac:dyDescent="0.25"/>
    <row r="8097" ht="15" customHeight="1" x14ac:dyDescent="0.25"/>
    <row r="8099" ht="15" customHeight="1" x14ac:dyDescent="0.25"/>
    <row r="8101" ht="15" customHeight="1" x14ac:dyDescent="0.25"/>
    <row r="8103" ht="15" customHeight="1" x14ac:dyDescent="0.25"/>
    <row r="8105" ht="15" customHeight="1" x14ac:dyDescent="0.25"/>
    <row r="8107" ht="15" customHeight="1" x14ac:dyDescent="0.25"/>
    <row r="8109" ht="15" customHeight="1" x14ac:dyDescent="0.25"/>
    <row r="8111" ht="15" customHeight="1" x14ac:dyDescent="0.25"/>
    <row r="8113" ht="15" customHeight="1" x14ac:dyDescent="0.25"/>
    <row r="8115" ht="15" customHeight="1" x14ac:dyDescent="0.25"/>
    <row r="8117" ht="15" customHeight="1" x14ac:dyDescent="0.25"/>
    <row r="8119" ht="15" customHeight="1" x14ac:dyDescent="0.25"/>
    <row r="8121" ht="15" customHeight="1" x14ac:dyDescent="0.25"/>
    <row r="8123" ht="15" customHeight="1" x14ac:dyDescent="0.25"/>
    <row r="8125" ht="15" customHeight="1" x14ac:dyDescent="0.25"/>
    <row r="8127" ht="15" customHeight="1" x14ac:dyDescent="0.25"/>
    <row r="8129" ht="15" customHeight="1" x14ac:dyDescent="0.25"/>
    <row r="8131" ht="15" customHeight="1" x14ac:dyDescent="0.25"/>
    <row r="8133" ht="15" customHeight="1" x14ac:dyDescent="0.25"/>
    <row r="8135" ht="15" customHeight="1" x14ac:dyDescent="0.25"/>
    <row r="8137" ht="15" customHeight="1" x14ac:dyDescent="0.25"/>
    <row r="8139" ht="15" customHeight="1" x14ac:dyDescent="0.25"/>
    <row r="8141" ht="15" customHeight="1" x14ac:dyDescent="0.25"/>
    <row r="8143" ht="15" customHeight="1" x14ac:dyDescent="0.25"/>
    <row r="8145" ht="15" customHeight="1" x14ac:dyDescent="0.25"/>
    <row r="8147" ht="15" customHeight="1" x14ac:dyDescent="0.25"/>
    <row r="8149" ht="15" customHeight="1" x14ac:dyDescent="0.25"/>
    <row r="8151" ht="15" customHeight="1" x14ac:dyDescent="0.25"/>
    <row r="8153" ht="15" customHeight="1" x14ac:dyDescent="0.25"/>
    <row r="8155" ht="15" customHeight="1" x14ac:dyDescent="0.25"/>
    <row r="8157" ht="15" customHeight="1" x14ac:dyDescent="0.25"/>
    <row r="8159" ht="15" customHeight="1" x14ac:dyDescent="0.25"/>
    <row r="8161" ht="15" customHeight="1" x14ac:dyDescent="0.25"/>
    <row r="8163" ht="15" customHeight="1" x14ac:dyDescent="0.25"/>
    <row r="8165" ht="15" customHeight="1" x14ac:dyDescent="0.25"/>
    <row r="8167" ht="15" customHeight="1" x14ac:dyDescent="0.25"/>
    <row r="8169" ht="15" customHeight="1" x14ac:dyDescent="0.25"/>
    <row r="8171" ht="15" customHeight="1" x14ac:dyDescent="0.25"/>
    <row r="8173" ht="15" customHeight="1" x14ac:dyDescent="0.25"/>
    <row r="8175" ht="15" customHeight="1" x14ac:dyDescent="0.25"/>
    <row r="8177" ht="15" customHeight="1" x14ac:dyDescent="0.25"/>
    <row r="8179" ht="15" customHeight="1" x14ac:dyDescent="0.25"/>
    <row r="8181" ht="15" customHeight="1" x14ac:dyDescent="0.25"/>
    <row r="8183" ht="15" customHeight="1" x14ac:dyDescent="0.25"/>
    <row r="8185" ht="15" customHeight="1" x14ac:dyDescent="0.25"/>
    <row r="8187" ht="15" customHeight="1" x14ac:dyDescent="0.25"/>
    <row r="8189" ht="15" customHeight="1" x14ac:dyDescent="0.25"/>
    <row r="8191" ht="15" customHeight="1" x14ac:dyDescent="0.25"/>
    <row r="8193" ht="15" customHeight="1" x14ac:dyDescent="0.25"/>
    <row r="8195" ht="15" customHeight="1" x14ac:dyDescent="0.25"/>
    <row r="8197" ht="15" customHeight="1" x14ac:dyDescent="0.25"/>
    <row r="8199" ht="15" customHeight="1" x14ac:dyDescent="0.25"/>
    <row r="8201" ht="15" customHeight="1" x14ac:dyDescent="0.25"/>
    <row r="8203" ht="15" customHeight="1" x14ac:dyDescent="0.25"/>
    <row r="8205" ht="15" customHeight="1" x14ac:dyDescent="0.25"/>
    <row r="8207" ht="15" customHeight="1" x14ac:dyDescent="0.25"/>
    <row r="8209" ht="15" customHeight="1" x14ac:dyDescent="0.25"/>
    <row r="8211" ht="15" customHeight="1" x14ac:dyDescent="0.25"/>
    <row r="8213" ht="15" customHeight="1" x14ac:dyDescent="0.25"/>
    <row r="8215" ht="15" customHeight="1" x14ac:dyDescent="0.25"/>
    <row r="8217" ht="15" customHeight="1" x14ac:dyDescent="0.25"/>
    <row r="8219" ht="15" customHeight="1" x14ac:dyDescent="0.25"/>
    <row r="8221" ht="15" customHeight="1" x14ac:dyDescent="0.25"/>
    <row r="8223" ht="15" customHeight="1" x14ac:dyDescent="0.25"/>
    <row r="8225" ht="15" customHeight="1" x14ac:dyDescent="0.25"/>
    <row r="8227" ht="15" customHeight="1" x14ac:dyDescent="0.25"/>
    <row r="8229" ht="15" customHeight="1" x14ac:dyDescent="0.25"/>
    <row r="8231" ht="15" customHeight="1" x14ac:dyDescent="0.25"/>
    <row r="8233" ht="15" customHeight="1" x14ac:dyDescent="0.25"/>
    <row r="8235" ht="15" customHeight="1" x14ac:dyDescent="0.25"/>
    <row r="8237" ht="15" customHeight="1" x14ac:dyDescent="0.25"/>
    <row r="8239" ht="15" customHeight="1" x14ac:dyDescent="0.25"/>
    <row r="8241" ht="15" customHeight="1" x14ac:dyDescent="0.25"/>
    <row r="8243" ht="15" customHeight="1" x14ac:dyDescent="0.25"/>
    <row r="8245" ht="15" customHeight="1" x14ac:dyDescent="0.25"/>
    <row r="8247" ht="15" customHeight="1" x14ac:dyDescent="0.25"/>
    <row r="8249" ht="15" customHeight="1" x14ac:dyDescent="0.25"/>
    <row r="8251" ht="15" customHeight="1" x14ac:dyDescent="0.25"/>
    <row r="8253" ht="15" customHeight="1" x14ac:dyDescent="0.25"/>
    <row r="8255" ht="15" customHeight="1" x14ac:dyDescent="0.25"/>
    <row r="8257" ht="15" customHeight="1" x14ac:dyDescent="0.25"/>
    <row r="8259" ht="15" customHeight="1" x14ac:dyDescent="0.25"/>
    <row r="8261" ht="15" customHeight="1" x14ac:dyDescent="0.25"/>
    <row r="8263" ht="15" customHeight="1" x14ac:dyDescent="0.25"/>
    <row r="8265" ht="15" customHeight="1" x14ac:dyDescent="0.25"/>
    <row r="8267" ht="15" customHeight="1" x14ac:dyDescent="0.25"/>
    <row r="8269" ht="15" customHeight="1" x14ac:dyDescent="0.25"/>
    <row r="8271" ht="15" customHeight="1" x14ac:dyDescent="0.25"/>
    <row r="8273" ht="15" customHeight="1" x14ac:dyDescent="0.25"/>
    <row r="8275" ht="15" customHeight="1" x14ac:dyDescent="0.25"/>
    <row r="8277" ht="15" customHeight="1" x14ac:dyDescent="0.25"/>
    <row r="8279" ht="15" customHeight="1" x14ac:dyDescent="0.25"/>
    <row r="8281" ht="15" customHeight="1" x14ac:dyDescent="0.25"/>
    <row r="8283" ht="15" customHeight="1" x14ac:dyDescent="0.25"/>
    <row r="8285" ht="15" customHeight="1" x14ac:dyDescent="0.25"/>
    <row r="8287" ht="15" customHeight="1" x14ac:dyDescent="0.25"/>
    <row r="8289" ht="15" customHeight="1" x14ac:dyDescent="0.25"/>
    <row r="8291" ht="15" customHeight="1" x14ac:dyDescent="0.25"/>
    <row r="8293" ht="15" customHeight="1" x14ac:dyDescent="0.25"/>
    <row r="8295" ht="15" customHeight="1" x14ac:dyDescent="0.25"/>
    <row r="8297" ht="15" customHeight="1" x14ac:dyDescent="0.25"/>
    <row r="8299" ht="15" customHeight="1" x14ac:dyDescent="0.25"/>
    <row r="8301" ht="15" customHeight="1" x14ac:dyDescent="0.25"/>
    <row r="8303" ht="15" customHeight="1" x14ac:dyDescent="0.25"/>
    <row r="8305" ht="15" customHeight="1" x14ac:dyDescent="0.25"/>
    <row r="8307" ht="15" customHeight="1" x14ac:dyDescent="0.25"/>
    <row r="8309" ht="15" customHeight="1" x14ac:dyDescent="0.25"/>
    <row r="8311" ht="15" customHeight="1" x14ac:dyDescent="0.25"/>
    <row r="8313" ht="15" customHeight="1" x14ac:dyDescent="0.25"/>
    <row r="8315" ht="15" customHeight="1" x14ac:dyDescent="0.25"/>
    <row r="8317" ht="15" customHeight="1" x14ac:dyDescent="0.25"/>
    <row r="8319" ht="15" customHeight="1" x14ac:dyDescent="0.25"/>
    <row r="8321" ht="15" customHeight="1" x14ac:dyDescent="0.25"/>
    <row r="8323" ht="15" customHeight="1" x14ac:dyDescent="0.25"/>
    <row r="8325" ht="15" customHeight="1" x14ac:dyDescent="0.25"/>
    <row r="8327" ht="15" customHeight="1" x14ac:dyDescent="0.25"/>
    <row r="8329" ht="15" customHeight="1" x14ac:dyDescent="0.25"/>
    <row r="8331" ht="15" customHeight="1" x14ac:dyDescent="0.25"/>
    <row r="8333" ht="15" customHeight="1" x14ac:dyDescent="0.25"/>
    <row r="8335" ht="15" customHeight="1" x14ac:dyDescent="0.25"/>
    <row r="8337" ht="15" customHeight="1" x14ac:dyDescent="0.25"/>
    <row r="8339" ht="15" customHeight="1" x14ac:dyDescent="0.25"/>
    <row r="8341" ht="15" customHeight="1" x14ac:dyDescent="0.25"/>
    <row r="8343" ht="15" customHeight="1" x14ac:dyDescent="0.25"/>
    <row r="8345" ht="15" customHeight="1" x14ac:dyDescent="0.25"/>
    <row r="8347" ht="15" customHeight="1" x14ac:dyDescent="0.25"/>
    <row r="8349" ht="15" customHeight="1" x14ac:dyDescent="0.25"/>
    <row r="8351" ht="15" customHeight="1" x14ac:dyDescent="0.25"/>
    <row r="8353" ht="15" customHeight="1" x14ac:dyDescent="0.25"/>
    <row r="8355" ht="15" customHeight="1" x14ac:dyDescent="0.25"/>
    <row r="8357" ht="15" customHeight="1" x14ac:dyDescent="0.25"/>
    <row r="8359" ht="15" customHeight="1" x14ac:dyDescent="0.25"/>
    <row r="8361" ht="15" customHeight="1" x14ac:dyDescent="0.25"/>
    <row r="8363" ht="15" customHeight="1" x14ac:dyDescent="0.25"/>
    <row r="8365" ht="15" customHeight="1" x14ac:dyDescent="0.25"/>
    <row r="8367" ht="15" customHeight="1" x14ac:dyDescent="0.25"/>
    <row r="8369" ht="15" customHeight="1" x14ac:dyDescent="0.25"/>
    <row r="8371" ht="15" customHeight="1" x14ac:dyDescent="0.25"/>
    <row r="8373" ht="15" customHeight="1" x14ac:dyDescent="0.25"/>
    <row r="8375" ht="15" customHeight="1" x14ac:dyDescent="0.25"/>
    <row r="8377" ht="15" customHeight="1" x14ac:dyDescent="0.25"/>
    <row r="8379" ht="15" customHeight="1" x14ac:dyDescent="0.25"/>
    <row r="8381" ht="15" customHeight="1" x14ac:dyDescent="0.25"/>
    <row r="8383" ht="15" customHeight="1" x14ac:dyDescent="0.25"/>
    <row r="8385" ht="15" customHeight="1" x14ac:dyDescent="0.25"/>
    <row r="8387" ht="15" customHeight="1" x14ac:dyDescent="0.25"/>
    <row r="8389" ht="15" customHeight="1" x14ac:dyDescent="0.25"/>
    <row r="8391" ht="15" customHeight="1" x14ac:dyDescent="0.25"/>
    <row r="8393" ht="15" customHeight="1" x14ac:dyDescent="0.25"/>
    <row r="8395" ht="15" customHeight="1" x14ac:dyDescent="0.25"/>
    <row r="8397" ht="15" customHeight="1" x14ac:dyDescent="0.25"/>
    <row r="8399" ht="15" customHeight="1" x14ac:dyDescent="0.25"/>
    <row r="8401" ht="15" customHeight="1" x14ac:dyDescent="0.25"/>
    <row r="8403" ht="15" customHeight="1" x14ac:dyDescent="0.25"/>
    <row r="8405" ht="15" customHeight="1" x14ac:dyDescent="0.25"/>
    <row r="8407" ht="15" customHeight="1" x14ac:dyDescent="0.25"/>
    <row r="8409" ht="15" customHeight="1" x14ac:dyDescent="0.25"/>
    <row r="8411" ht="15" customHeight="1" x14ac:dyDescent="0.25"/>
    <row r="8413" ht="15" customHeight="1" x14ac:dyDescent="0.25"/>
    <row r="8415" ht="15" customHeight="1" x14ac:dyDescent="0.25"/>
    <row r="8417" ht="15" customHeight="1" x14ac:dyDescent="0.25"/>
    <row r="8419" ht="15" customHeight="1" x14ac:dyDescent="0.25"/>
    <row r="8421" ht="15" customHeight="1" x14ac:dyDescent="0.25"/>
    <row r="8423" ht="15" customHeight="1" x14ac:dyDescent="0.25"/>
    <row r="8425" ht="15" customHeight="1" x14ac:dyDescent="0.25"/>
    <row r="8427" ht="15" customHeight="1" x14ac:dyDescent="0.25"/>
    <row r="8429" ht="15" customHeight="1" x14ac:dyDescent="0.25"/>
    <row r="8431" ht="15" customHeight="1" x14ac:dyDescent="0.25"/>
    <row r="8433" ht="15" customHeight="1" x14ac:dyDescent="0.25"/>
    <row r="8435" ht="15" customHeight="1" x14ac:dyDescent="0.25"/>
    <row r="8437" ht="15" customHeight="1" x14ac:dyDescent="0.25"/>
    <row r="8439" ht="15" customHeight="1" x14ac:dyDescent="0.25"/>
    <row r="8441" ht="15" customHeight="1" x14ac:dyDescent="0.25"/>
    <row r="8443" ht="15" customHeight="1" x14ac:dyDescent="0.25"/>
    <row r="8445" ht="15" customHeight="1" x14ac:dyDescent="0.25"/>
    <row r="8447" ht="15" customHeight="1" x14ac:dyDescent="0.25"/>
    <row r="8449" ht="15" customHeight="1" x14ac:dyDescent="0.25"/>
    <row r="8451" ht="15" customHeight="1" x14ac:dyDescent="0.25"/>
    <row r="8453" ht="15" customHeight="1" x14ac:dyDescent="0.25"/>
    <row r="8455" ht="15" customHeight="1" x14ac:dyDescent="0.25"/>
    <row r="8457" ht="15" customHeight="1" x14ac:dyDescent="0.25"/>
    <row r="8459" ht="15" customHeight="1" x14ac:dyDescent="0.25"/>
    <row r="8461" ht="15" customHeight="1" x14ac:dyDescent="0.25"/>
    <row r="8463" ht="15" customHeight="1" x14ac:dyDescent="0.25"/>
    <row r="8465" ht="15" customHeight="1" x14ac:dyDescent="0.25"/>
    <row r="8467" ht="15" customHeight="1" x14ac:dyDescent="0.25"/>
    <row r="8469" ht="15" customHeight="1" x14ac:dyDescent="0.25"/>
    <row r="8471" ht="15" customHeight="1" x14ac:dyDescent="0.25"/>
    <row r="8473" ht="15" customHeight="1" x14ac:dyDescent="0.25"/>
    <row r="8475" ht="15" customHeight="1" x14ac:dyDescent="0.25"/>
    <row r="8477" ht="15" customHeight="1" x14ac:dyDescent="0.25"/>
    <row r="8479" ht="15" customHeight="1" x14ac:dyDescent="0.25"/>
    <row r="8481" ht="15" customHeight="1" x14ac:dyDescent="0.25"/>
    <row r="8483" ht="15" customHeight="1" x14ac:dyDescent="0.25"/>
    <row r="8485" ht="15" customHeight="1" x14ac:dyDescent="0.25"/>
    <row r="8487" ht="15" customHeight="1" x14ac:dyDescent="0.25"/>
    <row r="8489" ht="15" customHeight="1" x14ac:dyDescent="0.25"/>
    <row r="8491" ht="15" customHeight="1" x14ac:dyDescent="0.25"/>
    <row r="8493" ht="15" customHeight="1" x14ac:dyDescent="0.25"/>
    <row r="8495" ht="15" customHeight="1" x14ac:dyDescent="0.25"/>
    <row r="8497" ht="15" customHeight="1" x14ac:dyDescent="0.25"/>
    <row r="8499" ht="15" customHeight="1" x14ac:dyDescent="0.25"/>
    <row r="8501" ht="15" customHeight="1" x14ac:dyDescent="0.25"/>
    <row r="8503" ht="15" customHeight="1" x14ac:dyDescent="0.25"/>
    <row r="8505" ht="15" customHeight="1" x14ac:dyDescent="0.25"/>
    <row r="8507" ht="15" customHeight="1" x14ac:dyDescent="0.25"/>
    <row r="8509" ht="15" customHeight="1" x14ac:dyDescent="0.25"/>
    <row r="8511" ht="15" customHeight="1" x14ac:dyDescent="0.25"/>
    <row r="8513" ht="15" customHeight="1" x14ac:dyDescent="0.25"/>
    <row r="8515" ht="15" customHeight="1" x14ac:dyDescent="0.25"/>
    <row r="8517" ht="15" customHeight="1" x14ac:dyDescent="0.25"/>
    <row r="8519" ht="15" customHeight="1" x14ac:dyDescent="0.25"/>
    <row r="8521" ht="15" customHeight="1" x14ac:dyDescent="0.25"/>
    <row r="8523" ht="15" customHeight="1" x14ac:dyDescent="0.25"/>
    <row r="8525" ht="15" customHeight="1" x14ac:dyDescent="0.25"/>
    <row r="8527" ht="15" customHeight="1" x14ac:dyDescent="0.25"/>
    <row r="8529" ht="15" customHeight="1" x14ac:dyDescent="0.25"/>
    <row r="8531" ht="15" customHeight="1" x14ac:dyDescent="0.25"/>
    <row r="8533" ht="15" customHeight="1" x14ac:dyDescent="0.25"/>
    <row r="8535" ht="15" customHeight="1" x14ac:dyDescent="0.25"/>
    <row r="8537" ht="15" customHeight="1" x14ac:dyDescent="0.25"/>
    <row r="8539" ht="15" customHeight="1" x14ac:dyDescent="0.25"/>
    <row r="8541" ht="15" customHeight="1" x14ac:dyDescent="0.25"/>
    <row r="8543" ht="15" customHeight="1" x14ac:dyDescent="0.25"/>
    <row r="8545" ht="15" customHeight="1" x14ac:dyDescent="0.25"/>
    <row r="8547" ht="15" customHeight="1" x14ac:dyDescent="0.25"/>
    <row r="8549" ht="15" customHeight="1" x14ac:dyDescent="0.25"/>
    <row r="8551" ht="15" customHeight="1" x14ac:dyDescent="0.25"/>
    <row r="8553" ht="15" customHeight="1" x14ac:dyDescent="0.25"/>
    <row r="8555" ht="15" customHeight="1" x14ac:dyDescent="0.25"/>
    <row r="8557" ht="15" customHeight="1" x14ac:dyDescent="0.25"/>
    <row r="8559" ht="15" customHeight="1" x14ac:dyDescent="0.25"/>
    <row r="8561" ht="15" customHeight="1" x14ac:dyDescent="0.25"/>
    <row r="8563" ht="15" customHeight="1" x14ac:dyDescent="0.25"/>
    <row r="8565" ht="15" customHeight="1" x14ac:dyDescent="0.25"/>
    <row r="8567" ht="15" customHeight="1" x14ac:dyDescent="0.25"/>
    <row r="8569" ht="15" customHeight="1" x14ac:dyDescent="0.25"/>
    <row r="8571" ht="15" customHeight="1" x14ac:dyDescent="0.25"/>
    <row r="8573" ht="15" customHeight="1" x14ac:dyDescent="0.25"/>
    <row r="8575" ht="15" customHeight="1" x14ac:dyDescent="0.25"/>
    <row r="8577" ht="15" customHeight="1" x14ac:dyDescent="0.25"/>
    <row r="8579" ht="15" customHeight="1" x14ac:dyDescent="0.25"/>
    <row r="8581" ht="15" customHeight="1" x14ac:dyDescent="0.25"/>
    <row r="8583" ht="15" customHeight="1" x14ac:dyDescent="0.25"/>
    <row r="8585" ht="15" customHeight="1" x14ac:dyDescent="0.25"/>
    <row r="8587" ht="15" customHeight="1" x14ac:dyDescent="0.25"/>
    <row r="8589" ht="15" customHeight="1" x14ac:dyDescent="0.25"/>
    <row r="8591" ht="15" customHeight="1" x14ac:dyDescent="0.25"/>
    <row r="8593" ht="15" customHeight="1" x14ac:dyDescent="0.25"/>
    <row r="8595" ht="15" customHeight="1" x14ac:dyDescent="0.25"/>
    <row r="8597" ht="15" customHeight="1" x14ac:dyDescent="0.25"/>
    <row r="8599" ht="15" customHeight="1" x14ac:dyDescent="0.25"/>
    <row r="8601" ht="15" customHeight="1" x14ac:dyDescent="0.25"/>
    <row r="8603" ht="15" customHeight="1" x14ac:dyDescent="0.25"/>
    <row r="8605" ht="15" customHeight="1" x14ac:dyDescent="0.25"/>
    <row r="8607" ht="15" customHeight="1" x14ac:dyDescent="0.25"/>
    <row r="8609" ht="15" customHeight="1" x14ac:dyDescent="0.25"/>
    <row r="8611" ht="15" customHeight="1" x14ac:dyDescent="0.25"/>
    <row r="8613" ht="15" customHeight="1" x14ac:dyDescent="0.25"/>
    <row r="8615" ht="15" customHeight="1" x14ac:dyDescent="0.25"/>
    <row r="8617" ht="15" customHeight="1" x14ac:dyDescent="0.25"/>
    <row r="8619" ht="15" customHeight="1" x14ac:dyDescent="0.25"/>
    <row r="8621" ht="15" customHeight="1" x14ac:dyDescent="0.25"/>
    <row r="8623" ht="15" customHeight="1" x14ac:dyDescent="0.25"/>
    <row r="8625" ht="15" customHeight="1" x14ac:dyDescent="0.25"/>
    <row r="8627" ht="15" customHeight="1" x14ac:dyDescent="0.25"/>
    <row r="8629" ht="15" customHeight="1" x14ac:dyDescent="0.25"/>
    <row r="8631" ht="15" customHeight="1" x14ac:dyDescent="0.25"/>
    <row r="8633" ht="15" customHeight="1" x14ac:dyDescent="0.25"/>
    <row r="8635" ht="15" customHeight="1" x14ac:dyDescent="0.25"/>
    <row r="8637" ht="15" customHeight="1" x14ac:dyDescent="0.25"/>
    <row r="8639" ht="15" customHeight="1" x14ac:dyDescent="0.25"/>
    <row r="8641" ht="15" customHeight="1" x14ac:dyDescent="0.25"/>
    <row r="8643" ht="15" customHeight="1" x14ac:dyDescent="0.25"/>
    <row r="8645" ht="15" customHeight="1" x14ac:dyDescent="0.25"/>
    <row r="8647" ht="15" customHeight="1" x14ac:dyDescent="0.25"/>
    <row r="8649" ht="15" customHeight="1" x14ac:dyDescent="0.25"/>
    <row r="8651" ht="15" customHeight="1" x14ac:dyDescent="0.25"/>
    <row r="8653" ht="15" customHeight="1" x14ac:dyDescent="0.25"/>
    <row r="8655" ht="15" customHeight="1" x14ac:dyDescent="0.25"/>
    <row r="8657" ht="15" customHeight="1" x14ac:dyDescent="0.25"/>
    <row r="8659" ht="15" customHeight="1" x14ac:dyDescent="0.25"/>
    <row r="8661" ht="15" customHeight="1" x14ac:dyDescent="0.25"/>
    <row r="8663" ht="15" customHeight="1" x14ac:dyDescent="0.25"/>
    <row r="8665" ht="15" customHeight="1" x14ac:dyDescent="0.25"/>
    <row r="8667" ht="15" customHeight="1" x14ac:dyDescent="0.25"/>
    <row r="8669" ht="15" customHeight="1" x14ac:dyDescent="0.25"/>
    <row r="8671" ht="15" customHeight="1" x14ac:dyDescent="0.25"/>
    <row r="8673" ht="15" customHeight="1" x14ac:dyDescent="0.25"/>
    <row r="8675" ht="15" customHeight="1" x14ac:dyDescent="0.25"/>
    <row r="8677" ht="15" customHeight="1" x14ac:dyDescent="0.25"/>
    <row r="8679" ht="15" customHeight="1" x14ac:dyDescent="0.25"/>
    <row r="8681" ht="15" customHeight="1" x14ac:dyDescent="0.25"/>
    <row r="8683" ht="15" customHeight="1" x14ac:dyDescent="0.25"/>
    <row r="8685" ht="15" customHeight="1" x14ac:dyDescent="0.25"/>
    <row r="8687" ht="15" customHeight="1" x14ac:dyDescent="0.25"/>
    <row r="8689" ht="15" customHeight="1" x14ac:dyDescent="0.25"/>
    <row r="8691" ht="15" customHeight="1" x14ac:dyDescent="0.25"/>
    <row r="8693" ht="15" customHeight="1" x14ac:dyDescent="0.25"/>
    <row r="8695" ht="15" customHeight="1" x14ac:dyDescent="0.25"/>
    <row r="8697" ht="15" customHeight="1" x14ac:dyDescent="0.25"/>
    <row r="8699" ht="15" customHeight="1" x14ac:dyDescent="0.25"/>
    <row r="8701" ht="15" customHeight="1" x14ac:dyDescent="0.25"/>
    <row r="8703" ht="15" customHeight="1" x14ac:dyDescent="0.25"/>
    <row r="8705" ht="15" customHeight="1" x14ac:dyDescent="0.25"/>
    <row r="8707" ht="15" customHeight="1" x14ac:dyDescent="0.25"/>
    <row r="8709" ht="15" customHeight="1" x14ac:dyDescent="0.25"/>
    <row r="8711" ht="15" customHeight="1" x14ac:dyDescent="0.25"/>
    <row r="8713" ht="15" customHeight="1" x14ac:dyDescent="0.25"/>
    <row r="8715" ht="15" customHeight="1" x14ac:dyDescent="0.25"/>
    <row r="8717" ht="15" customHeight="1" x14ac:dyDescent="0.25"/>
    <row r="8719" ht="15" customHeight="1" x14ac:dyDescent="0.25"/>
    <row r="8721" ht="15" customHeight="1" x14ac:dyDescent="0.25"/>
    <row r="8723" ht="15" customHeight="1" x14ac:dyDescent="0.25"/>
    <row r="8725" ht="15" customHeight="1" x14ac:dyDescent="0.25"/>
    <row r="8727" ht="15" customHeight="1" x14ac:dyDescent="0.25"/>
    <row r="8729" ht="15" customHeight="1" x14ac:dyDescent="0.25"/>
    <row r="8731" ht="15" customHeight="1" x14ac:dyDescent="0.25"/>
    <row r="8733" ht="15" customHeight="1" x14ac:dyDescent="0.25"/>
    <row r="8735" ht="15" customHeight="1" x14ac:dyDescent="0.25"/>
    <row r="8737" ht="15" customHeight="1" x14ac:dyDescent="0.25"/>
    <row r="8739" ht="15" customHeight="1" x14ac:dyDescent="0.25"/>
    <row r="8741" ht="15" customHeight="1" x14ac:dyDescent="0.25"/>
    <row r="8743" ht="15" customHeight="1" x14ac:dyDescent="0.25"/>
    <row r="8745" ht="15" customHeight="1" x14ac:dyDescent="0.25"/>
    <row r="8747" ht="15" customHeight="1" x14ac:dyDescent="0.25"/>
    <row r="8749" ht="15" customHeight="1" x14ac:dyDescent="0.25"/>
    <row r="8751" ht="15" customHeight="1" x14ac:dyDescent="0.25"/>
    <row r="8753" ht="15" customHeight="1" x14ac:dyDescent="0.25"/>
    <row r="8755" ht="15" customHeight="1" x14ac:dyDescent="0.25"/>
    <row r="8757" ht="15" customHeight="1" x14ac:dyDescent="0.25"/>
    <row r="8759" ht="15" customHeight="1" x14ac:dyDescent="0.25"/>
    <row r="8761" ht="15" customHeight="1" x14ac:dyDescent="0.25"/>
    <row r="8763" ht="15" customHeight="1" x14ac:dyDescent="0.25"/>
    <row r="8765" ht="15" customHeight="1" x14ac:dyDescent="0.25"/>
    <row r="8767" ht="15" customHeight="1" x14ac:dyDescent="0.25"/>
    <row r="8769" ht="15" customHeight="1" x14ac:dyDescent="0.25"/>
    <row r="8771" ht="15" customHeight="1" x14ac:dyDescent="0.25"/>
    <row r="8773" ht="15" customHeight="1" x14ac:dyDescent="0.25"/>
    <row r="8775" ht="15" customHeight="1" x14ac:dyDescent="0.25"/>
    <row r="8777" ht="15" customHeight="1" x14ac:dyDescent="0.25"/>
    <row r="8779" ht="15" customHeight="1" x14ac:dyDescent="0.25"/>
    <row r="8781" ht="15" customHeight="1" x14ac:dyDescent="0.25"/>
    <row r="8783" ht="15" customHeight="1" x14ac:dyDescent="0.25"/>
    <row r="8785" ht="15" customHeight="1" x14ac:dyDescent="0.25"/>
    <row r="8787" ht="15" customHeight="1" x14ac:dyDescent="0.25"/>
    <row r="8789" ht="15" customHeight="1" x14ac:dyDescent="0.25"/>
    <row r="8791" ht="15" customHeight="1" x14ac:dyDescent="0.25"/>
    <row r="8793" ht="15" customHeight="1" x14ac:dyDescent="0.25"/>
    <row r="8795" ht="15" customHeight="1" x14ac:dyDescent="0.25"/>
    <row r="8797" ht="15" customHeight="1" x14ac:dyDescent="0.25"/>
    <row r="8799" ht="15" customHeight="1" x14ac:dyDescent="0.25"/>
    <row r="8801" ht="15" customHeight="1" x14ac:dyDescent="0.25"/>
    <row r="8803" ht="15" customHeight="1" x14ac:dyDescent="0.25"/>
    <row r="8805" ht="15" customHeight="1" x14ac:dyDescent="0.25"/>
    <row r="8807" ht="15" customHeight="1" x14ac:dyDescent="0.25"/>
    <row r="8809" ht="15" customHeight="1" x14ac:dyDescent="0.25"/>
    <row r="8811" ht="15" customHeight="1" x14ac:dyDescent="0.25"/>
    <row r="8813" ht="15" customHeight="1" x14ac:dyDescent="0.25"/>
    <row r="8815" ht="15" customHeight="1" x14ac:dyDescent="0.25"/>
    <row r="8817" ht="15" customHeight="1" x14ac:dyDescent="0.25"/>
    <row r="8819" ht="15" customHeight="1" x14ac:dyDescent="0.25"/>
    <row r="8821" ht="15" customHeight="1" x14ac:dyDescent="0.25"/>
    <row r="8823" ht="15" customHeight="1" x14ac:dyDescent="0.25"/>
    <row r="8825" ht="15" customHeight="1" x14ac:dyDescent="0.25"/>
    <row r="8827" ht="15" customHeight="1" x14ac:dyDescent="0.25"/>
    <row r="8829" ht="15" customHeight="1" x14ac:dyDescent="0.25"/>
    <row r="8831" ht="15" customHeight="1" x14ac:dyDescent="0.25"/>
    <row r="8833" ht="15" customHeight="1" x14ac:dyDescent="0.25"/>
    <row r="8835" ht="15" customHeight="1" x14ac:dyDescent="0.25"/>
    <row r="8837" ht="15" customHeight="1" x14ac:dyDescent="0.25"/>
    <row r="8839" ht="15" customHeight="1" x14ac:dyDescent="0.25"/>
    <row r="8841" ht="15" customHeight="1" x14ac:dyDescent="0.25"/>
    <row r="8843" ht="15" customHeight="1" x14ac:dyDescent="0.25"/>
    <row r="8845" ht="15" customHeight="1" x14ac:dyDescent="0.25"/>
    <row r="8847" ht="15" customHeight="1" x14ac:dyDescent="0.25"/>
    <row r="8849" ht="15" customHeight="1" x14ac:dyDescent="0.25"/>
    <row r="8851" ht="15" customHeight="1" x14ac:dyDescent="0.25"/>
    <row r="8853" ht="15" customHeight="1" x14ac:dyDescent="0.25"/>
    <row r="8855" ht="15" customHeight="1" x14ac:dyDescent="0.25"/>
    <row r="8857" ht="15" customHeight="1" x14ac:dyDescent="0.25"/>
    <row r="8859" ht="15" customHeight="1" x14ac:dyDescent="0.25"/>
    <row r="8861" ht="15" customHeight="1" x14ac:dyDescent="0.25"/>
    <row r="8863" ht="15" customHeight="1" x14ac:dyDescent="0.25"/>
    <row r="8865" ht="15" customHeight="1" x14ac:dyDescent="0.25"/>
    <row r="8867" ht="15" customHeight="1" x14ac:dyDescent="0.25"/>
    <row r="8869" ht="15" customHeight="1" x14ac:dyDescent="0.25"/>
    <row r="8871" ht="15" customHeight="1" x14ac:dyDescent="0.25"/>
    <row r="8873" ht="15" customHeight="1" x14ac:dyDescent="0.25"/>
    <row r="8875" ht="15" customHeight="1" x14ac:dyDescent="0.25"/>
    <row r="8877" ht="15" customHeight="1" x14ac:dyDescent="0.25"/>
    <row r="8879" ht="15" customHeight="1" x14ac:dyDescent="0.25"/>
    <row r="8881" ht="15" customHeight="1" x14ac:dyDescent="0.25"/>
    <row r="8883" ht="15" customHeight="1" x14ac:dyDescent="0.25"/>
    <row r="8885" ht="15" customHeight="1" x14ac:dyDescent="0.25"/>
    <row r="8887" ht="15" customHeight="1" x14ac:dyDescent="0.25"/>
    <row r="8889" ht="15" customHeight="1" x14ac:dyDescent="0.25"/>
    <row r="8891" ht="15" customHeight="1" x14ac:dyDescent="0.25"/>
    <row r="8893" ht="15" customHeight="1" x14ac:dyDescent="0.25"/>
    <row r="8895" ht="15" customHeight="1" x14ac:dyDescent="0.25"/>
    <row r="8897" ht="15" customHeight="1" x14ac:dyDescent="0.25"/>
    <row r="8899" ht="15" customHeight="1" x14ac:dyDescent="0.25"/>
    <row r="8901" ht="15" customHeight="1" x14ac:dyDescent="0.25"/>
    <row r="8903" ht="15" customHeight="1" x14ac:dyDescent="0.25"/>
    <row r="8905" ht="15" customHeight="1" x14ac:dyDescent="0.25"/>
    <row r="8907" ht="15" customHeight="1" x14ac:dyDescent="0.25"/>
    <row r="8909" ht="15" customHeight="1" x14ac:dyDescent="0.25"/>
    <row r="8911" ht="15" customHeight="1" x14ac:dyDescent="0.25"/>
    <row r="8913" ht="15" customHeight="1" x14ac:dyDescent="0.25"/>
    <row r="8915" ht="15" customHeight="1" x14ac:dyDescent="0.25"/>
    <row r="8917" ht="15" customHeight="1" x14ac:dyDescent="0.25"/>
    <row r="8919" ht="15" customHeight="1" x14ac:dyDescent="0.25"/>
    <row r="8921" ht="15" customHeight="1" x14ac:dyDescent="0.25"/>
    <row r="8923" ht="15" customHeight="1" x14ac:dyDescent="0.25"/>
    <row r="8925" ht="15" customHeight="1" x14ac:dyDescent="0.25"/>
    <row r="8927" ht="15" customHeight="1" x14ac:dyDescent="0.25"/>
    <row r="8929" ht="15" customHeight="1" x14ac:dyDescent="0.25"/>
    <row r="8931" ht="15" customHeight="1" x14ac:dyDescent="0.25"/>
    <row r="8933" ht="15" customHeight="1" x14ac:dyDescent="0.25"/>
    <row r="8935" ht="15" customHeight="1" x14ac:dyDescent="0.25"/>
    <row r="8937" ht="15" customHeight="1" x14ac:dyDescent="0.25"/>
    <row r="8939" ht="15" customHeight="1" x14ac:dyDescent="0.25"/>
    <row r="8941" ht="15" customHeight="1" x14ac:dyDescent="0.25"/>
    <row r="8943" ht="15" customHeight="1" x14ac:dyDescent="0.25"/>
    <row r="8945" ht="15" customHeight="1" x14ac:dyDescent="0.25"/>
    <row r="8947" ht="15" customHeight="1" x14ac:dyDescent="0.25"/>
    <row r="8949" ht="15" customHeight="1" x14ac:dyDescent="0.25"/>
    <row r="8951" ht="15" customHeight="1" x14ac:dyDescent="0.25"/>
    <row r="8953" ht="15" customHeight="1" x14ac:dyDescent="0.25"/>
    <row r="8955" ht="15" customHeight="1" x14ac:dyDescent="0.25"/>
    <row r="8957" ht="15" customHeight="1" x14ac:dyDescent="0.25"/>
    <row r="8959" ht="15" customHeight="1" x14ac:dyDescent="0.25"/>
    <row r="8961" ht="15" customHeight="1" x14ac:dyDescent="0.25"/>
    <row r="8963" ht="15" customHeight="1" x14ac:dyDescent="0.25"/>
    <row r="8965" ht="15" customHeight="1" x14ac:dyDescent="0.25"/>
    <row r="8967" ht="15" customHeight="1" x14ac:dyDescent="0.25"/>
    <row r="8969" ht="15" customHeight="1" x14ac:dyDescent="0.25"/>
    <row r="8971" ht="15" customHeight="1" x14ac:dyDescent="0.25"/>
    <row r="8973" ht="15" customHeight="1" x14ac:dyDescent="0.25"/>
    <row r="8975" ht="15" customHeight="1" x14ac:dyDescent="0.25"/>
    <row r="8977" ht="15" customHeight="1" x14ac:dyDescent="0.25"/>
    <row r="8979" ht="15" customHeight="1" x14ac:dyDescent="0.25"/>
    <row r="8981" ht="15" customHeight="1" x14ac:dyDescent="0.25"/>
    <row r="8983" ht="15" customHeight="1" x14ac:dyDescent="0.25"/>
    <row r="8985" ht="15" customHeight="1" x14ac:dyDescent="0.25"/>
    <row r="8987" ht="15" customHeight="1" x14ac:dyDescent="0.25"/>
    <row r="8989" ht="15" customHeight="1" x14ac:dyDescent="0.25"/>
    <row r="8991" ht="15" customHeight="1" x14ac:dyDescent="0.25"/>
    <row r="8993" ht="15" customHeight="1" x14ac:dyDescent="0.25"/>
    <row r="8995" ht="15" customHeight="1" x14ac:dyDescent="0.25"/>
    <row r="8997" ht="15" customHeight="1" x14ac:dyDescent="0.25"/>
    <row r="8999" ht="15" customHeight="1" x14ac:dyDescent="0.25"/>
    <row r="9001" ht="15" customHeight="1" x14ac:dyDescent="0.25"/>
    <row r="9003" ht="15" customHeight="1" x14ac:dyDescent="0.25"/>
    <row r="9005" ht="15" customHeight="1" x14ac:dyDescent="0.25"/>
    <row r="9007" ht="15" customHeight="1" x14ac:dyDescent="0.25"/>
    <row r="9009" ht="15" customHeight="1" x14ac:dyDescent="0.25"/>
    <row r="9011" ht="15" customHeight="1" x14ac:dyDescent="0.25"/>
    <row r="9013" ht="15" customHeight="1" x14ac:dyDescent="0.25"/>
    <row r="9015" ht="15" customHeight="1" x14ac:dyDescent="0.25"/>
    <row r="9017" ht="15" customHeight="1" x14ac:dyDescent="0.25"/>
    <row r="9019" ht="15" customHeight="1" x14ac:dyDescent="0.25"/>
    <row r="9021" ht="15" customHeight="1" x14ac:dyDescent="0.25"/>
    <row r="9023" ht="15" customHeight="1" x14ac:dyDescent="0.25"/>
    <row r="9025" ht="15" customHeight="1" x14ac:dyDescent="0.25"/>
    <row r="9027" ht="15" customHeight="1" x14ac:dyDescent="0.25"/>
    <row r="9029" ht="15" customHeight="1" x14ac:dyDescent="0.25"/>
    <row r="9031" ht="15" customHeight="1" x14ac:dyDescent="0.25"/>
    <row r="9033" ht="15" customHeight="1" x14ac:dyDescent="0.25"/>
    <row r="9035" ht="15" customHeight="1" x14ac:dyDescent="0.25"/>
    <row r="9037" ht="15" customHeight="1" x14ac:dyDescent="0.25"/>
    <row r="9039" ht="15" customHeight="1" x14ac:dyDescent="0.25"/>
    <row r="9041" ht="15" customHeight="1" x14ac:dyDescent="0.25"/>
    <row r="9043" ht="15" customHeight="1" x14ac:dyDescent="0.25"/>
    <row r="9045" ht="15" customHeight="1" x14ac:dyDescent="0.25"/>
    <row r="9047" ht="15" customHeight="1" x14ac:dyDescent="0.25"/>
    <row r="9049" ht="15" customHeight="1" x14ac:dyDescent="0.25"/>
    <row r="9051" ht="15" customHeight="1" x14ac:dyDescent="0.25"/>
    <row r="9053" ht="15" customHeight="1" x14ac:dyDescent="0.25"/>
    <row r="9055" ht="15" customHeight="1" x14ac:dyDescent="0.25"/>
    <row r="9057" ht="15" customHeight="1" x14ac:dyDescent="0.25"/>
    <row r="9059" ht="15" customHeight="1" x14ac:dyDescent="0.25"/>
    <row r="9061" ht="15" customHeight="1" x14ac:dyDescent="0.25"/>
    <row r="9063" ht="15" customHeight="1" x14ac:dyDescent="0.25"/>
    <row r="9065" ht="15" customHeight="1" x14ac:dyDescent="0.25"/>
    <row r="9067" ht="15" customHeight="1" x14ac:dyDescent="0.25"/>
    <row r="9069" ht="15" customHeight="1" x14ac:dyDescent="0.25"/>
    <row r="9071" ht="15" customHeight="1" x14ac:dyDescent="0.25"/>
    <row r="9073" ht="15" customHeight="1" x14ac:dyDescent="0.25"/>
    <row r="9075" ht="15" customHeight="1" x14ac:dyDescent="0.25"/>
    <row r="9077" ht="15" customHeight="1" x14ac:dyDescent="0.25"/>
    <row r="9079" ht="15" customHeight="1" x14ac:dyDescent="0.25"/>
    <row r="9081" ht="15" customHeight="1" x14ac:dyDescent="0.25"/>
    <row r="9083" ht="15" customHeight="1" x14ac:dyDescent="0.25"/>
    <row r="9085" ht="15" customHeight="1" x14ac:dyDescent="0.25"/>
    <row r="9087" ht="15" customHeight="1" x14ac:dyDescent="0.25"/>
    <row r="9089" ht="15" customHeight="1" x14ac:dyDescent="0.25"/>
    <row r="9091" ht="15" customHeight="1" x14ac:dyDescent="0.25"/>
    <row r="9093" ht="15" customHeight="1" x14ac:dyDescent="0.25"/>
    <row r="9095" ht="15" customHeight="1" x14ac:dyDescent="0.25"/>
    <row r="9097" ht="15" customHeight="1" x14ac:dyDescent="0.25"/>
    <row r="9099" ht="15" customHeight="1" x14ac:dyDescent="0.25"/>
    <row r="9101" ht="15" customHeight="1" x14ac:dyDescent="0.25"/>
    <row r="9103" ht="15" customHeight="1" x14ac:dyDescent="0.25"/>
    <row r="9105" ht="15" customHeight="1" x14ac:dyDescent="0.25"/>
    <row r="9107" ht="15" customHeight="1" x14ac:dyDescent="0.25"/>
    <row r="9109" ht="15" customHeight="1" x14ac:dyDescent="0.25"/>
    <row r="9111" ht="15" customHeight="1" x14ac:dyDescent="0.25"/>
    <row r="9113" ht="15" customHeight="1" x14ac:dyDescent="0.25"/>
    <row r="9115" ht="15" customHeight="1" x14ac:dyDescent="0.25"/>
    <row r="9117" ht="15" customHeight="1" x14ac:dyDescent="0.25"/>
    <row r="9119" ht="15" customHeight="1" x14ac:dyDescent="0.25"/>
    <row r="9121" ht="15" customHeight="1" x14ac:dyDescent="0.25"/>
    <row r="9123" ht="15" customHeight="1" x14ac:dyDescent="0.25"/>
    <row r="9125" ht="15" customHeight="1" x14ac:dyDescent="0.25"/>
    <row r="9127" ht="15" customHeight="1" x14ac:dyDescent="0.25"/>
    <row r="9129" ht="15" customHeight="1" x14ac:dyDescent="0.25"/>
    <row r="9131" ht="15" customHeight="1" x14ac:dyDescent="0.25"/>
    <row r="9133" ht="15" customHeight="1" x14ac:dyDescent="0.25"/>
    <row r="9135" ht="15" customHeight="1" x14ac:dyDescent="0.25"/>
    <row r="9137" ht="15" customHeight="1" x14ac:dyDescent="0.25"/>
    <row r="9139" ht="15" customHeight="1" x14ac:dyDescent="0.25"/>
    <row r="9141" ht="15" customHeight="1" x14ac:dyDescent="0.25"/>
    <row r="9143" ht="15" customHeight="1" x14ac:dyDescent="0.25"/>
    <row r="9145" ht="15" customHeight="1" x14ac:dyDescent="0.25"/>
    <row r="9147" ht="15" customHeight="1" x14ac:dyDescent="0.25"/>
    <row r="9149" ht="15" customHeight="1" x14ac:dyDescent="0.25"/>
    <row r="9151" ht="15" customHeight="1" x14ac:dyDescent="0.25"/>
    <row r="9153" ht="15" customHeight="1" x14ac:dyDescent="0.25"/>
    <row r="9155" ht="15" customHeight="1" x14ac:dyDescent="0.25"/>
    <row r="9157" ht="15" customHeight="1" x14ac:dyDescent="0.25"/>
    <row r="9159" ht="15" customHeight="1" x14ac:dyDescent="0.25"/>
    <row r="9161" ht="15" customHeight="1" x14ac:dyDescent="0.25"/>
    <row r="9163" ht="15" customHeight="1" x14ac:dyDescent="0.25"/>
    <row r="9165" ht="15" customHeight="1" x14ac:dyDescent="0.25"/>
    <row r="9167" ht="15" customHeight="1" x14ac:dyDescent="0.25"/>
    <row r="9169" ht="15" customHeight="1" x14ac:dyDescent="0.25"/>
    <row r="9171" ht="15" customHeight="1" x14ac:dyDescent="0.25"/>
    <row r="9173" ht="15" customHeight="1" x14ac:dyDescent="0.25"/>
    <row r="9175" ht="15" customHeight="1" x14ac:dyDescent="0.25"/>
    <row r="9177" ht="15" customHeight="1" x14ac:dyDescent="0.25"/>
    <row r="9179" ht="15" customHeight="1" x14ac:dyDescent="0.25"/>
    <row r="9181" ht="15" customHeight="1" x14ac:dyDescent="0.25"/>
    <row r="9183" ht="15" customHeight="1" x14ac:dyDescent="0.25"/>
    <row r="9185" ht="15" customHeight="1" x14ac:dyDescent="0.25"/>
    <row r="9187" ht="15" customHeight="1" x14ac:dyDescent="0.25"/>
    <row r="9189" ht="15" customHeight="1" x14ac:dyDescent="0.25"/>
    <row r="9191" ht="15" customHeight="1" x14ac:dyDescent="0.25"/>
    <row r="9193" ht="15" customHeight="1" x14ac:dyDescent="0.25"/>
    <row r="9195" ht="15" customHeight="1" x14ac:dyDescent="0.25"/>
    <row r="9197" ht="15" customHeight="1" x14ac:dyDescent="0.25"/>
    <row r="9199" ht="15" customHeight="1" x14ac:dyDescent="0.25"/>
    <row r="9201" ht="15" customHeight="1" x14ac:dyDescent="0.25"/>
    <row r="9203" ht="15" customHeight="1" x14ac:dyDescent="0.25"/>
    <row r="9205" ht="15" customHeight="1" x14ac:dyDescent="0.25"/>
    <row r="9207" ht="15" customHeight="1" x14ac:dyDescent="0.25"/>
    <row r="9209" ht="15" customHeight="1" x14ac:dyDescent="0.25"/>
    <row r="9211" ht="15" customHeight="1" x14ac:dyDescent="0.25"/>
    <row r="9213" ht="15" customHeight="1" x14ac:dyDescent="0.25"/>
    <row r="9215" ht="15" customHeight="1" x14ac:dyDescent="0.25"/>
    <row r="9217" ht="15" customHeight="1" x14ac:dyDescent="0.25"/>
    <row r="9219" ht="15" customHeight="1" x14ac:dyDescent="0.25"/>
    <row r="9221" ht="15" customHeight="1" x14ac:dyDescent="0.25"/>
    <row r="9223" ht="15" customHeight="1" x14ac:dyDescent="0.25"/>
    <row r="9225" ht="15" customHeight="1" x14ac:dyDescent="0.25"/>
    <row r="9227" ht="15" customHeight="1" x14ac:dyDescent="0.25"/>
    <row r="9229" ht="15" customHeight="1" x14ac:dyDescent="0.25"/>
    <row r="9231" ht="15" customHeight="1" x14ac:dyDescent="0.25"/>
    <row r="9233" ht="15" customHeight="1" x14ac:dyDescent="0.25"/>
    <row r="9235" ht="15" customHeight="1" x14ac:dyDescent="0.25"/>
    <row r="9237" ht="15" customHeight="1" x14ac:dyDescent="0.25"/>
    <row r="9239" ht="15" customHeight="1" x14ac:dyDescent="0.25"/>
    <row r="9241" ht="15" customHeight="1" x14ac:dyDescent="0.25"/>
    <row r="9243" ht="15" customHeight="1" x14ac:dyDescent="0.25"/>
    <row r="9245" ht="15" customHeight="1" x14ac:dyDescent="0.25"/>
    <row r="9247" ht="15" customHeight="1" x14ac:dyDescent="0.25"/>
    <row r="9249" ht="15" customHeight="1" x14ac:dyDescent="0.25"/>
    <row r="9251" ht="15" customHeight="1" x14ac:dyDescent="0.25"/>
    <row r="9253" ht="15" customHeight="1" x14ac:dyDescent="0.25"/>
    <row r="9255" ht="15" customHeight="1" x14ac:dyDescent="0.25"/>
    <row r="9257" ht="15" customHeight="1" x14ac:dyDescent="0.25"/>
    <row r="9259" ht="15" customHeight="1" x14ac:dyDescent="0.25"/>
    <row r="9261" ht="15" customHeight="1" x14ac:dyDescent="0.25"/>
    <row r="9263" ht="15" customHeight="1" x14ac:dyDescent="0.25"/>
    <row r="9265" ht="15" customHeight="1" x14ac:dyDescent="0.25"/>
    <row r="9267" ht="15" customHeight="1" x14ac:dyDescent="0.25"/>
    <row r="9269" ht="15" customHeight="1" x14ac:dyDescent="0.25"/>
    <row r="9271" ht="15" customHeight="1" x14ac:dyDescent="0.25"/>
    <row r="9273" ht="15" customHeight="1" x14ac:dyDescent="0.25"/>
    <row r="9275" ht="15" customHeight="1" x14ac:dyDescent="0.25"/>
    <row r="9277" ht="15" customHeight="1" x14ac:dyDescent="0.25"/>
    <row r="9279" ht="15" customHeight="1" x14ac:dyDescent="0.25"/>
    <row r="9281" ht="15" customHeight="1" x14ac:dyDescent="0.25"/>
    <row r="9283" ht="15" customHeight="1" x14ac:dyDescent="0.25"/>
    <row r="9285" ht="15" customHeight="1" x14ac:dyDescent="0.25"/>
    <row r="9287" ht="15" customHeight="1" x14ac:dyDescent="0.25"/>
    <row r="9289" ht="15" customHeight="1" x14ac:dyDescent="0.25"/>
    <row r="9291" ht="15" customHeight="1" x14ac:dyDescent="0.25"/>
    <row r="9293" ht="15" customHeight="1" x14ac:dyDescent="0.25"/>
    <row r="9295" ht="15" customHeight="1" x14ac:dyDescent="0.25"/>
    <row r="9297" ht="15" customHeight="1" x14ac:dyDescent="0.25"/>
    <row r="9299" ht="15" customHeight="1" x14ac:dyDescent="0.25"/>
    <row r="9301" ht="15" customHeight="1" x14ac:dyDescent="0.25"/>
    <row r="9303" ht="15" customHeight="1" x14ac:dyDescent="0.25"/>
    <row r="9305" ht="15" customHeight="1" x14ac:dyDescent="0.25"/>
    <row r="9307" ht="15" customHeight="1" x14ac:dyDescent="0.25"/>
    <row r="9309" ht="15" customHeight="1" x14ac:dyDescent="0.25"/>
    <row r="9311" ht="15" customHeight="1" x14ac:dyDescent="0.25"/>
    <row r="9313" ht="15" customHeight="1" x14ac:dyDescent="0.25"/>
    <row r="9315" ht="15" customHeight="1" x14ac:dyDescent="0.25"/>
    <row r="9317" ht="15" customHeight="1" x14ac:dyDescent="0.25"/>
    <row r="9319" ht="15" customHeight="1" x14ac:dyDescent="0.25"/>
    <row r="9321" ht="15" customHeight="1" x14ac:dyDescent="0.25"/>
    <row r="9323" ht="15" customHeight="1" x14ac:dyDescent="0.25"/>
    <row r="9325" ht="15" customHeight="1" x14ac:dyDescent="0.25"/>
    <row r="9327" ht="15" customHeight="1" x14ac:dyDescent="0.25"/>
    <row r="9329" ht="15" customHeight="1" x14ac:dyDescent="0.25"/>
    <row r="9331" ht="15" customHeight="1" x14ac:dyDescent="0.25"/>
    <row r="9333" ht="15" customHeight="1" x14ac:dyDescent="0.25"/>
    <row r="9335" ht="15" customHeight="1" x14ac:dyDescent="0.25"/>
    <row r="9337" ht="15" customHeight="1" x14ac:dyDescent="0.25"/>
    <row r="9339" ht="15" customHeight="1" x14ac:dyDescent="0.25"/>
    <row r="9341" ht="15" customHeight="1" x14ac:dyDescent="0.25"/>
    <row r="9343" ht="15" customHeight="1" x14ac:dyDescent="0.25"/>
    <row r="9345" ht="15" customHeight="1" x14ac:dyDescent="0.25"/>
    <row r="9347" ht="15" customHeight="1" x14ac:dyDescent="0.25"/>
    <row r="9349" ht="15" customHeight="1" x14ac:dyDescent="0.25"/>
    <row r="9351" ht="15" customHeight="1" x14ac:dyDescent="0.25"/>
    <row r="9353" ht="15" customHeight="1" x14ac:dyDescent="0.25"/>
    <row r="9355" ht="15" customHeight="1" x14ac:dyDescent="0.25"/>
    <row r="9357" ht="15" customHeight="1" x14ac:dyDescent="0.25"/>
    <row r="9359" ht="15" customHeight="1" x14ac:dyDescent="0.25"/>
    <row r="9361" ht="15" customHeight="1" x14ac:dyDescent="0.25"/>
    <row r="9363" ht="15" customHeight="1" x14ac:dyDescent="0.25"/>
    <row r="9365" ht="15" customHeight="1" x14ac:dyDescent="0.25"/>
    <row r="9367" ht="15" customHeight="1" x14ac:dyDescent="0.25"/>
    <row r="9369" ht="15" customHeight="1" x14ac:dyDescent="0.25"/>
    <row r="9371" ht="15" customHeight="1" x14ac:dyDescent="0.25"/>
    <row r="9373" ht="15" customHeight="1" x14ac:dyDescent="0.25"/>
    <row r="9375" ht="15" customHeight="1" x14ac:dyDescent="0.25"/>
    <row r="9377" ht="15" customHeight="1" x14ac:dyDescent="0.25"/>
    <row r="9379" ht="15" customHeight="1" x14ac:dyDescent="0.25"/>
    <row r="9381" ht="15" customHeight="1" x14ac:dyDescent="0.25"/>
    <row r="9383" ht="15" customHeight="1" x14ac:dyDescent="0.25"/>
    <row r="9385" ht="15" customHeight="1" x14ac:dyDescent="0.25"/>
    <row r="9387" ht="15" customHeight="1" x14ac:dyDescent="0.25"/>
    <row r="9389" ht="15" customHeight="1" x14ac:dyDescent="0.25"/>
    <row r="9391" ht="15" customHeight="1" x14ac:dyDescent="0.25"/>
    <row r="9393" ht="15" customHeight="1" x14ac:dyDescent="0.25"/>
    <row r="9395" ht="15" customHeight="1" x14ac:dyDescent="0.25"/>
    <row r="9397" ht="15" customHeight="1" x14ac:dyDescent="0.25"/>
    <row r="9399" ht="15" customHeight="1" x14ac:dyDescent="0.25"/>
    <row r="9401" ht="15" customHeight="1" x14ac:dyDescent="0.25"/>
    <row r="9403" ht="15" customHeight="1" x14ac:dyDescent="0.25"/>
    <row r="9405" ht="15" customHeight="1" x14ac:dyDescent="0.25"/>
    <row r="9407" ht="15" customHeight="1" x14ac:dyDescent="0.25"/>
    <row r="9409" ht="15" customHeight="1" x14ac:dyDescent="0.25"/>
    <row r="9411" ht="15" customHeight="1" x14ac:dyDescent="0.25"/>
    <row r="9413" ht="15" customHeight="1" x14ac:dyDescent="0.25"/>
    <row r="9415" ht="15" customHeight="1" x14ac:dyDescent="0.25"/>
    <row r="9417" ht="15" customHeight="1" x14ac:dyDescent="0.25"/>
    <row r="9419" ht="15" customHeight="1" x14ac:dyDescent="0.25"/>
    <row r="9421" ht="15" customHeight="1" x14ac:dyDescent="0.25"/>
    <row r="9423" ht="15" customHeight="1" x14ac:dyDescent="0.25"/>
    <row r="9425" ht="15" customHeight="1" x14ac:dyDescent="0.25"/>
    <row r="9427" ht="15" customHeight="1" x14ac:dyDescent="0.25"/>
    <row r="9429" ht="15" customHeight="1" x14ac:dyDescent="0.25"/>
    <row r="9431" ht="15" customHeight="1" x14ac:dyDescent="0.25"/>
    <row r="9433" ht="15" customHeight="1" x14ac:dyDescent="0.25"/>
    <row r="9435" ht="15" customHeight="1" x14ac:dyDescent="0.25"/>
    <row r="9437" ht="15" customHeight="1" x14ac:dyDescent="0.25"/>
    <row r="9439" ht="15" customHeight="1" x14ac:dyDescent="0.25"/>
    <row r="9441" ht="15" customHeight="1" x14ac:dyDescent="0.25"/>
    <row r="9443" ht="15" customHeight="1" x14ac:dyDescent="0.25"/>
    <row r="9445" ht="15" customHeight="1" x14ac:dyDescent="0.25"/>
    <row r="9447" ht="15" customHeight="1" x14ac:dyDescent="0.25"/>
    <row r="9449" ht="15" customHeight="1" x14ac:dyDescent="0.25"/>
    <row r="9451" ht="15" customHeight="1" x14ac:dyDescent="0.25"/>
    <row r="9453" ht="15" customHeight="1" x14ac:dyDescent="0.25"/>
    <row r="9455" ht="15" customHeight="1" x14ac:dyDescent="0.25"/>
    <row r="9457" ht="15" customHeight="1" x14ac:dyDescent="0.25"/>
    <row r="9459" ht="15" customHeight="1" x14ac:dyDescent="0.25"/>
    <row r="9461" ht="15" customHeight="1" x14ac:dyDescent="0.25"/>
    <row r="9463" ht="15" customHeight="1" x14ac:dyDescent="0.25"/>
    <row r="9465" ht="15" customHeight="1" x14ac:dyDescent="0.25"/>
    <row r="9467" ht="15" customHeight="1" x14ac:dyDescent="0.25"/>
    <row r="9469" ht="15" customHeight="1" x14ac:dyDescent="0.25"/>
    <row r="9471" ht="15" customHeight="1" x14ac:dyDescent="0.25"/>
    <row r="9473" ht="15" customHeight="1" x14ac:dyDescent="0.25"/>
    <row r="9475" ht="15" customHeight="1" x14ac:dyDescent="0.25"/>
    <row r="9477" ht="15" customHeight="1" x14ac:dyDescent="0.25"/>
    <row r="9479" ht="15" customHeight="1" x14ac:dyDescent="0.25"/>
    <row r="9481" ht="15" customHeight="1" x14ac:dyDescent="0.25"/>
    <row r="9483" ht="15" customHeight="1" x14ac:dyDescent="0.25"/>
    <row r="9485" ht="15" customHeight="1" x14ac:dyDescent="0.25"/>
    <row r="9487" ht="15" customHeight="1" x14ac:dyDescent="0.25"/>
    <row r="9489" ht="15" customHeight="1" x14ac:dyDescent="0.25"/>
    <row r="9491" ht="15" customHeight="1" x14ac:dyDescent="0.25"/>
    <row r="9493" ht="15" customHeight="1" x14ac:dyDescent="0.25"/>
    <row r="9495" ht="15" customHeight="1" x14ac:dyDescent="0.25"/>
    <row r="9497" ht="15" customHeight="1" x14ac:dyDescent="0.25"/>
    <row r="9499" ht="15" customHeight="1" x14ac:dyDescent="0.25"/>
    <row r="9501" ht="15" customHeight="1" x14ac:dyDescent="0.25"/>
    <row r="9503" ht="15" customHeight="1" x14ac:dyDescent="0.25"/>
    <row r="9505" ht="15" customHeight="1" x14ac:dyDescent="0.25"/>
    <row r="9507" ht="15" customHeight="1" x14ac:dyDescent="0.25"/>
    <row r="9509" ht="15" customHeight="1" x14ac:dyDescent="0.25"/>
    <row r="9511" ht="15" customHeight="1" x14ac:dyDescent="0.25"/>
    <row r="9513" ht="15" customHeight="1" x14ac:dyDescent="0.25"/>
    <row r="9515" ht="15" customHeight="1" x14ac:dyDescent="0.25"/>
    <row r="9517" ht="15" customHeight="1" x14ac:dyDescent="0.25"/>
    <row r="9519" ht="15" customHeight="1" x14ac:dyDescent="0.25"/>
    <row r="9521" ht="15" customHeight="1" x14ac:dyDescent="0.25"/>
    <row r="9523" ht="15" customHeight="1" x14ac:dyDescent="0.25"/>
    <row r="9525" ht="15" customHeight="1" x14ac:dyDescent="0.25"/>
    <row r="9527" ht="15" customHeight="1" x14ac:dyDescent="0.25"/>
    <row r="9529" ht="15" customHeight="1" x14ac:dyDescent="0.25"/>
    <row r="9531" ht="15" customHeight="1" x14ac:dyDescent="0.25"/>
    <row r="9533" ht="15" customHeight="1" x14ac:dyDescent="0.25"/>
    <row r="9535" ht="15" customHeight="1" x14ac:dyDescent="0.25"/>
    <row r="9537" ht="15" customHeight="1" x14ac:dyDescent="0.25"/>
    <row r="9539" ht="15" customHeight="1" x14ac:dyDescent="0.25"/>
    <row r="9541" ht="15" customHeight="1" x14ac:dyDescent="0.25"/>
    <row r="9543" ht="15" customHeight="1" x14ac:dyDescent="0.25"/>
    <row r="9545" ht="15" customHeight="1" x14ac:dyDescent="0.25"/>
    <row r="9547" ht="15" customHeight="1" x14ac:dyDescent="0.25"/>
    <row r="9549" ht="15" customHeight="1" x14ac:dyDescent="0.25"/>
    <row r="9551" ht="15" customHeight="1" x14ac:dyDescent="0.25"/>
    <row r="9553" ht="15" customHeight="1" x14ac:dyDescent="0.25"/>
    <row r="9555" ht="15" customHeight="1" x14ac:dyDescent="0.25"/>
    <row r="9557" ht="15" customHeight="1" x14ac:dyDescent="0.25"/>
    <row r="9559" ht="15" customHeight="1" x14ac:dyDescent="0.25"/>
    <row r="9561" ht="15" customHeight="1" x14ac:dyDescent="0.25"/>
    <row r="9563" ht="15" customHeight="1" x14ac:dyDescent="0.25"/>
    <row r="9565" ht="15" customHeight="1" x14ac:dyDescent="0.25"/>
    <row r="9567" ht="15" customHeight="1" x14ac:dyDescent="0.25"/>
    <row r="9569" ht="15" customHeight="1" x14ac:dyDescent="0.25"/>
    <row r="9571" ht="15" customHeight="1" x14ac:dyDescent="0.25"/>
    <row r="9573" ht="15" customHeight="1" x14ac:dyDescent="0.25"/>
    <row r="9575" ht="15" customHeight="1" x14ac:dyDescent="0.25"/>
    <row r="9577" ht="15" customHeight="1" x14ac:dyDescent="0.25"/>
    <row r="9579" ht="15" customHeight="1" x14ac:dyDescent="0.25"/>
    <row r="9581" ht="15" customHeight="1" x14ac:dyDescent="0.25"/>
    <row r="9583" ht="15" customHeight="1" x14ac:dyDescent="0.25"/>
    <row r="9585" ht="15" customHeight="1" x14ac:dyDescent="0.25"/>
    <row r="9587" ht="15" customHeight="1" x14ac:dyDescent="0.25"/>
    <row r="9589" ht="15" customHeight="1" x14ac:dyDescent="0.25"/>
    <row r="9591" ht="15" customHeight="1" x14ac:dyDescent="0.25"/>
    <row r="9593" ht="15" customHeight="1" x14ac:dyDescent="0.25"/>
    <row r="9595" ht="15" customHeight="1" x14ac:dyDescent="0.25"/>
    <row r="9597" ht="15" customHeight="1" x14ac:dyDescent="0.25"/>
    <row r="9599" ht="15" customHeight="1" x14ac:dyDescent="0.25"/>
    <row r="9601" ht="15" customHeight="1" x14ac:dyDescent="0.25"/>
    <row r="9603" ht="15" customHeight="1" x14ac:dyDescent="0.25"/>
    <row r="9605" ht="15" customHeight="1" x14ac:dyDescent="0.25"/>
    <row r="9607" ht="15" customHeight="1" x14ac:dyDescent="0.25"/>
    <row r="9609" ht="15" customHeight="1" x14ac:dyDescent="0.25"/>
    <row r="9611" ht="15" customHeight="1" x14ac:dyDescent="0.25"/>
    <row r="9613" ht="15" customHeight="1" x14ac:dyDescent="0.25"/>
    <row r="9615" ht="15" customHeight="1" x14ac:dyDescent="0.25"/>
    <row r="9617" ht="15" customHeight="1" x14ac:dyDescent="0.25"/>
    <row r="9619" ht="15" customHeight="1" x14ac:dyDescent="0.25"/>
    <row r="9621" ht="15" customHeight="1" x14ac:dyDescent="0.25"/>
    <row r="9623" ht="15" customHeight="1" x14ac:dyDescent="0.25"/>
    <row r="9625" ht="15" customHeight="1" x14ac:dyDescent="0.25"/>
    <row r="9627" ht="15" customHeight="1" x14ac:dyDescent="0.25"/>
    <row r="9629" ht="15" customHeight="1" x14ac:dyDescent="0.25"/>
    <row r="9631" ht="15" customHeight="1" x14ac:dyDescent="0.25"/>
    <row r="9633" ht="15" customHeight="1" x14ac:dyDescent="0.25"/>
    <row r="9635" ht="15" customHeight="1" x14ac:dyDescent="0.25"/>
    <row r="9637" ht="15" customHeight="1" x14ac:dyDescent="0.25"/>
    <row r="9639" ht="15" customHeight="1" x14ac:dyDescent="0.25"/>
    <row r="9641" ht="15" customHeight="1" x14ac:dyDescent="0.25"/>
    <row r="9643" ht="15" customHeight="1" x14ac:dyDescent="0.25"/>
    <row r="9645" ht="15" customHeight="1" x14ac:dyDescent="0.25"/>
    <row r="9647" ht="15" customHeight="1" x14ac:dyDescent="0.25"/>
    <row r="9649" ht="15" customHeight="1" x14ac:dyDescent="0.25"/>
    <row r="9651" ht="15" customHeight="1" x14ac:dyDescent="0.25"/>
    <row r="9653" ht="15" customHeight="1" x14ac:dyDescent="0.25"/>
    <row r="9655" ht="15" customHeight="1" x14ac:dyDescent="0.25"/>
    <row r="9657" ht="15" customHeight="1" x14ac:dyDescent="0.25"/>
    <row r="9659" ht="15" customHeight="1" x14ac:dyDescent="0.25"/>
    <row r="9661" ht="15" customHeight="1" x14ac:dyDescent="0.25"/>
    <row r="9663" ht="15" customHeight="1" x14ac:dyDescent="0.25"/>
    <row r="9665" ht="15" customHeight="1" x14ac:dyDescent="0.25"/>
    <row r="9667" ht="15" customHeight="1" x14ac:dyDescent="0.25"/>
    <row r="9669" ht="15" customHeight="1" x14ac:dyDescent="0.25"/>
    <row r="9671" ht="15" customHeight="1" x14ac:dyDescent="0.25"/>
    <row r="9673" ht="15" customHeight="1" x14ac:dyDescent="0.25"/>
    <row r="9675" ht="15" customHeight="1" x14ac:dyDescent="0.25"/>
    <row r="9677" ht="15" customHeight="1" x14ac:dyDescent="0.25"/>
    <row r="9679" ht="15" customHeight="1" x14ac:dyDescent="0.25"/>
    <row r="9681" ht="15" customHeight="1" x14ac:dyDescent="0.25"/>
    <row r="9683" ht="15" customHeight="1" x14ac:dyDescent="0.25"/>
    <row r="9685" ht="15" customHeight="1" x14ac:dyDescent="0.25"/>
    <row r="9687" ht="15" customHeight="1" x14ac:dyDescent="0.25"/>
    <row r="9689" ht="15" customHeight="1" x14ac:dyDescent="0.25"/>
    <row r="9691" ht="15" customHeight="1" x14ac:dyDescent="0.25"/>
    <row r="9693" ht="15" customHeight="1" x14ac:dyDescent="0.25"/>
    <row r="9695" ht="15" customHeight="1" x14ac:dyDescent="0.25"/>
    <row r="9697" ht="15" customHeight="1" x14ac:dyDescent="0.25"/>
    <row r="9699" ht="15" customHeight="1" x14ac:dyDescent="0.25"/>
    <row r="9701" ht="15" customHeight="1" x14ac:dyDescent="0.25"/>
    <row r="9703" ht="15" customHeight="1" x14ac:dyDescent="0.25"/>
    <row r="9705" ht="15" customHeight="1" x14ac:dyDescent="0.25"/>
    <row r="9707" ht="15" customHeight="1" x14ac:dyDescent="0.25"/>
    <row r="9709" ht="15" customHeight="1" x14ac:dyDescent="0.25"/>
    <row r="9711" ht="15" customHeight="1" x14ac:dyDescent="0.25"/>
    <row r="9713" ht="15" customHeight="1" x14ac:dyDescent="0.25"/>
    <row r="9715" ht="15" customHeight="1" x14ac:dyDescent="0.25"/>
    <row r="9717" ht="15" customHeight="1" x14ac:dyDescent="0.25"/>
    <row r="9719" ht="15" customHeight="1" x14ac:dyDescent="0.25"/>
    <row r="9721" ht="15" customHeight="1" x14ac:dyDescent="0.25"/>
    <row r="9723" ht="15" customHeight="1" x14ac:dyDescent="0.25"/>
    <row r="9725" ht="15" customHeight="1" x14ac:dyDescent="0.25"/>
    <row r="9727" ht="15" customHeight="1" x14ac:dyDescent="0.25"/>
    <row r="9729" ht="15" customHeight="1" x14ac:dyDescent="0.25"/>
    <row r="9731" ht="15" customHeight="1" x14ac:dyDescent="0.25"/>
    <row r="9733" ht="15" customHeight="1" x14ac:dyDescent="0.25"/>
    <row r="9735" ht="15" customHeight="1" x14ac:dyDescent="0.25"/>
    <row r="9737" ht="15" customHeight="1" x14ac:dyDescent="0.25"/>
    <row r="9739" ht="15" customHeight="1" x14ac:dyDescent="0.25"/>
    <row r="9741" ht="15" customHeight="1" x14ac:dyDescent="0.25"/>
    <row r="9743" ht="15" customHeight="1" x14ac:dyDescent="0.25"/>
    <row r="9745" ht="15" customHeight="1" x14ac:dyDescent="0.25"/>
    <row r="9747" ht="15" customHeight="1" x14ac:dyDescent="0.25"/>
    <row r="9749" ht="15" customHeight="1" x14ac:dyDescent="0.25"/>
    <row r="9751" ht="15" customHeight="1" x14ac:dyDescent="0.25"/>
    <row r="9753" ht="15" customHeight="1" x14ac:dyDescent="0.25"/>
    <row r="9755" ht="15" customHeight="1" x14ac:dyDescent="0.25"/>
    <row r="9757" ht="15" customHeight="1" x14ac:dyDescent="0.25"/>
    <row r="9759" ht="15" customHeight="1" x14ac:dyDescent="0.25"/>
    <row r="9761" ht="15" customHeight="1" x14ac:dyDescent="0.25"/>
    <row r="9763" ht="15" customHeight="1" x14ac:dyDescent="0.25"/>
    <row r="9765" ht="15" customHeight="1" x14ac:dyDescent="0.25"/>
    <row r="9767" ht="15" customHeight="1" x14ac:dyDescent="0.25"/>
    <row r="9769" ht="15" customHeight="1" x14ac:dyDescent="0.25"/>
    <row r="9771" ht="15" customHeight="1" x14ac:dyDescent="0.25"/>
    <row r="9773" ht="15" customHeight="1" x14ac:dyDescent="0.25"/>
    <row r="9775" ht="15" customHeight="1" x14ac:dyDescent="0.25"/>
    <row r="9777" ht="15" customHeight="1" x14ac:dyDescent="0.25"/>
    <row r="9779" ht="15" customHeight="1" x14ac:dyDescent="0.25"/>
    <row r="9781" ht="15" customHeight="1" x14ac:dyDescent="0.25"/>
    <row r="9783" ht="15" customHeight="1" x14ac:dyDescent="0.25"/>
    <row r="9785" ht="15" customHeight="1" x14ac:dyDescent="0.25"/>
    <row r="9787" ht="15" customHeight="1" x14ac:dyDescent="0.25"/>
    <row r="9789" ht="15" customHeight="1" x14ac:dyDescent="0.25"/>
    <row r="9791" ht="15" customHeight="1" x14ac:dyDescent="0.25"/>
    <row r="9793" ht="15" customHeight="1" x14ac:dyDescent="0.25"/>
    <row r="9795" ht="15" customHeight="1" x14ac:dyDescent="0.25"/>
    <row r="9797" ht="15" customHeight="1" x14ac:dyDescent="0.25"/>
    <row r="9799" ht="15" customHeight="1" x14ac:dyDescent="0.25"/>
    <row r="9801" ht="15" customHeight="1" x14ac:dyDescent="0.25"/>
    <row r="9803" ht="15" customHeight="1" x14ac:dyDescent="0.25"/>
    <row r="9805" ht="15" customHeight="1" x14ac:dyDescent="0.25"/>
    <row r="9807" ht="15" customHeight="1" x14ac:dyDescent="0.25"/>
    <row r="9809" ht="15" customHeight="1" x14ac:dyDescent="0.25"/>
    <row r="9811" ht="15" customHeight="1" x14ac:dyDescent="0.25"/>
    <row r="9813" ht="15" customHeight="1" x14ac:dyDescent="0.25"/>
    <row r="9815" ht="15" customHeight="1" x14ac:dyDescent="0.25"/>
    <row r="9817" ht="15" customHeight="1" x14ac:dyDescent="0.25"/>
    <row r="9819" ht="15" customHeight="1" x14ac:dyDescent="0.25"/>
    <row r="9821" ht="15" customHeight="1" x14ac:dyDescent="0.25"/>
    <row r="9823" ht="15" customHeight="1" x14ac:dyDescent="0.25"/>
    <row r="9825" ht="15" customHeight="1" x14ac:dyDescent="0.25"/>
    <row r="9827" ht="15" customHeight="1" x14ac:dyDescent="0.25"/>
    <row r="9829" ht="15" customHeight="1" x14ac:dyDescent="0.25"/>
    <row r="9831" ht="15" customHeight="1" x14ac:dyDescent="0.25"/>
    <row r="9833" ht="15" customHeight="1" x14ac:dyDescent="0.25"/>
    <row r="9835" ht="15" customHeight="1" x14ac:dyDescent="0.25"/>
    <row r="9837" ht="15" customHeight="1" x14ac:dyDescent="0.25"/>
    <row r="9839" ht="15" customHeight="1" x14ac:dyDescent="0.25"/>
    <row r="9841" ht="15" customHeight="1" x14ac:dyDescent="0.25"/>
    <row r="9843" ht="15" customHeight="1" x14ac:dyDescent="0.25"/>
    <row r="9845" ht="15" customHeight="1" x14ac:dyDescent="0.25"/>
    <row r="9847" ht="15" customHeight="1" x14ac:dyDescent="0.25"/>
    <row r="9849" ht="15" customHeight="1" x14ac:dyDescent="0.25"/>
    <row r="9851" ht="15" customHeight="1" x14ac:dyDescent="0.25"/>
    <row r="9853" ht="15" customHeight="1" x14ac:dyDescent="0.25"/>
    <row r="9855" ht="15" customHeight="1" x14ac:dyDescent="0.25"/>
    <row r="9857" ht="15" customHeight="1" x14ac:dyDescent="0.25"/>
    <row r="9859" ht="15" customHeight="1" x14ac:dyDescent="0.25"/>
    <row r="9861" ht="15" customHeight="1" x14ac:dyDescent="0.25"/>
    <row r="9863" ht="15" customHeight="1" x14ac:dyDescent="0.25"/>
    <row r="9865" ht="15" customHeight="1" x14ac:dyDescent="0.25"/>
    <row r="9867" ht="15" customHeight="1" x14ac:dyDescent="0.25"/>
    <row r="9869" ht="15" customHeight="1" x14ac:dyDescent="0.25"/>
    <row r="9871" ht="15" customHeight="1" x14ac:dyDescent="0.25"/>
    <row r="9873" ht="15" customHeight="1" x14ac:dyDescent="0.25"/>
    <row r="9875" ht="15" customHeight="1" x14ac:dyDescent="0.25"/>
    <row r="9877" ht="15" customHeight="1" x14ac:dyDescent="0.25"/>
    <row r="9879" ht="15" customHeight="1" x14ac:dyDescent="0.25"/>
    <row r="9881" ht="15" customHeight="1" x14ac:dyDescent="0.25"/>
    <row r="9883" ht="15" customHeight="1" x14ac:dyDescent="0.25"/>
    <row r="9885" ht="15" customHeight="1" x14ac:dyDescent="0.25"/>
    <row r="9887" ht="15" customHeight="1" x14ac:dyDescent="0.25"/>
    <row r="9889" ht="15" customHeight="1" x14ac:dyDescent="0.25"/>
    <row r="9891" ht="15" customHeight="1" x14ac:dyDescent="0.25"/>
    <row r="9893" ht="15" customHeight="1" x14ac:dyDescent="0.25"/>
    <row r="9895" ht="15" customHeight="1" x14ac:dyDescent="0.25"/>
    <row r="9897" ht="15" customHeight="1" x14ac:dyDescent="0.25"/>
    <row r="9899" ht="15" customHeight="1" x14ac:dyDescent="0.25"/>
    <row r="9901" ht="15" customHeight="1" x14ac:dyDescent="0.25"/>
    <row r="9903" ht="15" customHeight="1" x14ac:dyDescent="0.25"/>
    <row r="9905" ht="15" customHeight="1" x14ac:dyDescent="0.25"/>
    <row r="9907" ht="15" customHeight="1" x14ac:dyDescent="0.25"/>
    <row r="9909" ht="15" customHeight="1" x14ac:dyDescent="0.25"/>
    <row r="9911" ht="15" customHeight="1" x14ac:dyDescent="0.25"/>
    <row r="9913" ht="15" customHeight="1" x14ac:dyDescent="0.25"/>
    <row r="9915" ht="15" customHeight="1" x14ac:dyDescent="0.25"/>
    <row r="9917" ht="15" customHeight="1" x14ac:dyDescent="0.25"/>
    <row r="9919" ht="15" customHeight="1" x14ac:dyDescent="0.25"/>
    <row r="9921" ht="15" customHeight="1" x14ac:dyDescent="0.25"/>
    <row r="9923" ht="15" customHeight="1" x14ac:dyDescent="0.25"/>
    <row r="9925" ht="15" customHeight="1" x14ac:dyDescent="0.25"/>
    <row r="9927" ht="15" customHeight="1" x14ac:dyDescent="0.25"/>
    <row r="9929" ht="15" customHeight="1" x14ac:dyDescent="0.25"/>
    <row r="9931" ht="15" customHeight="1" x14ac:dyDescent="0.25"/>
    <row r="9933" ht="15" customHeight="1" x14ac:dyDescent="0.25"/>
    <row r="9935" ht="15" customHeight="1" x14ac:dyDescent="0.25"/>
    <row r="9937" ht="15" customHeight="1" x14ac:dyDescent="0.25"/>
    <row r="9939" ht="15" customHeight="1" x14ac:dyDescent="0.25"/>
    <row r="9941" ht="15" customHeight="1" x14ac:dyDescent="0.25"/>
    <row r="9943" ht="15" customHeight="1" x14ac:dyDescent="0.25"/>
    <row r="9945" ht="15" customHeight="1" x14ac:dyDescent="0.25"/>
    <row r="9947" ht="15" customHeight="1" x14ac:dyDescent="0.25"/>
    <row r="9949" ht="15" customHeight="1" x14ac:dyDescent="0.25"/>
    <row r="9951" ht="15" customHeight="1" x14ac:dyDescent="0.25"/>
    <row r="9953" ht="15" customHeight="1" x14ac:dyDescent="0.25"/>
    <row r="9955" ht="15" customHeight="1" x14ac:dyDescent="0.25"/>
    <row r="9957" ht="15" customHeight="1" x14ac:dyDescent="0.25"/>
    <row r="9959" ht="15" customHeight="1" x14ac:dyDescent="0.25"/>
    <row r="9961" ht="15" customHeight="1" x14ac:dyDescent="0.25"/>
    <row r="9963" ht="15" customHeight="1" x14ac:dyDescent="0.25"/>
    <row r="9965" ht="15" customHeight="1" x14ac:dyDescent="0.25"/>
    <row r="9967" ht="15" customHeight="1" x14ac:dyDescent="0.25"/>
    <row r="9969" ht="15" customHeight="1" x14ac:dyDescent="0.25"/>
    <row r="9971" ht="15" customHeight="1" x14ac:dyDescent="0.25"/>
    <row r="9973" ht="15" customHeight="1" x14ac:dyDescent="0.25"/>
    <row r="9975" ht="15" customHeight="1" x14ac:dyDescent="0.25"/>
    <row r="9977" ht="15" customHeight="1" x14ac:dyDescent="0.25"/>
    <row r="9979" ht="15" customHeight="1" x14ac:dyDescent="0.25"/>
    <row r="9981" ht="15" customHeight="1" x14ac:dyDescent="0.25"/>
    <row r="9983" ht="15" customHeight="1" x14ac:dyDescent="0.25"/>
    <row r="9985" ht="15" customHeight="1" x14ac:dyDescent="0.25"/>
    <row r="9987" ht="15" customHeight="1" x14ac:dyDescent="0.25"/>
    <row r="9989" ht="15" customHeight="1" x14ac:dyDescent="0.25"/>
    <row r="9991" ht="15" customHeight="1" x14ac:dyDescent="0.25"/>
    <row r="9993" ht="15" customHeight="1" x14ac:dyDescent="0.25"/>
    <row r="9995" ht="15" customHeight="1" x14ac:dyDescent="0.25"/>
    <row r="9997" ht="15" customHeight="1" x14ac:dyDescent="0.25"/>
    <row r="9999" ht="15" customHeight="1" x14ac:dyDescent="0.25"/>
    <row r="10001" ht="15" customHeight="1" x14ac:dyDescent="0.25"/>
    <row r="10003" ht="15" customHeight="1" x14ac:dyDescent="0.25"/>
    <row r="10005" ht="15" customHeight="1" x14ac:dyDescent="0.25"/>
    <row r="10007" ht="15" customHeight="1" x14ac:dyDescent="0.25"/>
    <row r="10009" ht="15" customHeight="1" x14ac:dyDescent="0.25"/>
    <row r="10011" ht="15" customHeight="1" x14ac:dyDescent="0.25"/>
    <row r="10013" ht="15" customHeight="1" x14ac:dyDescent="0.25"/>
    <row r="10015" ht="15" customHeight="1" x14ac:dyDescent="0.25"/>
    <row r="10017" ht="15" customHeight="1" x14ac:dyDescent="0.25"/>
    <row r="10019" ht="15" customHeight="1" x14ac:dyDescent="0.25"/>
    <row r="10021" ht="15" customHeight="1" x14ac:dyDescent="0.25"/>
    <row r="10023" ht="15" customHeight="1" x14ac:dyDescent="0.25"/>
    <row r="10025" ht="15" customHeight="1" x14ac:dyDescent="0.25"/>
    <row r="10027" ht="15" customHeight="1" x14ac:dyDescent="0.25"/>
    <row r="10029" ht="15" customHeight="1" x14ac:dyDescent="0.25"/>
    <row r="10031" ht="15" customHeight="1" x14ac:dyDescent="0.25"/>
    <row r="10033" ht="15" customHeight="1" x14ac:dyDescent="0.25"/>
    <row r="10035" ht="15" customHeight="1" x14ac:dyDescent="0.25"/>
    <row r="10037" ht="15" customHeight="1" x14ac:dyDescent="0.25"/>
    <row r="10039" ht="15" customHeight="1" x14ac:dyDescent="0.25"/>
    <row r="10041" ht="15" customHeight="1" x14ac:dyDescent="0.25"/>
    <row r="10043" ht="15" customHeight="1" x14ac:dyDescent="0.25"/>
    <row r="10045" ht="15" customHeight="1" x14ac:dyDescent="0.25"/>
    <row r="10047" ht="15" customHeight="1" x14ac:dyDescent="0.25"/>
    <row r="10049" ht="15" customHeight="1" x14ac:dyDescent="0.25"/>
    <row r="10051" ht="15" customHeight="1" x14ac:dyDescent="0.25"/>
    <row r="10053" ht="15" customHeight="1" x14ac:dyDescent="0.25"/>
    <row r="10055" ht="15" customHeight="1" x14ac:dyDescent="0.25"/>
    <row r="10057" ht="15" customHeight="1" x14ac:dyDescent="0.25"/>
    <row r="10059" ht="15" customHeight="1" x14ac:dyDescent="0.25"/>
    <row r="10061" ht="15" customHeight="1" x14ac:dyDescent="0.25"/>
    <row r="10063" ht="15" customHeight="1" x14ac:dyDescent="0.25"/>
    <row r="10065" ht="15" customHeight="1" x14ac:dyDescent="0.25"/>
    <row r="10067" ht="15" customHeight="1" x14ac:dyDescent="0.25"/>
    <row r="10069" ht="15" customHeight="1" x14ac:dyDescent="0.25"/>
    <row r="10071" ht="15" customHeight="1" x14ac:dyDescent="0.25"/>
    <row r="10073" ht="15" customHeight="1" x14ac:dyDescent="0.25"/>
    <row r="10075" ht="15" customHeight="1" x14ac:dyDescent="0.25"/>
    <row r="10077" ht="15" customHeight="1" x14ac:dyDescent="0.25"/>
    <row r="10079" ht="15" customHeight="1" x14ac:dyDescent="0.25"/>
    <row r="10081" ht="15" customHeight="1" x14ac:dyDescent="0.25"/>
    <row r="10083" ht="15" customHeight="1" x14ac:dyDescent="0.25"/>
    <row r="10085" ht="15" customHeight="1" x14ac:dyDescent="0.25"/>
    <row r="10087" ht="15" customHeight="1" x14ac:dyDescent="0.25"/>
    <row r="10089" ht="15" customHeight="1" x14ac:dyDescent="0.25"/>
    <row r="10091" ht="15" customHeight="1" x14ac:dyDescent="0.25"/>
    <row r="10093" ht="15" customHeight="1" x14ac:dyDescent="0.25"/>
    <row r="10095" ht="15" customHeight="1" x14ac:dyDescent="0.25"/>
    <row r="10097" ht="15" customHeight="1" x14ac:dyDescent="0.25"/>
    <row r="10099" ht="15" customHeight="1" x14ac:dyDescent="0.25"/>
    <row r="10101" ht="15" customHeight="1" x14ac:dyDescent="0.25"/>
    <row r="10103" ht="15" customHeight="1" x14ac:dyDescent="0.25"/>
    <row r="10105" ht="15" customHeight="1" x14ac:dyDescent="0.25"/>
    <row r="10107" ht="15" customHeight="1" x14ac:dyDescent="0.25"/>
    <row r="10109" ht="15" customHeight="1" x14ac:dyDescent="0.25"/>
    <row r="10111" ht="15" customHeight="1" x14ac:dyDescent="0.25"/>
    <row r="10113" ht="15" customHeight="1" x14ac:dyDescent="0.25"/>
    <row r="10115" ht="15" customHeight="1" x14ac:dyDescent="0.25"/>
    <row r="10117" ht="15" customHeight="1" x14ac:dyDescent="0.25"/>
    <row r="10119" ht="15" customHeight="1" x14ac:dyDescent="0.25"/>
    <row r="10121" ht="15" customHeight="1" x14ac:dyDescent="0.25"/>
    <row r="10123" ht="15" customHeight="1" x14ac:dyDescent="0.25"/>
    <row r="10125" ht="15" customHeight="1" x14ac:dyDescent="0.25"/>
    <row r="10127" ht="15" customHeight="1" x14ac:dyDescent="0.25"/>
    <row r="10129" ht="15" customHeight="1" x14ac:dyDescent="0.25"/>
    <row r="10131" ht="15" customHeight="1" x14ac:dyDescent="0.25"/>
    <row r="10133" ht="15" customHeight="1" x14ac:dyDescent="0.25"/>
    <row r="10135" ht="15" customHeight="1" x14ac:dyDescent="0.25"/>
    <row r="10137" ht="15" customHeight="1" x14ac:dyDescent="0.25"/>
    <row r="10139" ht="15" customHeight="1" x14ac:dyDescent="0.25"/>
    <row r="10141" ht="15" customHeight="1" x14ac:dyDescent="0.25"/>
    <row r="10143" ht="15" customHeight="1" x14ac:dyDescent="0.25"/>
    <row r="10145" ht="15" customHeight="1" x14ac:dyDescent="0.25"/>
    <row r="10147" ht="15" customHeight="1" x14ac:dyDescent="0.25"/>
    <row r="10149" ht="15" customHeight="1" x14ac:dyDescent="0.25"/>
    <row r="10151" ht="15" customHeight="1" x14ac:dyDescent="0.25"/>
    <row r="10153" ht="15" customHeight="1" x14ac:dyDescent="0.25"/>
    <row r="10155" ht="15" customHeight="1" x14ac:dyDescent="0.25"/>
    <row r="10157" ht="15" customHeight="1" x14ac:dyDescent="0.25"/>
    <row r="10159" ht="15" customHeight="1" x14ac:dyDescent="0.25"/>
    <row r="10161" ht="15" customHeight="1" x14ac:dyDescent="0.25"/>
    <row r="10163" ht="15" customHeight="1" x14ac:dyDescent="0.25"/>
    <row r="10165" ht="15" customHeight="1" x14ac:dyDescent="0.25"/>
    <row r="10167" ht="15" customHeight="1" x14ac:dyDescent="0.25"/>
    <row r="10169" ht="15" customHeight="1" x14ac:dyDescent="0.25"/>
    <row r="10171" ht="15" customHeight="1" x14ac:dyDescent="0.25"/>
    <row r="10173" ht="15" customHeight="1" x14ac:dyDescent="0.25"/>
    <row r="10175" ht="15" customHeight="1" x14ac:dyDescent="0.25"/>
    <row r="10177" ht="15" customHeight="1" x14ac:dyDescent="0.25"/>
    <row r="10179" ht="15" customHeight="1" x14ac:dyDescent="0.25"/>
    <row r="10181" ht="15" customHeight="1" x14ac:dyDescent="0.25"/>
    <row r="10183" ht="15" customHeight="1" x14ac:dyDescent="0.25"/>
    <row r="10185" ht="15" customHeight="1" x14ac:dyDescent="0.25"/>
    <row r="10187" ht="15" customHeight="1" x14ac:dyDescent="0.25"/>
    <row r="10189" ht="15" customHeight="1" x14ac:dyDescent="0.25"/>
    <row r="10191" ht="15" customHeight="1" x14ac:dyDescent="0.25"/>
    <row r="10193" ht="15" customHeight="1" x14ac:dyDescent="0.25"/>
    <row r="10195" ht="15" customHeight="1" x14ac:dyDescent="0.25"/>
    <row r="10197" ht="15" customHeight="1" x14ac:dyDescent="0.25"/>
    <row r="10199" ht="15" customHeight="1" x14ac:dyDescent="0.25"/>
    <row r="10201" ht="15" customHeight="1" x14ac:dyDescent="0.25"/>
    <row r="10203" ht="15" customHeight="1" x14ac:dyDescent="0.25"/>
    <row r="10205" ht="15" customHeight="1" x14ac:dyDescent="0.25"/>
    <row r="10207" ht="15" customHeight="1" x14ac:dyDescent="0.25"/>
    <row r="10209" ht="15" customHeight="1" x14ac:dyDescent="0.25"/>
    <row r="10211" ht="15" customHeight="1" x14ac:dyDescent="0.25"/>
    <row r="10213" ht="15" customHeight="1" x14ac:dyDescent="0.25"/>
    <row r="10215" ht="15" customHeight="1" x14ac:dyDescent="0.25"/>
    <row r="10217" ht="15" customHeight="1" x14ac:dyDescent="0.25"/>
    <row r="10219" ht="15" customHeight="1" x14ac:dyDescent="0.25"/>
    <row r="10221" ht="15" customHeight="1" x14ac:dyDescent="0.25"/>
    <row r="10223" ht="15" customHeight="1" x14ac:dyDescent="0.25"/>
    <row r="10225" ht="15" customHeight="1" x14ac:dyDescent="0.25"/>
    <row r="10227" ht="15" customHeight="1" x14ac:dyDescent="0.25"/>
    <row r="10229" ht="15" customHeight="1" x14ac:dyDescent="0.25"/>
    <row r="10231" ht="15" customHeight="1" x14ac:dyDescent="0.25"/>
    <row r="10233" ht="15" customHeight="1" x14ac:dyDescent="0.25"/>
    <row r="10235" ht="15" customHeight="1" x14ac:dyDescent="0.25"/>
    <row r="10237" ht="15" customHeight="1" x14ac:dyDescent="0.25"/>
    <row r="10239" ht="15" customHeight="1" x14ac:dyDescent="0.25"/>
    <row r="10241" ht="15" customHeight="1" x14ac:dyDescent="0.25"/>
    <row r="10243" ht="15" customHeight="1" x14ac:dyDescent="0.25"/>
    <row r="10245" ht="15" customHeight="1" x14ac:dyDescent="0.25"/>
    <row r="10247" ht="15" customHeight="1" x14ac:dyDescent="0.25"/>
    <row r="10249" ht="15" customHeight="1" x14ac:dyDescent="0.25"/>
    <row r="10251" ht="15" customHeight="1" x14ac:dyDescent="0.25"/>
    <row r="10253" ht="15" customHeight="1" x14ac:dyDescent="0.25"/>
    <row r="10255" ht="15" customHeight="1" x14ac:dyDescent="0.25"/>
    <row r="10257" ht="15" customHeight="1" x14ac:dyDescent="0.25"/>
    <row r="10259" ht="15" customHeight="1" x14ac:dyDescent="0.25"/>
    <row r="10261" ht="15" customHeight="1" x14ac:dyDescent="0.25"/>
    <row r="10263" ht="15" customHeight="1" x14ac:dyDescent="0.25"/>
    <row r="10265" ht="15" customHeight="1" x14ac:dyDescent="0.25"/>
    <row r="10267" ht="15" customHeight="1" x14ac:dyDescent="0.25"/>
    <row r="10269" ht="15" customHeight="1" x14ac:dyDescent="0.25"/>
    <row r="10271" ht="15" customHeight="1" x14ac:dyDescent="0.25"/>
    <row r="10273" ht="15" customHeight="1" x14ac:dyDescent="0.25"/>
    <row r="10275" ht="15" customHeight="1" x14ac:dyDescent="0.25"/>
    <row r="10277" ht="15" customHeight="1" x14ac:dyDescent="0.25"/>
    <row r="10279" ht="15" customHeight="1" x14ac:dyDescent="0.25"/>
    <row r="10281" ht="15" customHeight="1" x14ac:dyDescent="0.25"/>
    <row r="10283" ht="15" customHeight="1" x14ac:dyDescent="0.25"/>
    <row r="10285" ht="15" customHeight="1" x14ac:dyDescent="0.25"/>
    <row r="10287" ht="15" customHeight="1" x14ac:dyDescent="0.25"/>
    <row r="10289" ht="15" customHeight="1" x14ac:dyDescent="0.25"/>
    <row r="10291" ht="15" customHeight="1" x14ac:dyDescent="0.25"/>
    <row r="10293" ht="15" customHeight="1" x14ac:dyDescent="0.25"/>
    <row r="10295" ht="15" customHeight="1" x14ac:dyDescent="0.25"/>
    <row r="10297" ht="15" customHeight="1" x14ac:dyDescent="0.25"/>
    <row r="10299" ht="15" customHeight="1" x14ac:dyDescent="0.25"/>
    <row r="10301" ht="15" customHeight="1" x14ac:dyDescent="0.25"/>
    <row r="10303" ht="15" customHeight="1" x14ac:dyDescent="0.25"/>
    <row r="10305" ht="15" customHeight="1" x14ac:dyDescent="0.25"/>
    <row r="10307" ht="15" customHeight="1" x14ac:dyDescent="0.25"/>
    <row r="10309" ht="15" customHeight="1" x14ac:dyDescent="0.25"/>
    <row r="10311" ht="15" customHeight="1" x14ac:dyDescent="0.25"/>
    <row r="10313" ht="15" customHeight="1" x14ac:dyDescent="0.25"/>
    <row r="10315" ht="15" customHeight="1" x14ac:dyDescent="0.25"/>
    <row r="10317" ht="15" customHeight="1" x14ac:dyDescent="0.25"/>
    <row r="10319" ht="15" customHeight="1" x14ac:dyDescent="0.25"/>
    <row r="10321" ht="15" customHeight="1" x14ac:dyDescent="0.25"/>
    <row r="10323" ht="15" customHeight="1" x14ac:dyDescent="0.25"/>
    <row r="10325" ht="15" customHeight="1" x14ac:dyDescent="0.25"/>
    <row r="10327" ht="15" customHeight="1" x14ac:dyDescent="0.25"/>
    <row r="10329" ht="15" customHeight="1" x14ac:dyDescent="0.25"/>
    <row r="10331" ht="15" customHeight="1" x14ac:dyDescent="0.25"/>
    <row r="10333" ht="15" customHeight="1" x14ac:dyDescent="0.25"/>
    <row r="10335" ht="15" customHeight="1" x14ac:dyDescent="0.25"/>
    <row r="10337" ht="15" customHeight="1" x14ac:dyDescent="0.25"/>
    <row r="10339" ht="15" customHeight="1" x14ac:dyDescent="0.25"/>
    <row r="10341" ht="15" customHeight="1" x14ac:dyDescent="0.25"/>
    <row r="10343" ht="15" customHeight="1" x14ac:dyDescent="0.25"/>
    <row r="10345" ht="15" customHeight="1" x14ac:dyDescent="0.25"/>
    <row r="10347" ht="15" customHeight="1" x14ac:dyDescent="0.25"/>
    <row r="10349" ht="15" customHeight="1" x14ac:dyDescent="0.25"/>
    <row r="10351" ht="15" customHeight="1" x14ac:dyDescent="0.25"/>
    <row r="10353" ht="15" customHeight="1" x14ac:dyDescent="0.25"/>
    <row r="10355" ht="15" customHeight="1" x14ac:dyDescent="0.25"/>
    <row r="10357" ht="15" customHeight="1" x14ac:dyDescent="0.25"/>
    <row r="10359" ht="15" customHeight="1" x14ac:dyDescent="0.25"/>
    <row r="10361" ht="15" customHeight="1" x14ac:dyDescent="0.25"/>
    <row r="10363" ht="15" customHeight="1" x14ac:dyDescent="0.25"/>
    <row r="10365" ht="15" customHeight="1" x14ac:dyDescent="0.25"/>
    <row r="10367" ht="15" customHeight="1" x14ac:dyDescent="0.25"/>
    <row r="10369" ht="15" customHeight="1" x14ac:dyDescent="0.25"/>
    <row r="10371" ht="15" customHeight="1" x14ac:dyDescent="0.25"/>
    <row r="10373" ht="15" customHeight="1" x14ac:dyDescent="0.25"/>
    <row r="10375" ht="15" customHeight="1" x14ac:dyDescent="0.25"/>
    <row r="10377" ht="15" customHeight="1" x14ac:dyDescent="0.25"/>
    <row r="10379" ht="15" customHeight="1" x14ac:dyDescent="0.25"/>
    <row r="10381" ht="15" customHeight="1" x14ac:dyDescent="0.25"/>
    <row r="10383" ht="15" customHeight="1" x14ac:dyDescent="0.25"/>
    <row r="10385" ht="15" customHeight="1" x14ac:dyDescent="0.25"/>
    <row r="10387" ht="15" customHeight="1" x14ac:dyDescent="0.25"/>
    <row r="10389" ht="15" customHeight="1" x14ac:dyDescent="0.25"/>
    <row r="10391" ht="15" customHeight="1" x14ac:dyDescent="0.25"/>
    <row r="10393" ht="15" customHeight="1" x14ac:dyDescent="0.25"/>
    <row r="10395" ht="15" customHeight="1" x14ac:dyDescent="0.25"/>
    <row r="10397" ht="15" customHeight="1" x14ac:dyDescent="0.25"/>
    <row r="10399" ht="15" customHeight="1" x14ac:dyDescent="0.25"/>
    <row r="10401" ht="15" customHeight="1" x14ac:dyDescent="0.25"/>
    <row r="10403" ht="15" customHeight="1" x14ac:dyDescent="0.25"/>
    <row r="10405" ht="15" customHeight="1" x14ac:dyDescent="0.25"/>
    <row r="10407" ht="15" customHeight="1" x14ac:dyDescent="0.25"/>
    <row r="10409" ht="15" customHeight="1" x14ac:dyDescent="0.25"/>
    <row r="10411" ht="15" customHeight="1" x14ac:dyDescent="0.25"/>
    <row r="10413" ht="15" customHeight="1" x14ac:dyDescent="0.25"/>
    <row r="10415" ht="15" customHeight="1" x14ac:dyDescent="0.25"/>
    <row r="10417" ht="15" customHeight="1" x14ac:dyDescent="0.25"/>
    <row r="10419" ht="15" customHeight="1" x14ac:dyDescent="0.25"/>
    <row r="10421" ht="15" customHeight="1" x14ac:dyDescent="0.25"/>
    <row r="10423" ht="15" customHeight="1" x14ac:dyDescent="0.25"/>
    <row r="10425" ht="15" customHeight="1" x14ac:dyDescent="0.25"/>
    <row r="10427" ht="15" customHeight="1" x14ac:dyDescent="0.25"/>
    <row r="10429" ht="15" customHeight="1" x14ac:dyDescent="0.25"/>
    <row r="10431" ht="15" customHeight="1" x14ac:dyDescent="0.25"/>
    <row r="10433" ht="15" customHeight="1" x14ac:dyDescent="0.25"/>
    <row r="10435" ht="15" customHeight="1" x14ac:dyDescent="0.25"/>
    <row r="10437" ht="15" customHeight="1" x14ac:dyDescent="0.25"/>
    <row r="10439" ht="15" customHeight="1" x14ac:dyDescent="0.25"/>
    <row r="10441" ht="15" customHeight="1" x14ac:dyDescent="0.25"/>
    <row r="10443" ht="15" customHeight="1" x14ac:dyDescent="0.25"/>
    <row r="10445" ht="15" customHeight="1" x14ac:dyDescent="0.25"/>
    <row r="10447" ht="15" customHeight="1" x14ac:dyDescent="0.25"/>
    <row r="10449" ht="15" customHeight="1" x14ac:dyDescent="0.25"/>
    <row r="10451" ht="15" customHeight="1" x14ac:dyDescent="0.25"/>
    <row r="10453" ht="15" customHeight="1" x14ac:dyDescent="0.25"/>
    <row r="10455" ht="15" customHeight="1" x14ac:dyDescent="0.25"/>
    <row r="10457" ht="15" customHeight="1" x14ac:dyDescent="0.25"/>
    <row r="10459" ht="15" customHeight="1" x14ac:dyDescent="0.25"/>
    <row r="10461" ht="15" customHeight="1" x14ac:dyDescent="0.25"/>
    <row r="10463" ht="15" customHeight="1" x14ac:dyDescent="0.25"/>
    <row r="10465" ht="15" customHeight="1" x14ac:dyDescent="0.25"/>
    <row r="10467" ht="15" customHeight="1" x14ac:dyDescent="0.25"/>
    <row r="10469" ht="15" customHeight="1" x14ac:dyDescent="0.25"/>
    <row r="10471" ht="15" customHeight="1" x14ac:dyDescent="0.25"/>
    <row r="10473" ht="15" customHeight="1" x14ac:dyDescent="0.25"/>
    <row r="10475" ht="15" customHeight="1" x14ac:dyDescent="0.25"/>
    <row r="10477" ht="15" customHeight="1" x14ac:dyDescent="0.25"/>
    <row r="10479" ht="15" customHeight="1" x14ac:dyDescent="0.25"/>
    <row r="10481" ht="15" customHeight="1" x14ac:dyDescent="0.25"/>
    <row r="10483" ht="15" customHeight="1" x14ac:dyDescent="0.25"/>
    <row r="10485" ht="15" customHeight="1" x14ac:dyDescent="0.25"/>
    <row r="10487" ht="15" customHeight="1" x14ac:dyDescent="0.25"/>
    <row r="10489" ht="15" customHeight="1" x14ac:dyDescent="0.25"/>
    <row r="10491" ht="15" customHeight="1" x14ac:dyDescent="0.25"/>
    <row r="10493" ht="15" customHeight="1" x14ac:dyDescent="0.25"/>
    <row r="10495" ht="15" customHeight="1" x14ac:dyDescent="0.25"/>
    <row r="10497" ht="15" customHeight="1" x14ac:dyDescent="0.25"/>
    <row r="10499" ht="15" customHeight="1" x14ac:dyDescent="0.25"/>
    <row r="10501" ht="15" customHeight="1" x14ac:dyDescent="0.25"/>
    <row r="10503" ht="15" customHeight="1" x14ac:dyDescent="0.25"/>
    <row r="10505" ht="15" customHeight="1" x14ac:dyDescent="0.25"/>
    <row r="10507" ht="15" customHeight="1" x14ac:dyDescent="0.25"/>
    <row r="10509" ht="15" customHeight="1" x14ac:dyDescent="0.25"/>
    <row r="10511" ht="15" customHeight="1" x14ac:dyDescent="0.25"/>
    <row r="10513" ht="15" customHeight="1" x14ac:dyDescent="0.25"/>
    <row r="10515" ht="15" customHeight="1" x14ac:dyDescent="0.25"/>
    <row r="10517" ht="15" customHeight="1" x14ac:dyDescent="0.25"/>
    <row r="10519" ht="15" customHeight="1" x14ac:dyDescent="0.25"/>
    <row r="10521" ht="15" customHeight="1" x14ac:dyDescent="0.25"/>
    <row r="10523" ht="15" customHeight="1" x14ac:dyDescent="0.25"/>
    <row r="10525" ht="15" customHeight="1" x14ac:dyDescent="0.25"/>
    <row r="10527" ht="15" customHeight="1" x14ac:dyDescent="0.25"/>
    <row r="10529" ht="15" customHeight="1" x14ac:dyDescent="0.25"/>
    <row r="10531" ht="15" customHeight="1" x14ac:dyDescent="0.25"/>
    <row r="10533" ht="15" customHeight="1" x14ac:dyDescent="0.25"/>
    <row r="10535" ht="15" customHeight="1" x14ac:dyDescent="0.25"/>
    <row r="10537" ht="15" customHeight="1" x14ac:dyDescent="0.25"/>
    <row r="10539" ht="15" customHeight="1" x14ac:dyDescent="0.25"/>
    <row r="10541" ht="15" customHeight="1" x14ac:dyDescent="0.25"/>
    <row r="10543" ht="15" customHeight="1" x14ac:dyDescent="0.25"/>
    <row r="10545" ht="15" customHeight="1" x14ac:dyDescent="0.25"/>
    <row r="10547" ht="15" customHeight="1" x14ac:dyDescent="0.25"/>
    <row r="10549" ht="15" customHeight="1" x14ac:dyDescent="0.25"/>
    <row r="10551" ht="15" customHeight="1" x14ac:dyDescent="0.25"/>
    <row r="10553" ht="15" customHeight="1" x14ac:dyDescent="0.25"/>
    <row r="10555" ht="15" customHeight="1" x14ac:dyDescent="0.25"/>
    <row r="10557" ht="15" customHeight="1" x14ac:dyDescent="0.25"/>
    <row r="10559" ht="15" customHeight="1" x14ac:dyDescent="0.25"/>
    <row r="10561" ht="15" customHeight="1" x14ac:dyDescent="0.25"/>
    <row r="10563" ht="15" customHeight="1" x14ac:dyDescent="0.25"/>
    <row r="10565" ht="15" customHeight="1" x14ac:dyDescent="0.25"/>
    <row r="10567" ht="15" customHeight="1" x14ac:dyDescent="0.25"/>
    <row r="10569" ht="15" customHeight="1" x14ac:dyDescent="0.25"/>
    <row r="10571" ht="15" customHeight="1" x14ac:dyDescent="0.25"/>
    <row r="10573" ht="15" customHeight="1" x14ac:dyDescent="0.25"/>
    <row r="10575" ht="15" customHeight="1" x14ac:dyDescent="0.25"/>
    <row r="10577" ht="15" customHeight="1" x14ac:dyDescent="0.25"/>
    <row r="10579" ht="15" customHeight="1" x14ac:dyDescent="0.25"/>
    <row r="10581" ht="15" customHeight="1" x14ac:dyDescent="0.25"/>
    <row r="10583" ht="15" customHeight="1" x14ac:dyDescent="0.25"/>
    <row r="10585" ht="15" customHeight="1" x14ac:dyDescent="0.25"/>
    <row r="10587" ht="15" customHeight="1" x14ac:dyDescent="0.25"/>
    <row r="10589" ht="15" customHeight="1" x14ac:dyDescent="0.25"/>
    <row r="10591" ht="15" customHeight="1" x14ac:dyDescent="0.25"/>
    <row r="10593" ht="15" customHeight="1" x14ac:dyDescent="0.25"/>
    <row r="10595" ht="15" customHeight="1" x14ac:dyDescent="0.25"/>
    <row r="10597" ht="15" customHeight="1" x14ac:dyDescent="0.25"/>
    <row r="10599" ht="15" customHeight="1" x14ac:dyDescent="0.25"/>
    <row r="10601" ht="15" customHeight="1" x14ac:dyDescent="0.25"/>
    <row r="10603" ht="15" customHeight="1" x14ac:dyDescent="0.25"/>
    <row r="10605" ht="15" customHeight="1" x14ac:dyDescent="0.25"/>
    <row r="10607" ht="15" customHeight="1" x14ac:dyDescent="0.25"/>
    <row r="10609" ht="15" customHeight="1" x14ac:dyDescent="0.25"/>
    <row r="10611" ht="15" customHeight="1" x14ac:dyDescent="0.25"/>
    <row r="10613" ht="15" customHeight="1" x14ac:dyDescent="0.25"/>
    <row r="10615" ht="15" customHeight="1" x14ac:dyDescent="0.25"/>
    <row r="10617" ht="15" customHeight="1" x14ac:dyDescent="0.25"/>
    <row r="10619" ht="15" customHeight="1" x14ac:dyDescent="0.25"/>
    <row r="10621" ht="15" customHeight="1" x14ac:dyDescent="0.25"/>
    <row r="10623" ht="15" customHeight="1" x14ac:dyDescent="0.25"/>
    <row r="10625" ht="15" customHeight="1" x14ac:dyDescent="0.25"/>
    <row r="10627" ht="15" customHeight="1" x14ac:dyDescent="0.25"/>
    <row r="10629" ht="15" customHeight="1" x14ac:dyDescent="0.25"/>
    <row r="10631" ht="15" customHeight="1" x14ac:dyDescent="0.25"/>
    <row r="10633" ht="15" customHeight="1" x14ac:dyDescent="0.25"/>
    <row r="10635" ht="15" customHeight="1" x14ac:dyDescent="0.25"/>
    <row r="10637" ht="15" customHeight="1" x14ac:dyDescent="0.25"/>
    <row r="10639" ht="15" customHeight="1" x14ac:dyDescent="0.25"/>
    <row r="10641" ht="15" customHeight="1" x14ac:dyDescent="0.25"/>
    <row r="10643" ht="15" customHeight="1" x14ac:dyDescent="0.25"/>
    <row r="10645" ht="15" customHeight="1" x14ac:dyDescent="0.25"/>
    <row r="10647" ht="15" customHeight="1" x14ac:dyDescent="0.25"/>
    <row r="10649" ht="15" customHeight="1" x14ac:dyDescent="0.25"/>
    <row r="10651" ht="15" customHeight="1" x14ac:dyDescent="0.25"/>
    <row r="10653" ht="15" customHeight="1" x14ac:dyDescent="0.25"/>
    <row r="10655" ht="15" customHeight="1" x14ac:dyDescent="0.25"/>
    <row r="10657" ht="15" customHeight="1" x14ac:dyDescent="0.25"/>
    <row r="10659" ht="15" customHeight="1" x14ac:dyDescent="0.25"/>
    <row r="10661" ht="15" customHeight="1" x14ac:dyDescent="0.25"/>
    <row r="10663" ht="15" customHeight="1" x14ac:dyDescent="0.25"/>
    <row r="10665" ht="15" customHeight="1" x14ac:dyDescent="0.25"/>
    <row r="10667" ht="15" customHeight="1" x14ac:dyDescent="0.25"/>
    <row r="10669" ht="15" customHeight="1" x14ac:dyDescent="0.25"/>
    <row r="10671" ht="15" customHeight="1" x14ac:dyDescent="0.25"/>
    <row r="10673" ht="15" customHeight="1" x14ac:dyDescent="0.25"/>
    <row r="10675" ht="15" customHeight="1" x14ac:dyDescent="0.25"/>
    <row r="10677" ht="15" customHeight="1" x14ac:dyDescent="0.25"/>
    <row r="10679" ht="15" customHeight="1" x14ac:dyDescent="0.25"/>
    <row r="10681" ht="15" customHeight="1" x14ac:dyDescent="0.25"/>
    <row r="10683" ht="15" customHeight="1" x14ac:dyDescent="0.25"/>
    <row r="10685" ht="15" customHeight="1" x14ac:dyDescent="0.25"/>
    <row r="10687" ht="15" customHeight="1" x14ac:dyDescent="0.25"/>
    <row r="10689" ht="15" customHeight="1" x14ac:dyDescent="0.25"/>
    <row r="10691" ht="15" customHeight="1" x14ac:dyDescent="0.25"/>
    <row r="10693" ht="15" customHeight="1" x14ac:dyDescent="0.25"/>
    <row r="10695" ht="15" customHeight="1" x14ac:dyDescent="0.25"/>
    <row r="10697" ht="15" customHeight="1" x14ac:dyDescent="0.25"/>
    <row r="10699" ht="15" customHeight="1" x14ac:dyDescent="0.25"/>
    <row r="10701" ht="15" customHeight="1" x14ac:dyDescent="0.25"/>
    <row r="10703" ht="15" customHeight="1" x14ac:dyDescent="0.25"/>
    <row r="10705" ht="15" customHeight="1" x14ac:dyDescent="0.25"/>
    <row r="10707" ht="15" customHeight="1" x14ac:dyDescent="0.25"/>
    <row r="10709" ht="15" customHeight="1" x14ac:dyDescent="0.25"/>
    <row r="10711" ht="15" customHeight="1" x14ac:dyDescent="0.25"/>
    <row r="10713" ht="15" customHeight="1" x14ac:dyDescent="0.25"/>
    <row r="10715" ht="15" customHeight="1" x14ac:dyDescent="0.25"/>
    <row r="10717" ht="15" customHeight="1" x14ac:dyDescent="0.25"/>
    <row r="10719" ht="15" customHeight="1" x14ac:dyDescent="0.25"/>
    <row r="10721" ht="15" customHeight="1" x14ac:dyDescent="0.25"/>
    <row r="10723" ht="15" customHeight="1" x14ac:dyDescent="0.25"/>
    <row r="10725" ht="15" customHeight="1" x14ac:dyDescent="0.25"/>
    <row r="10727" ht="15" customHeight="1" x14ac:dyDescent="0.25"/>
    <row r="10729" ht="15" customHeight="1" x14ac:dyDescent="0.25"/>
    <row r="10731" ht="15" customHeight="1" x14ac:dyDescent="0.25"/>
    <row r="10733" ht="15" customHeight="1" x14ac:dyDescent="0.25"/>
    <row r="10735" ht="15" customHeight="1" x14ac:dyDescent="0.25"/>
    <row r="10737" ht="15" customHeight="1" x14ac:dyDescent="0.25"/>
    <row r="10739" ht="15" customHeight="1" x14ac:dyDescent="0.25"/>
    <row r="10741" ht="15" customHeight="1" x14ac:dyDescent="0.25"/>
    <row r="10743" ht="15" customHeight="1" x14ac:dyDescent="0.25"/>
    <row r="10745" ht="15" customHeight="1" x14ac:dyDescent="0.25"/>
    <row r="10747" ht="15" customHeight="1" x14ac:dyDescent="0.25"/>
    <row r="10749" ht="15" customHeight="1" x14ac:dyDescent="0.25"/>
    <row r="10751" ht="15" customHeight="1" x14ac:dyDescent="0.25"/>
    <row r="10753" ht="15" customHeight="1" x14ac:dyDescent="0.25"/>
    <row r="10755" ht="15" customHeight="1" x14ac:dyDescent="0.25"/>
    <row r="10757" ht="15" customHeight="1" x14ac:dyDescent="0.25"/>
    <row r="10759" ht="15" customHeight="1" x14ac:dyDescent="0.25"/>
    <row r="10761" ht="15" customHeight="1" x14ac:dyDescent="0.25"/>
    <row r="10763" ht="15" customHeight="1" x14ac:dyDescent="0.25"/>
    <row r="10765" ht="15" customHeight="1" x14ac:dyDescent="0.25"/>
    <row r="10767" ht="15" customHeight="1" x14ac:dyDescent="0.25"/>
    <row r="10769" ht="15" customHeight="1" x14ac:dyDescent="0.25"/>
    <row r="10771" ht="15" customHeight="1" x14ac:dyDescent="0.25"/>
    <row r="10773" ht="15" customHeight="1" x14ac:dyDescent="0.25"/>
    <row r="10775" ht="15" customHeight="1" x14ac:dyDescent="0.25"/>
    <row r="10777" ht="15" customHeight="1" x14ac:dyDescent="0.25"/>
    <row r="10779" ht="15" customHeight="1" x14ac:dyDescent="0.25"/>
    <row r="10781" ht="15" customHeight="1" x14ac:dyDescent="0.25"/>
    <row r="10783" ht="15" customHeight="1" x14ac:dyDescent="0.25"/>
    <row r="10785" ht="15" customHeight="1" x14ac:dyDescent="0.25"/>
    <row r="10787" ht="15" customHeight="1" x14ac:dyDescent="0.25"/>
    <row r="10789" ht="15" customHeight="1" x14ac:dyDescent="0.25"/>
    <row r="10791" ht="15" customHeight="1" x14ac:dyDescent="0.25"/>
    <row r="10793" ht="15" customHeight="1" x14ac:dyDescent="0.25"/>
    <row r="10795" ht="15" customHeight="1" x14ac:dyDescent="0.25"/>
    <row r="10797" ht="15" customHeight="1" x14ac:dyDescent="0.25"/>
    <row r="10799" ht="15" customHeight="1" x14ac:dyDescent="0.25"/>
    <row r="10801" ht="15" customHeight="1" x14ac:dyDescent="0.25"/>
    <row r="10803" ht="15" customHeight="1" x14ac:dyDescent="0.25"/>
    <row r="10805" ht="15" customHeight="1" x14ac:dyDescent="0.25"/>
    <row r="10807" ht="15" customHeight="1" x14ac:dyDescent="0.25"/>
    <row r="10809" ht="15" customHeight="1" x14ac:dyDescent="0.25"/>
    <row r="10811" ht="15" customHeight="1" x14ac:dyDescent="0.25"/>
    <row r="10813" ht="15" customHeight="1" x14ac:dyDescent="0.25"/>
    <row r="10815" ht="15" customHeight="1" x14ac:dyDescent="0.25"/>
    <row r="10817" ht="15" customHeight="1" x14ac:dyDescent="0.25"/>
    <row r="10819" ht="15" customHeight="1" x14ac:dyDescent="0.25"/>
    <row r="10821" ht="15" customHeight="1" x14ac:dyDescent="0.25"/>
    <row r="10823" ht="15" customHeight="1" x14ac:dyDescent="0.25"/>
    <row r="10825" ht="15" customHeight="1" x14ac:dyDescent="0.25"/>
    <row r="10827" ht="15" customHeight="1" x14ac:dyDescent="0.25"/>
    <row r="10829" ht="15" customHeight="1" x14ac:dyDescent="0.25"/>
    <row r="10831" ht="15" customHeight="1" x14ac:dyDescent="0.25"/>
    <row r="10833" ht="15" customHeight="1" x14ac:dyDescent="0.25"/>
    <row r="10835" ht="15" customHeight="1" x14ac:dyDescent="0.25"/>
    <row r="10837" ht="15" customHeight="1" x14ac:dyDescent="0.25"/>
    <row r="10839" ht="15" customHeight="1" x14ac:dyDescent="0.25"/>
    <row r="10841" ht="15" customHeight="1" x14ac:dyDescent="0.25"/>
    <row r="10843" ht="15" customHeight="1" x14ac:dyDescent="0.25"/>
    <row r="10845" ht="15" customHeight="1" x14ac:dyDescent="0.25"/>
    <row r="10847" ht="15" customHeight="1" x14ac:dyDescent="0.25"/>
    <row r="10849" ht="15" customHeight="1" x14ac:dyDescent="0.25"/>
    <row r="10851" ht="15" customHeight="1" x14ac:dyDescent="0.25"/>
    <row r="10853" ht="15" customHeight="1" x14ac:dyDescent="0.25"/>
    <row r="10855" ht="15" customHeight="1" x14ac:dyDescent="0.25"/>
    <row r="10857" ht="15" customHeight="1" x14ac:dyDescent="0.25"/>
    <row r="10859" ht="15" customHeight="1" x14ac:dyDescent="0.25"/>
    <row r="10861" ht="15" customHeight="1" x14ac:dyDescent="0.25"/>
    <row r="10863" ht="15" customHeight="1" x14ac:dyDescent="0.25"/>
    <row r="10865" ht="15" customHeight="1" x14ac:dyDescent="0.25"/>
    <row r="10867" ht="15" customHeight="1" x14ac:dyDescent="0.25"/>
    <row r="10869" ht="15" customHeight="1" x14ac:dyDescent="0.25"/>
    <row r="10871" ht="15" customHeight="1" x14ac:dyDescent="0.25"/>
    <row r="10873" ht="15" customHeight="1" x14ac:dyDescent="0.25"/>
    <row r="10875" ht="15" customHeight="1" x14ac:dyDescent="0.25"/>
    <row r="10877" ht="15" customHeight="1" x14ac:dyDescent="0.25"/>
    <row r="10879" ht="15" customHeight="1" x14ac:dyDescent="0.25"/>
    <row r="10881" ht="15" customHeight="1" x14ac:dyDescent="0.25"/>
    <row r="10883" ht="15" customHeight="1" x14ac:dyDescent="0.25"/>
    <row r="10885" ht="15" customHeight="1" x14ac:dyDescent="0.25"/>
    <row r="10887" ht="15" customHeight="1" x14ac:dyDescent="0.25"/>
    <row r="10889" ht="15" customHeight="1" x14ac:dyDescent="0.25"/>
    <row r="10891" ht="15" customHeight="1" x14ac:dyDescent="0.25"/>
    <row r="10893" ht="15" customHeight="1" x14ac:dyDescent="0.25"/>
    <row r="10895" ht="15" customHeight="1" x14ac:dyDescent="0.25"/>
    <row r="10897" ht="15" customHeight="1" x14ac:dyDescent="0.25"/>
    <row r="10899" ht="15" customHeight="1" x14ac:dyDescent="0.25"/>
    <row r="10901" ht="15" customHeight="1" x14ac:dyDescent="0.25"/>
    <row r="10903" ht="15" customHeight="1" x14ac:dyDescent="0.25"/>
    <row r="10905" ht="15" customHeight="1" x14ac:dyDescent="0.25"/>
    <row r="10907" ht="15" customHeight="1" x14ac:dyDescent="0.25"/>
    <row r="10909" ht="15" customHeight="1" x14ac:dyDescent="0.25"/>
    <row r="10911" ht="15" customHeight="1" x14ac:dyDescent="0.25"/>
    <row r="10913" ht="15" customHeight="1" x14ac:dyDescent="0.25"/>
    <row r="10915" ht="15" customHeight="1" x14ac:dyDescent="0.25"/>
    <row r="10917" ht="15" customHeight="1" x14ac:dyDescent="0.25"/>
    <row r="10919" ht="15" customHeight="1" x14ac:dyDescent="0.25"/>
    <row r="10921" ht="15" customHeight="1" x14ac:dyDescent="0.25"/>
    <row r="10923" ht="15" customHeight="1" x14ac:dyDescent="0.25"/>
    <row r="10925" ht="15" customHeight="1" x14ac:dyDescent="0.25"/>
    <row r="10927" ht="15" customHeight="1" x14ac:dyDescent="0.25"/>
    <row r="10929" ht="15" customHeight="1" x14ac:dyDescent="0.25"/>
    <row r="10931" ht="15" customHeight="1" x14ac:dyDescent="0.25"/>
    <row r="10933" ht="15" customHeight="1" x14ac:dyDescent="0.25"/>
    <row r="10935" ht="15" customHeight="1" x14ac:dyDescent="0.25"/>
    <row r="10937" ht="15" customHeight="1" x14ac:dyDescent="0.25"/>
    <row r="10939" ht="15" customHeight="1" x14ac:dyDescent="0.25"/>
    <row r="10941" ht="15" customHeight="1" x14ac:dyDescent="0.25"/>
    <row r="10943" ht="15" customHeight="1" x14ac:dyDescent="0.25"/>
    <row r="10945" ht="15" customHeight="1" x14ac:dyDescent="0.25"/>
    <row r="10947" ht="15" customHeight="1" x14ac:dyDescent="0.25"/>
    <row r="10949" ht="15" customHeight="1" x14ac:dyDescent="0.25"/>
    <row r="10951" ht="15" customHeight="1" x14ac:dyDescent="0.25"/>
    <row r="10953" ht="15" customHeight="1" x14ac:dyDescent="0.25"/>
    <row r="10955" ht="15" customHeight="1" x14ac:dyDescent="0.25"/>
    <row r="10957" ht="15" customHeight="1" x14ac:dyDescent="0.25"/>
    <row r="10959" ht="15" customHeight="1" x14ac:dyDescent="0.25"/>
    <row r="10961" ht="15" customHeight="1" x14ac:dyDescent="0.25"/>
    <row r="10963" ht="15" customHeight="1" x14ac:dyDescent="0.25"/>
    <row r="10965" ht="15" customHeight="1" x14ac:dyDescent="0.25"/>
    <row r="10967" ht="15" customHeight="1" x14ac:dyDescent="0.25"/>
    <row r="10969" ht="15" customHeight="1" x14ac:dyDescent="0.25"/>
    <row r="10971" ht="15" customHeight="1" x14ac:dyDescent="0.25"/>
    <row r="10973" ht="15" customHeight="1" x14ac:dyDescent="0.25"/>
    <row r="10975" ht="15" customHeight="1" x14ac:dyDescent="0.25"/>
    <row r="10977" ht="15" customHeight="1" x14ac:dyDescent="0.25"/>
    <row r="10979" ht="15" customHeight="1" x14ac:dyDescent="0.25"/>
    <row r="10981" ht="15" customHeight="1" x14ac:dyDescent="0.25"/>
    <row r="10983" ht="15" customHeight="1" x14ac:dyDescent="0.25"/>
    <row r="10985" ht="15" customHeight="1" x14ac:dyDescent="0.25"/>
    <row r="10987" ht="15" customHeight="1" x14ac:dyDescent="0.25"/>
    <row r="10989" ht="15" customHeight="1" x14ac:dyDescent="0.25"/>
    <row r="10991" ht="15" customHeight="1" x14ac:dyDescent="0.25"/>
    <row r="10993" ht="15" customHeight="1" x14ac:dyDescent="0.25"/>
    <row r="10995" ht="15" customHeight="1" x14ac:dyDescent="0.25"/>
    <row r="10997" ht="15" customHeight="1" x14ac:dyDescent="0.25"/>
    <row r="10999" ht="15" customHeight="1" x14ac:dyDescent="0.25"/>
    <row r="11001" ht="15" customHeight="1" x14ac:dyDescent="0.25"/>
    <row r="11003" ht="15" customHeight="1" x14ac:dyDescent="0.25"/>
    <row r="11005" ht="15" customHeight="1" x14ac:dyDescent="0.25"/>
    <row r="11007" ht="15" customHeight="1" x14ac:dyDescent="0.25"/>
    <row r="11009" ht="15" customHeight="1" x14ac:dyDescent="0.25"/>
    <row r="11011" ht="15" customHeight="1" x14ac:dyDescent="0.25"/>
    <row r="11013" ht="15" customHeight="1" x14ac:dyDescent="0.25"/>
    <row r="11015" ht="15" customHeight="1" x14ac:dyDescent="0.25"/>
    <row r="11017" ht="15" customHeight="1" x14ac:dyDescent="0.25"/>
    <row r="11019" ht="15" customHeight="1" x14ac:dyDescent="0.25"/>
    <row r="11021" ht="15" customHeight="1" x14ac:dyDescent="0.25"/>
    <row r="11023" ht="15" customHeight="1" x14ac:dyDescent="0.25"/>
    <row r="11025" ht="15" customHeight="1" x14ac:dyDescent="0.25"/>
    <row r="11027" ht="15" customHeight="1" x14ac:dyDescent="0.25"/>
    <row r="11029" ht="15" customHeight="1" x14ac:dyDescent="0.25"/>
    <row r="11031" ht="15" customHeight="1" x14ac:dyDescent="0.25"/>
    <row r="11033" ht="15" customHeight="1" x14ac:dyDescent="0.25"/>
    <row r="11035" ht="15" customHeight="1" x14ac:dyDescent="0.25"/>
    <row r="11037" ht="15" customHeight="1" x14ac:dyDescent="0.25"/>
    <row r="11039" ht="15" customHeight="1" x14ac:dyDescent="0.25"/>
    <row r="11041" ht="15" customHeight="1" x14ac:dyDescent="0.25"/>
    <row r="11043" ht="15" customHeight="1" x14ac:dyDescent="0.25"/>
    <row r="11045" ht="15" customHeight="1" x14ac:dyDescent="0.25"/>
    <row r="11047" ht="15" customHeight="1" x14ac:dyDescent="0.25"/>
    <row r="11049" ht="15" customHeight="1" x14ac:dyDescent="0.25"/>
    <row r="11051" ht="15" customHeight="1" x14ac:dyDescent="0.25"/>
    <row r="11053" ht="15" customHeight="1" x14ac:dyDescent="0.25"/>
    <row r="11055" ht="15" customHeight="1" x14ac:dyDescent="0.25"/>
    <row r="11057" ht="15" customHeight="1" x14ac:dyDescent="0.25"/>
    <row r="11059" ht="15" customHeight="1" x14ac:dyDescent="0.25"/>
    <row r="11061" ht="15" customHeight="1" x14ac:dyDescent="0.25"/>
    <row r="11063" ht="15" customHeight="1" x14ac:dyDescent="0.25"/>
    <row r="11065" ht="15" customHeight="1" x14ac:dyDescent="0.25"/>
    <row r="11067" ht="15" customHeight="1" x14ac:dyDescent="0.25"/>
    <row r="11069" ht="15" customHeight="1" x14ac:dyDescent="0.25"/>
    <row r="11071" ht="15" customHeight="1" x14ac:dyDescent="0.25"/>
    <row r="11073" ht="15" customHeight="1" x14ac:dyDescent="0.25"/>
    <row r="11075" ht="15" customHeight="1" x14ac:dyDescent="0.25"/>
    <row r="11077" ht="15" customHeight="1" x14ac:dyDescent="0.25"/>
    <row r="11079" ht="15" customHeight="1" x14ac:dyDescent="0.25"/>
    <row r="11081" ht="15" customHeight="1" x14ac:dyDescent="0.25"/>
    <row r="11083" ht="15" customHeight="1" x14ac:dyDescent="0.25"/>
    <row r="11085" ht="15" customHeight="1" x14ac:dyDescent="0.25"/>
    <row r="11087" ht="15" customHeight="1" x14ac:dyDescent="0.25"/>
    <row r="11089" ht="15" customHeight="1" x14ac:dyDescent="0.25"/>
    <row r="11091" ht="15" customHeight="1" x14ac:dyDescent="0.25"/>
    <row r="11093" ht="15" customHeight="1" x14ac:dyDescent="0.25"/>
    <row r="11095" ht="15" customHeight="1" x14ac:dyDescent="0.25"/>
    <row r="11097" ht="15" customHeight="1" x14ac:dyDescent="0.25"/>
    <row r="11099" ht="15" customHeight="1" x14ac:dyDescent="0.25"/>
    <row r="11101" ht="15" customHeight="1" x14ac:dyDescent="0.25"/>
    <row r="11103" ht="15" customHeight="1" x14ac:dyDescent="0.25"/>
    <row r="11105" ht="15" customHeight="1" x14ac:dyDescent="0.25"/>
    <row r="11107" ht="15" customHeight="1" x14ac:dyDescent="0.25"/>
    <row r="11109" ht="15" customHeight="1" x14ac:dyDescent="0.25"/>
    <row r="11111" ht="15" customHeight="1" x14ac:dyDescent="0.25"/>
    <row r="11113" ht="15" customHeight="1" x14ac:dyDescent="0.25"/>
    <row r="11115" ht="15" customHeight="1" x14ac:dyDescent="0.25"/>
    <row r="11117" ht="15" customHeight="1" x14ac:dyDescent="0.25"/>
    <row r="11119" ht="15" customHeight="1" x14ac:dyDescent="0.25"/>
    <row r="11121" ht="15" customHeight="1" x14ac:dyDescent="0.25"/>
    <row r="11123" ht="15" customHeight="1" x14ac:dyDescent="0.25"/>
    <row r="11125" ht="15" customHeight="1" x14ac:dyDescent="0.25"/>
    <row r="11127" ht="15" customHeight="1" x14ac:dyDescent="0.25"/>
    <row r="11129" ht="15" customHeight="1" x14ac:dyDescent="0.25"/>
    <row r="11131" ht="15" customHeight="1" x14ac:dyDescent="0.25"/>
    <row r="11133" ht="15" customHeight="1" x14ac:dyDescent="0.25"/>
    <row r="11135" ht="15" customHeight="1" x14ac:dyDescent="0.25"/>
    <row r="11137" ht="15" customHeight="1" x14ac:dyDescent="0.25"/>
    <row r="11139" ht="15" customHeight="1" x14ac:dyDescent="0.25"/>
    <row r="11141" ht="15" customHeight="1" x14ac:dyDescent="0.25"/>
    <row r="11143" ht="15" customHeight="1" x14ac:dyDescent="0.25"/>
    <row r="11145" ht="15" customHeight="1" x14ac:dyDescent="0.25"/>
    <row r="11147" ht="15" customHeight="1" x14ac:dyDescent="0.25"/>
    <row r="11149" ht="15" customHeight="1" x14ac:dyDescent="0.25"/>
    <row r="11151" ht="15" customHeight="1" x14ac:dyDescent="0.25"/>
    <row r="11153" ht="15" customHeight="1" x14ac:dyDescent="0.25"/>
    <row r="11155" ht="15" customHeight="1" x14ac:dyDescent="0.25"/>
    <row r="11157" ht="15" customHeight="1" x14ac:dyDescent="0.25"/>
    <row r="11159" ht="15" customHeight="1" x14ac:dyDescent="0.25"/>
    <row r="11161" ht="15" customHeight="1" x14ac:dyDescent="0.25"/>
    <row r="11163" ht="15" customHeight="1" x14ac:dyDescent="0.25"/>
    <row r="11165" ht="15" customHeight="1" x14ac:dyDescent="0.25"/>
    <row r="11167" ht="15" customHeight="1" x14ac:dyDescent="0.25"/>
    <row r="11169" ht="15" customHeight="1" x14ac:dyDescent="0.25"/>
    <row r="11171" ht="15" customHeight="1" x14ac:dyDescent="0.25"/>
    <row r="11173" ht="15" customHeight="1" x14ac:dyDescent="0.25"/>
    <row r="11175" ht="15" customHeight="1" x14ac:dyDescent="0.25"/>
    <row r="11177" ht="15" customHeight="1" x14ac:dyDescent="0.25"/>
    <row r="11179" ht="15" customHeight="1" x14ac:dyDescent="0.25"/>
    <row r="11181" ht="15" customHeight="1" x14ac:dyDescent="0.25"/>
    <row r="11183" ht="15" customHeight="1" x14ac:dyDescent="0.25"/>
    <row r="11185" ht="15" customHeight="1" x14ac:dyDescent="0.25"/>
    <row r="11187" ht="15" customHeight="1" x14ac:dyDescent="0.25"/>
    <row r="11189" ht="15" customHeight="1" x14ac:dyDescent="0.25"/>
    <row r="11191" ht="15" customHeight="1" x14ac:dyDescent="0.25"/>
    <row r="11193" ht="15" customHeight="1" x14ac:dyDescent="0.25"/>
    <row r="11195" ht="15" customHeight="1" x14ac:dyDescent="0.25"/>
    <row r="11197" ht="15" customHeight="1" x14ac:dyDescent="0.25"/>
    <row r="11199" ht="15" customHeight="1" x14ac:dyDescent="0.25"/>
    <row r="11201" ht="15" customHeight="1" x14ac:dyDescent="0.25"/>
    <row r="11203" ht="15" customHeight="1" x14ac:dyDescent="0.25"/>
    <row r="11205" ht="15" customHeight="1" x14ac:dyDescent="0.25"/>
    <row r="11207" ht="15" customHeight="1" x14ac:dyDescent="0.25"/>
    <row r="11209" ht="15" customHeight="1" x14ac:dyDescent="0.25"/>
    <row r="11211" ht="15" customHeight="1" x14ac:dyDescent="0.25"/>
    <row r="11213" ht="15" customHeight="1" x14ac:dyDescent="0.25"/>
    <row r="11215" ht="15" customHeight="1" x14ac:dyDescent="0.25"/>
    <row r="11217" ht="15" customHeight="1" x14ac:dyDescent="0.25"/>
    <row r="11219" ht="15" customHeight="1" x14ac:dyDescent="0.25"/>
    <row r="11221" ht="15" customHeight="1" x14ac:dyDescent="0.25"/>
    <row r="11223" ht="15" customHeight="1" x14ac:dyDescent="0.25"/>
    <row r="11225" ht="15" customHeight="1" x14ac:dyDescent="0.25"/>
    <row r="11227" ht="15" customHeight="1" x14ac:dyDescent="0.25"/>
    <row r="11229" ht="15" customHeight="1" x14ac:dyDescent="0.25"/>
    <row r="11231" ht="15" customHeight="1" x14ac:dyDescent="0.25"/>
    <row r="11233" ht="15" customHeight="1" x14ac:dyDescent="0.25"/>
    <row r="11235" ht="15" customHeight="1" x14ac:dyDescent="0.25"/>
    <row r="11237" ht="15" customHeight="1" x14ac:dyDescent="0.25"/>
    <row r="11239" ht="15" customHeight="1" x14ac:dyDescent="0.25"/>
    <row r="11241" ht="15" customHeight="1" x14ac:dyDescent="0.25"/>
    <row r="11243" ht="15" customHeight="1" x14ac:dyDescent="0.25"/>
    <row r="11245" ht="15" customHeight="1" x14ac:dyDescent="0.25"/>
    <row r="11247" ht="15" customHeight="1" x14ac:dyDescent="0.25"/>
    <row r="11249" ht="15" customHeight="1" x14ac:dyDescent="0.25"/>
    <row r="11251" ht="15" customHeight="1" x14ac:dyDescent="0.25"/>
    <row r="11253" ht="15" customHeight="1" x14ac:dyDescent="0.25"/>
    <row r="11255" ht="15" customHeight="1" x14ac:dyDescent="0.25"/>
    <row r="11257" ht="15" customHeight="1" x14ac:dyDescent="0.25"/>
    <row r="11259" ht="15" customHeight="1" x14ac:dyDescent="0.25"/>
    <row r="11261" ht="15" customHeight="1" x14ac:dyDescent="0.25"/>
    <row r="11263" ht="15" customHeight="1" x14ac:dyDescent="0.25"/>
    <row r="11265" ht="15" customHeight="1" x14ac:dyDescent="0.25"/>
    <row r="11267" ht="15" customHeight="1" x14ac:dyDescent="0.25"/>
    <row r="11269" ht="15" customHeight="1" x14ac:dyDescent="0.25"/>
    <row r="11271" ht="15" customHeight="1" x14ac:dyDescent="0.25"/>
    <row r="11273" ht="15" customHeight="1" x14ac:dyDescent="0.25"/>
    <row r="11275" ht="15" customHeight="1" x14ac:dyDescent="0.25"/>
    <row r="11277" ht="15" customHeight="1" x14ac:dyDescent="0.25"/>
    <row r="11279" ht="15" customHeight="1" x14ac:dyDescent="0.25"/>
    <row r="11281" ht="15" customHeight="1" x14ac:dyDescent="0.25"/>
    <row r="11283" ht="15" customHeight="1" x14ac:dyDescent="0.25"/>
    <row r="11285" ht="15" customHeight="1" x14ac:dyDescent="0.25"/>
    <row r="11287" ht="15" customHeight="1" x14ac:dyDescent="0.25"/>
    <row r="11289" ht="15" customHeight="1" x14ac:dyDescent="0.25"/>
    <row r="11291" ht="15" customHeight="1" x14ac:dyDescent="0.25"/>
    <row r="11293" ht="15" customHeight="1" x14ac:dyDescent="0.25"/>
    <row r="11295" ht="15" customHeight="1" x14ac:dyDescent="0.25"/>
    <row r="11297" ht="15" customHeight="1" x14ac:dyDescent="0.25"/>
    <row r="11299" ht="15" customHeight="1" x14ac:dyDescent="0.25"/>
    <row r="11301" ht="15" customHeight="1" x14ac:dyDescent="0.25"/>
    <row r="11303" ht="15" customHeight="1" x14ac:dyDescent="0.25"/>
    <row r="11305" ht="15" customHeight="1" x14ac:dyDescent="0.25"/>
    <row r="11307" ht="15" customHeight="1" x14ac:dyDescent="0.25"/>
    <row r="11309" ht="15" customHeight="1" x14ac:dyDescent="0.25"/>
    <row r="11311" ht="15" customHeight="1" x14ac:dyDescent="0.25"/>
    <row r="11313" ht="15" customHeight="1" x14ac:dyDescent="0.25"/>
    <row r="11315" ht="15" customHeight="1" x14ac:dyDescent="0.25"/>
    <row r="11317" ht="15" customHeight="1" x14ac:dyDescent="0.25"/>
    <row r="11319" ht="15" customHeight="1" x14ac:dyDescent="0.25"/>
    <row r="11321" ht="15" customHeight="1" x14ac:dyDescent="0.25"/>
    <row r="11323" ht="15" customHeight="1" x14ac:dyDescent="0.25"/>
    <row r="11325" ht="15" customHeight="1" x14ac:dyDescent="0.25"/>
    <row r="11327" ht="15" customHeight="1" x14ac:dyDescent="0.25"/>
    <row r="11329" ht="15" customHeight="1" x14ac:dyDescent="0.25"/>
    <row r="11331" ht="15" customHeight="1" x14ac:dyDescent="0.25"/>
    <row r="11333" ht="15" customHeight="1" x14ac:dyDescent="0.25"/>
    <row r="11335" ht="15" customHeight="1" x14ac:dyDescent="0.25"/>
    <row r="11337" ht="15" customHeight="1" x14ac:dyDescent="0.25"/>
    <row r="11339" ht="15" customHeight="1" x14ac:dyDescent="0.25"/>
    <row r="11341" ht="15" customHeight="1" x14ac:dyDescent="0.25"/>
    <row r="11343" ht="15" customHeight="1" x14ac:dyDescent="0.25"/>
    <row r="11345" ht="15" customHeight="1" x14ac:dyDescent="0.25"/>
    <row r="11347" ht="15" customHeight="1" x14ac:dyDescent="0.25"/>
    <row r="11349" ht="15" customHeight="1" x14ac:dyDescent="0.25"/>
    <row r="11351" ht="15" customHeight="1" x14ac:dyDescent="0.25"/>
    <row r="11353" ht="15" customHeight="1" x14ac:dyDescent="0.25"/>
    <row r="11355" ht="15" customHeight="1" x14ac:dyDescent="0.25"/>
    <row r="11357" ht="15" customHeight="1" x14ac:dyDescent="0.25"/>
    <row r="11359" ht="15" customHeight="1" x14ac:dyDescent="0.25"/>
    <row r="11361" ht="15" customHeight="1" x14ac:dyDescent="0.25"/>
    <row r="11363" ht="15" customHeight="1" x14ac:dyDescent="0.25"/>
    <row r="11365" ht="15" customHeight="1" x14ac:dyDescent="0.25"/>
    <row r="11367" ht="15" customHeight="1" x14ac:dyDescent="0.25"/>
    <row r="11369" ht="15" customHeight="1" x14ac:dyDescent="0.25"/>
    <row r="11371" ht="15" customHeight="1" x14ac:dyDescent="0.25"/>
    <row r="11373" ht="15" customHeight="1" x14ac:dyDescent="0.25"/>
    <row r="11375" ht="15" customHeight="1" x14ac:dyDescent="0.25"/>
    <row r="11377" ht="15" customHeight="1" x14ac:dyDescent="0.25"/>
    <row r="11379" ht="15" customHeight="1" x14ac:dyDescent="0.25"/>
    <row r="11381" ht="15" customHeight="1" x14ac:dyDescent="0.25"/>
    <row r="11383" ht="15" customHeight="1" x14ac:dyDescent="0.25"/>
    <row r="11385" ht="15" customHeight="1" x14ac:dyDescent="0.25"/>
    <row r="11387" ht="15" customHeight="1" x14ac:dyDescent="0.25"/>
    <row r="11389" ht="15" customHeight="1" x14ac:dyDescent="0.25"/>
    <row r="11391" ht="15" customHeight="1" x14ac:dyDescent="0.25"/>
    <row r="11393" ht="15" customHeight="1" x14ac:dyDescent="0.25"/>
    <row r="11395" ht="15" customHeight="1" x14ac:dyDescent="0.25"/>
    <row r="11397" ht="15" customHeight="1" x14ac:dyDescent="0.25"/>
    <row r="11399" ht="15" customHeight="1" x14ac:dyDescent="0.25"/>
    <row r="11401" ht="15" customHeight="1" x14ac:dyDescent="0.25"/>
    <row r="11403" ht="15" customHeight="1" x14ac:dyDescent="0.25"/>
    <row r="11405" ht="15" customHeight="1" x14ac:dyDescent="0.25"/>
    <row r="11407" ht="15" customHeight="1" x14ac:dyDescent="0.25"/>
    <row r="11409" ht="15" customHeight="1" x14ac:dyDescent="0.25"/>
    <row r="11411" ht="15" customHeight="1" x14ac:dyDescent="0.25"/>
    <row r="11413" ht="15" customHeight="1" x14ac:dyDescent="0.25"/>
    <row r="11415" ht="15" customHeight="1" x14ac:dyDescent="0.25"/>
    <row r="11417" ht="15" customHeight="1" x14ac:dyDescent="0.25"/>
    <row r="11419" ht="15" customHeight="1" x14ac:dyDescent="0.25"/>
    <row r="11421" ht="15" customHeight="1" x14ac:dyDescent="0.25"/>
    <row r="11423" ht="15" customHeight="1" x14ac:dyDescent="0.25"/>
    <row r="11425" ht="15" customHeight="1" x14ac:dyDescent="0.25"/>
    <row r="11427" ht="15" customHeight="1" x14ac:dyDescent="0.25"/>
    <row r="11429" ht="15" customHeight="1" x14ac:dyDescent="0.25"/>
    <row r="11431" ht="15" customHeight="1" x14ac:dyDescent="0.25"/>
    <row r="11433" ht="15" customHeight="1" x14ac:dyDescent="0.25"/>
    <row r="11435" ht="15" customHeight="1" x14ac:dyDescent="0.25"/>
    <row r="11437" ht="15" customHeight="1" x14ac:dyDescent="0.25"/>
    <row r="11439" ht="15" customHeight="1" x14ac:dyDescent="0.25"/>
    <row r="11441" ht="15" customHeight="1" x14ac:dyDescent="0.25"/>
    <row r="11443" ht="15" customHeight="1" x14ac:dyDescent="0.25"/>
    <row r="11445" ht="15" customHeight="1" x14ac:dyDescent="0.25"/>
    <row r="11447" ht="15" customHeight="1" x14ac:dyDescent="0.25"/>
    <row r="11449" ht="15" customHeight="1" x14ac:dyDescent="0.25"/>
    <row r="11451" ht="15" customHeight="1" x14ac:dyDescent="0.25"/>
    <row r="11453" ht="15" customHeight="1" x14ac:dyDescent="0.25"/>
    <row r="11455" ht="15" customHeight="1" x14ac:dyDescent="0.25"/>
    <row r="11457" ht="15" customHeight="1" x14ac:dyDescent="0.25"/>
    <row r="11459" ht="15" customHeight="1" x14ac:dyDescent="0.25"/>
    <row r="11461" ht="15" customHeight="1" x14ac:dyDescent="0.25"/>
    <row r="11463" ht="15" customHeight="1" x14ac:dyDescent="0.25"/>
    <row r="11465" ht="15" customHeight="1" x14ac:dyDescent="0.25"/>
    <row r="11467" ht="15" customHeight="1" x14ac:dyDescent="0.25"/>
    <row r="11469" ht="15" customHeight="1" x14ac:dyDescent="0.25"/>
    <row r="11471" ht="15" customHeight="1" x14ac:dyDescent="0.25"/>
    <row r="11473" ht="15" customHeight="1" x14ac:dyDescent="0.25"/>
    <row r="11475" ht="15" customHeight="1" x14ac:dyDescent="0.25"/>
    <row r="11477" ht="15" customHeight="1" x14ac:dyDescent="0.25"/>
    <row r="11479" ht="15" customHeight="1" x14ac:dyDescent="0.25"/>
    <row r="11481" ht="15" customHeight="1" x14ac:dyDescent="0.25"/>
    <row r="11483" ht="15" customHeight="1" x14ac:dyDescent="0.25"/>
    <row r="11485" ht="15" customHeight="1" x14ac:dyDescent="0.25"/>
    <row r="11487" ht="15" customHeight="1" x14ac:dyDescent="0.25"/>
    <row r="11489" ht="15" customHeight="1" x14ac:dyDescent="0.25"/>
    <row r="11491" ht="15" customHeight="1" x14ac:dyDescent="0.25"/>
    <row r="11493" ht="15" customHeight="1" x14ac:dyDescent="0.25"/>
    <row r="11495" ht="15" customHeight="1" x14ac:dyDescent="0.25"/>
    <row r="11497" ht="15" customHeight="1" x14ac:dyDescent="0.25"/>
    <row r="11499" ht="15" customHeight="1" x14ac:dyDescent="0.25"/>
    <row r="11501" ht="15" customHeight="1" x14ac:dyDescent="0.25"/>
    <row r="11503" ht="15" customHeight="1" x14ac:dyDescent="0.25"/>
    <row r="11505" ht="15" customHeight="1" x14ac:dyDescent="0.25"/>
    <row r="11507" ht="15" customHeight="1" x14ac:dyDescent="0.25"/>
    <row r="11509" ht="15" customHeight="1" x14ac:dyDescent="0.25"/>
    <row r="11511" ht="15" customHeight="1" x14ac:dyDescent="0.25"/>
    <row r="11513" ht="15" customHeight="1" x14ac:dyDescent="0.25"/>
    <row r="11515" ht="15" customHeight="1" x14ac:dyDescent="0.25"/>
    <row r="11517" ht="15" customHeight="1" x14ac:dyDescent="0.25"/>
    <row r="11519" ht="15" customHeight="1" x14ac:dyDescent="0.25"/>
    <row r="11521" ht="15" customHeight="1" x14ac:dyDescent="0.25"/>
    <row r="11523" ht="15" customHeight="1" x14ac:dyDescent="0.25"/>
    <row r="11525" ht="15" customHeight="1" x14ac:dyDescent="0.25"/>
    <row r="11527" ht="15" customHeight="1" x14ac:dyDescent="0.25"/>
    <row r="11529" ht="15" customHeight="1" x14ac:dyDescent="0.25"/>
    <row r="11531" ht="15" customHeight="1" x14ac:dyDescent="0.25"/>
    <row r="11533" ht="15" customHeight="1" x14ac:dyDescent="0.25"/>
    <row r="11535" ht="15" customHeight="1" x14ac:dyDescent="0.25"/>
    <row r="11537" ht="15" customHeight="1" x14ac:dyDescent="0.25"/>
    <row r="11539" ht="15" customHeight="1" x14ac:dyDescent="0.25"/>
    <row r="11541" ht="15" customHeight="1" x14ac:dyDescent="0.25"/>
    <row r="11543" ht="15" customHeight="1" x14ac:dyDescent="0.25"/>
    <row r="11545" ht="15" customHeight="1" x14ac:dyDescent="0.25"/>
    <row r="11547" ht="15" customHeight="1" x14ac:dyDescent="0.25"/>
    <row r="11549" ht="15" customHeight="1" x14ac:dyDescent="0.25"/>
    <row r="11551" ht="15" customHeight="1" x14ac:dyDescent="0.25"/>
    <row r="11553" ht="15" customHeight="1" x14ac:dyDescent="0.25"/>
    <row r="11555" ht="15" customHeight="1" x14ac:dyDescent="0.25"/>
    <row r="11557" ht="15" customHeight="1" x14ac:dyDescent="0.25"/>
    <row r="11559" ht="15" customHeight="1" x14ac:dyDescent="0.25"/>
    <row r="11561" ht="15" customHeight="1" x14ac:dyDescent="0.25"/>
    <row r="11563" ht="15" customHeight="1" x14ac:dyDescent="0.25"/>
    <row r="11565" ht="15" customHeight="1" x14ac:dyDescent="0.25"/>
    <row r="11567" ht="15" customHeight="1" x14ac:dyDescent="0.25"/>
    <row r="11569" ht="15" customHeight="1" x14ac:dyDescent="0.25"/>
    <row r="11571" ht="15" customHeight="1" x14ac:dyDescent="0.25"/>
    <row r="11573" ht="15" customHeight="1" x14ac:dyDescent="0.25"/>
    <row r="11575" ht="15" customHeight="1" x14ac:dyDescent="0.25"/>
    <row r="11577" ht="15" customHeight="1" x14ac:dyDescent="0.25"/>
    <row r="11579" ht="15" customHeight="1" x14ac:dyDescent="0.25"/>
    <row r="11581" ht="15" customHeight="1" x14ac:dyDescent="0.25"/>
    <row r="11583" ht="15" customHeight="1" x14ac:dyDescent="0.25"/>
    <row r="11585" ht="15" customHeight="1" x14ac:dyDescent="0.25"/>
    <row r="11587" ht="15" customHeight="1" x14ac:dyDescent="0.25"/>
    <row r="11589" ht="15" customHeight="1" x14ac:dyDescent="0.25"/>
    <row r="11591" ht="15" customHeight="1" x14ac:dyDescent="0.25"/>
    <row r="11593" ht="15" customHeight="1" x14ac:dyDescent="0.25"/>
    <row r="11595" ht="15" customHeight="1" x14ac:dyDescent="0.25"/>
    <row r="11597" ht="15" customHeight="1" x14ac:dyDescent="0.25"/>
    <row r="11599" ht="15" customHeight="1" x14ac:dyDescent="0.25"/>
    <row r="11601" ht="15" customHeight="1" x14ac:dyDescent="0.25"/>
    <row r="11603" ht="15" customHeight="1" x14ac:dyDescent="0.25"/>
    <row r="11605" ht="15" customHeight="1" x14ac:dyDescent="0.25"/>
    <row r="11607" ht="15" customHeight="1" x14ac:dyDescent="0.25"/>
    <row r="11609" ht="15" customHeight="1" x14ac:dyDescent="0.25"/>
    <row r="11611" ht="15" customHeight="1" x14ac:dyDescent="0.25"/>
    <row r="11613" ht="15" customHeight="1" x14ac:dyDescent="0.25"/>
    <row r="11615" ht="15" customHeight="1" x14ac:dyDescent="0.25"/>
    <row r="11617" ht="15" customHeight="1" x14ac:dyDescent="0.25"/>
    <row r="11619" ht="15" customHeight="1" x14ac:dyDescent="0.25"/>
    <row r="11621" ht="15" customHeight="1" x14ac:dyDescent="0.25"/>
    <row r="11623" ht="15" customHeight="1" x14ac:dyDescent="0.25"/>
    <row r="11625" ht="15" customHeight="1" x14ac:dyDescent="0.25"/>
    <row r="11627" ht="15" customHeight="1" x14ac:dyDescent="0.25"/>
    <row r="11629" ht="15" customHeight="1" x14ac:dyDescent="0.25"/>
    <row r="11631" ht="15" customHeight="1" x14ac:dyDescent="0.25"/>
    <row r="11633" ht="15" customHeight="1" x14ac:dyDescent="0.25"/>
    <row r="11635" ht="15" customHeight="1" x14ac:dyDescent="0.25"/>
    <row r="11637" ht="15" customHeight="1" x14ac:dyDescent="0.25"/>
    <row r="11639" ht="15" customHeight="1" x14ac:dyDescent="0.25"/>
    <row r="11641" ht="15" customHeight="1" x14ac:dyDescent="0.25"/>
    <row r="11643" ht="15" customHeight="1" x14ac:dyDescent="0.25"/>
    <row r="11645" ht="15" customHeight="1" x14ac:dyDescent="0.25"/>
    <row r="11647" ht="15" customHeight="1" x14ac:dyDescent="0.25"/>
    <row r="11649" ht="15" customHeight="1" x14ac:dyDescent="0.25"/>
    <row r="11651" ht="15" customHeight="1" x14ac:dyDescent="0.25"/>
    <row r="11653" ht="15" customHeight="1" x14ac:dyDescent="0.25"/>
    <row r="11655" ht="15" customHeight="1" x14ac:dyDescent="0.25"/>
    <row r="11657" ht="15" customHeight="1" x14ac:dyDescent="0.25"/>
    <row r="11659" ht="15" customHeight="1" x14ac:dyDescent="0.25"/>
    <row r="11661" ht="15" customHeight="1" x14ac:dyDescent="0.25"/>
    <row r="11663" ht="15" customHeight="1" x14ac:dyDescent="0.25"/>
    <row r="11665" ht="15" customHeight="1" x14ac:dyDescent="0.25"/>
    <row r="11667" ht="15" customHeight="1" x14ac:dyDescent="0.25"/>
    <row r="11669" ht="15" customHeight="1" x14ac:dyDescent="0.25"/>
    <row r="11671" ht="15" customHeight="1" x14ac:dyDescent="0.25"/>
    <row r="11673" ht="15" customHeight="1" x14ac:dyDescent="0.25"/>
    <row r="11675" ht="15" customHeight="1" x14ac:dyDescent="0.25"/>
    <row r="11677" ht="15" customHeight="1" x14ac:dyDescent="0.25"/>
    <row r="11679" ht="15" customHeight="1" x14ac:dyDescent="0.25"/>
    <row r="11681" ht="15" customHeight="1" x14ac:dyDescent="0.25"/>
    <row r="11683" ht="15" customHeight="1" x14ac:dyDescent="0.25"/>
    <row r="11685" ht="15" customHeight="1" x14ac:dyDescent="0.25"/>
    <row r="11687" ht="15" customHeight="1" x14ac:dyDescent="0.25"/>
    <row r="11689" ht="15" customHeight="1" x14ac:dyDescent="0.25"/>
    <row r="11691" ht="15" customHeight="1" x14ac:dyDescent="0.25"/>
    <row r="11693" ht="15" customHeight="1" x14ac:dyDescent="0.25"/>
    <row r="11695" ht="15" customHeight="1" x14ac:dyDescent="0.25"/>
    <row r="11697" ht="15" customHeight="1" x14ac:dyDescent="0.25"/>
    <row r="11699" ht="15" customHeight="1" x14ac:dyDescent="0.25"/>
    <row r="11701" ht="15" customHeight="1" x14ac:dyDescent="0.25"/>
    <row r="11703" ht="15" customHeight="1" x14ac:dyDescent="0.25"/>
    <row r="11705" ht="15" customHeight="1" x14ac:dyDescent="0.25"/>
    <row r="11707" ht="15" customHeight="1" x14ac:dyDescent="0.25"/>
    <row r="11709" ht="15" customHeight="1" x14ac:dyDescent="0.25"/>
    <row r="11711" ht="15" customHeight="1" x14ac:dyDescent="0.25"/>
    <row r="11713" ht="15" customHeight="1" x14ac:dyDescent="0.25"/>
    <row r="11715" ht="15" customHeight="1" x14ac:dyDescent="0.25"/>
    <row r="11717" ht="15" customHeight="1" x14ac:dyDescent="0.25"/>
    <row r="11719" ht="15" customHeight="1" x14ac:dyDescent="0.25"/>
    <row r="11721" ht="15" customHeight="1" x14ac:dyDescent="0.25"/>
    <row r="11723" ht="15" customHeight="1" x14ac:dyDescent="0.25"/>
    <row r="11725" ht="15" customHeight="1" x14ac:dyDescent="0.25"/>
    <row r="11727" ht="15" customHeight="1" x14ac:dyDescent="0.25"/>
    <row r="11729" ht="15" customHeight="1" x14ac:dyDescent="0.25"/>
    <row r="11731" ht="15" customHeight="1" x14ac:dyDescent="0.25"/>
    <row r="11733" ht="15" customHeight="1" x14ac:dyDescent="0.25"/>
    <row r="11735" ht="15" customHeight="1" x14ac:dyDescent="0.25"/>
    <row r="11737" ht="15" customHeight="1" x14ac:dyDescent="0.25"/>
    <row r="11739" ht="15" customHeight="1" x14ac:dyDescent="0.25"/>
    <row r="11741" ht="15" customHeight="1" x14ac:dyDescent="0.25"/>
    <row r="11743" ht="15" customHeight="1" x14ac:dyDescent="0.25"/>
    <row r="11745" ht="15" customHeight="1" x14ac:dyDescent="0.25"/>
    <row r="11747" ht="15" customHeight="1" x14ac:dyDescent="0.25"/>
    <row r="11749" ht="15" customHeight="1" x14ac:dyDescent="0.25"/>
    <row r="11751" ht="15" customHeight="1" x14ac:dyDescent="0.25"/>
    <row r="11753" ht="15" customHeight="1" x14ac:dyDescent="0.25"/>
    <row r="11755" ht="15" customHeight="1" x14ac:dyDescent="0.25"/>
    <row r="11757" ht="15" customHeight="1" x14ac:dyDescent="0.25"/>
    <row r="11759" ht="15" customHeight="1" x14ac:dyDescent="0.25"/>
    <row r="11761" ht="15" customHeight="1" x14ac:dyDescent="0.25"/>
    <row r="11763" ht="15" customHeight="1" x14ac:dyDescent="0.25"/>
    <row r="11765" ht="15" customHeight="1" x14ac:dyDescent="0.25"/>
    <row r="11767" ht="15" customHeight="1" x14ac:dyDescent="0.25"/>
    <row r="11769" ht="15" customHeight="1" x14ac:dyDescent="0.25"/>
    <row r="11771" ht="15" customHeight="1" x14ac:dyDescent="0.25"/>
    <row r="11773" ht="15" customHeight="1" x14ac:dyDescent="0.25"/>
    <row r="11775" ht="15" customHeight="1" x14ac:dyDescent="0.25"/>
    <row r="11777" ht="15" customHeight="1" x14ac:dyDescent="0.25"/>
    <row r="11779" ht="15" customHeight="1" x14ac:dyDescent="0.25"/>
    <row r="11781" ht="15" customHeight="1" x14ac:dyDescent="0.25"/>
    <row r="11783" ht="15" customHeight="1" x14ac:dyDescent="0.25"/>
    <row r="11785" ht="15" customHeight="1" x14ac:dyDescent="0.25"/>
    <row r="11787" ht="15" customHeight="1" x14ac:dyDescent="0.25"/>
    <row r="11789" ht="15" customHeight="1" x14ac:dyDescent="0.25"/>
    <row r="11791" ht="15" customHeight="1" x14ac:dyDescent="0.25"/>
    <row r="11793" ht="15" customHeight="1" x14ac:dyDescent="0.25"/>
    <row r="11795" ht="15" customHeight="1" x14ac:dyDescent="0.25"/>
    <row r="11797" ht="15" customHeight="1" x14ac:dyDescent="0.25"/>
    <row r="11799" ht="15" customHeight="1" x14ac:dyDescent="0.25"/>
    <row r="11801" ht="15" customHeight="1" x14ac:dyDescent="0.25"/>
    <row r="11803" ht="15" customHeight="1" x14ac:dyDescent="0.25"/>
    <row r="11805" ht="15" customHeight="1" x14ac:dyDescent="0.25"/>
    <row r="11807" ht="15" customHeight="1" x14ac:dyDescent="0.25"/>
    <row r="11809" ht="15" customHeight="1" x14ac:dyDescent="0.25"/>
    <row r="11811" ht="15" customHeight="1" x14ac:dyDescent="0.25"/>
    <row r="11813" ht="15" customHeight="1" x14ac:dyDescent="0.25"/>
    <row r="11815" ht="15" customHeight="1" x14ac:dyDescent="0.25"/>
    <row r="11817" ht="15" customHeight="1" x14ac:dyDescent="0.25"/>
    <row r="11819" ht="15" customHeight="1" x14ac:dyDescent="0.25"/>
    <row r="11821" ht="15" customHeight="1" x14ac:dyDescent="0.25"/>
    <row r="11823" ht="15" customHeight="1" x14ac:dyDescent="0.25"/>
    <row r="11825" ht="15" customHeight="1" x14ac:dyDescent="0.25"/>
    <row r="11827" ht="15" customHeight="1" x14ac:dyDescent="0.25"/>
    <row r="11829" ht="15" customHeight="1" x14ac:dyDescent="0.25"/>
    <row r="11831" ht="15" customHeight="1" x14ac:dyDescent="0.25"/>
    <row r="11833" ht="15" customHeight="1" x14ac:dyDescent="0.25"/>
    <row r="11835" ht="15" customHeight="1" x14ac:dyDescent="0.25"/>
    <row r="11837" ht="15" customHeight="1" x14ac:dyDescent="0.25"/>
    <row r="11839" ht="15" customHeight="1" x14ac:dyDescent="0.25"/>
    <row r="11841" ht="15" customHeight="1" x14ac:dyDescent="0.25"/>
    <row r="11843" ht="15" customHeight="1" x14ac:dyDescent="0.25"/>
    <row r="11845" ht="15" customHeight="1" x14ac:dyDescent="0.25"/>
    <row r="11847" ht="15" customHeight="1" x14ac:dyDescent="0.25"/>
    <row r="11849" ht="15" customHeight="1" x14ac:dyDescent="0.25"/>
    <row r="11851" ht="15" customHeight="1" x14ac:dyDescent="0.25"/>
    <row r="11853" ht="15" customHeight="1" x14ac:dyDescent="0.25"/>
    <row r="11855" ht="15" customHeight="1" x14ac:dyDescent="0.25"/>
    <row r="11857" ht="15" customHeight="1" x14ac:dyDescent="0.25"/>
    <row r="11859" ht="15" customHeight="1" x14ac:dyDescent="0.25"/>
    <row r="11861" ht="15" customHeight="1" x14ac:dyDescent="0.25"/>
    <row r="11863" ht="15" customHeight="1" x14ac:dyDescent="0.25"/>
    <row r="11865" ht="15" customHeight="1" x14ac:dyDescent="0.25"/>
    <row r="11867" ht="15" customHeight="1" x14ac:dyDescent="0.25"/>
    <row r="11869" ht="15" customHeight="1" x14ac:dyDescent="0.25"/>
    <row r="11871" ht="15" customHeight="1" x14ac:dyDescent="0.25"/>
    <row r="11873" ht="15" customHeight="1" x14ac:dyDescent="0.25"/>
    <row r="11875" ht="15" customHeight="1" x14ac:dyDescent="0.25"/>
    <row r="11877" ht="15" customHeight="1" x14ac:dyDescent="0.25"/>
    <row r="11879" ht="15" customHeight="1" x14ac:dyDescent="0.25"/>
    <row r="11881" ht="15" customHeight="1" x14ac:dyDescent="0.25"/>
    <row r="11883" ht="15" customHeight="1" x14ac:dyDescent="0.25"/>
    <row r="11885" ht="15" customHeight="1" x14ac:dyDescent="0.25"/>
    <row r="11887" ht="15" customHeight="1" x14ac:dyDescent="0.25"/>
    <row r="11889" ht="15" customHeight="1" x14ac:dyDescent="0.25"/>
    <row r="11891" ht="15" customHeight="1" x14ac:dyDescent="0.25"/>
    <row r="11893" ht="15" customHeight="1" x14ac:dyDescent="0.25"/>
    <row r="11895" ht="15" customHeight="1" x14ac:dyDescent="0.25"/>
    <row r="11897" ht="15" customHeight="1" x14ac:dyDescent="0.25"/>
    <row r="11899" ht="15" customHeight="1" x14ac:dyDescent="0.25"/>
    <row r="11901" ht="15" customHeight="1" x14ac:dyDescent="0.25"/>
    <row r="11903" ht="15" customHeight="1" x14ac:dyDescent="0.25"/>
    <row r="11905" ht="15" customHeight="1" x14ac:dyDescent="0.25"/>
    <row r="11907" ht="15" customHeight="1" x14ac:dyDescent="0.25"/>
    <row r="11909" ht="15" customHeight="1" x14ac:dyDescent="0.25"/>
    <row r="11911" ht="15" customHeight="1" x14ac:dyDescent="0.25"/>
    <row r="11913" ht="15" customHeight="1" x14ac:dyDescent="0.25"/>
    <row r="11915" ht="15" customHeight="1" x14ac:dyDescent="0.25"/>
    <row r="11917" ht="15" customHeight="1" x14ac:dyDescent="0.25"/>
    <row r="11919" ht="15" customHeight="1" x14ac:dyDescent="0.25"/>
    <row r="11921" ht="15" customHeight="1" x14ac:dyDescent="0.25"/>
    <row r="11923" ht="15" customHeight="1" x14ac:dyDescent="0.25"/>
    <row r="11925" ht="15" customHeight="1" x14ac:dyDescent="0.25"/>
    <row r="11927" ht="15" customHeight="1" x14ac:dyDescent="0.25"/>
    <row r="11929" ht="15" customHeight="1" x14ac:dyDescent="0.25"/>
    <row r="11931" ht="15" customHeight="1" x14ac:dyDescent="0.25"/>
    <row r="11933" ht="15" customHeight="1" x14ac:dyDescent="0.25"/>
    <row r="11935" ht="15" customHeight="1" x14ac:dyDescent="0.25"/>
    <row r="11937" ht="15" customHeight="1" x14ac:dyDescent="0.25"/>
    <row r="11939" ht="15" customHeight="1" x14ac:dyDescent="0.25"/>
    <row r="11941" ht="15" customHeight="1" x14ac:dyDescent="0.25"/>
    <row r="11943" ht="15" customHeight="1" x14ac:dyDescent="0.25"/>
    <row r="11945" ht="15" customHeight="1" x14ac:dyDescent="0.25"/>
    <row r="11947" ht="15" customHeight="1" x14ac:dyDescent="0.25"/>
    <row r="11949" ht="15" customHeight="1" x14ac:dyDescent="0.25"/>
    <row r="11951" ht="15" customHeight="1" x14ac:dyDescent="0.25"/>
    <row r="11953" ht="15" customHeight="1" x14ac:dyDescent="0.25"/>
    <row r="11955" ht="15" customHeight="1" x14ac:dyDescent="0.25"/>
    <row r="11957" ht="15" customHeight="1" x14ac:dyDescent="0.25"/>
    <row r="11959" ht="15" customHeight="1" x14ac:dyDescent="0.25"/>
    <row r="11961" ht="15" customHeight="1" x14ac:dyDescent="0.25"/>
    <row r="11963" ht="15" customHeight="1" x14ac:dyDescent="0.25"/>
    <row r="11965" ht="15" customHeight="1" x14ac:dyDescent="0.25"/>
    <row r="11967" ht="15" customHeight="1" x14ac:dyDescent="0.25"/>
    <row r="11969" ht="15" customHeight="1" x14ac:dyDescent="0.25"/>
    <row r="11971" ht="15" customHeight="1" x14ac:dyDescent="0.25"/>
    <row r="11973" ht="15" customHeight="1" x14ac:dyDescent="0.25"/>
    <row r="11975" ht="15" customHeight="1" x14ac:dyDescent="0.25"/>
    <row r="11977" ht="15" customHeight="1" x14ac:dyDescent="0.25"/>
    <row r="11979" ht="15" customHeight="1" x14ac:dyDescent="0.25"/>
    <row r="11981" ht="15" customHeight="1" x14ac:dyDescent="0.25"/>
    <row r="11983" ht="15" customHeight="1" x14ac:dyDescent="0.25"/>
    <row r="11985" ht="15" customHeight="1" x14ac:dyDescent="0.25"/>
    <row r="11987" ht="15" customHeight="1" x14ac:dyDescent="0.25"/>
    <row r="11989" ht="15" customHeight="1" x14ac:dyDescent="0.25"/>
    <row r="11991" ht="15" customHeight="1" x14ac:dyDescent="0.25"/>
    <row r="11993" ht="15" customHeight="1" x14ac:dyDescent="0.25"/>
    <row r="11995" ht="15" customHeight="1" x14ac:dyDescent="0.25"/>
    <row r="11997" ht="15" customHeight="1" x14ac:dyDescent="0.25"/>
    <row r="11999" ht="15" customHeight="1" x14ac:dyDescent="0.25"/>
    <row r="12001" ht="15" customHeight="1" x14ac:dyDescent="0.25"/>
    <row r="12003" ht="15" customHeight="1" x14ac:dyDescent="0.25"/>
    <row r="12005" ht="15" customHeight="1" x14ac:dyDescent="0.25"/>
    <row r="12007" ht="15" customHeight="1" x14ac:dyDescent="0.25"/>
    <row r="12009" ht="15" customHeight="1" x14ac:dyDescent="0.25"/>
    <row r="12011" ht="15" customHeight="1" x14ac:dyDescent="0.25"/>
    <row r="12013" ht="15" customHeight="1" x14ac:dyDescent="0.25"/>
    <row r="12015" ht="15" customHeight="1" x14ac:dyDescent="0.25"/>
    <row r="12017" ht="15" customHeight="1" x14ac:dyDescent="0.25"/>
    <row r="12019" ht="15" customHeight="1" x14ac:dyDescent="0.25"/>
    <row r="12021" ht="15" customHeight="1" x14ac:dyDescent="0.25"/>
    <row r="12023" ht="15" customHeight="1" x14ac:dyDescent="0.25"/>
    <row r="12025" ht="15" customHeight="1" x14ac:dyDescent="0.25"/>
    <row r="12027" ht="15" customHeight="1" x14ac:dyDescent="0.25"/>
    <row r="12029" ht="15" customHeight="1" x14ac:dyDescent="0.25"/>
    <row r="12031" ht="15" customHeight="1" x14ac:dyDescent="0.25"/>
    <row r="12033" ht="15" customHeight="1" x14ac:dyDescent="0.25"/>
    <row r="12035" ht="15" customHeight="1" x14ac:dyDescent="0.25"/>
    <row r="12037" ht="15" customHeight="1" x14ac:dyDescent="0.25"/>
    <row r="12039" ht="15" customHeight="1" x14ac:dyDescent="0.25"/>
    <row r="12041" ht="15" customHeight="1" x14ac:dyDescent="0.25"/>
    <row r="12043" ht="15" customHeight="1" x14ac:dyDescent="0.25"/>
    <row r="12045" ht="15" customHeight="1" x14ac:dyDescent="0.25"/>
    <row r="12047" ht="15" customHeight="1" x14ac:dyDescent="0.25"/>
    <row r="12049" ht="15" customHeight="1" x14ac:dyDescent="0.25"/>
    <row r="12051" ht="15" customHeight="1" x14ac:dyDescent="0.25"/>
    <row r="12053" ht="15" customHeight="1" x14ac:dyDescent="0.25"/>
    <row r="12055" ht="15" customHeight="1" x14ac:dyDescent="0.25"/>
    <row r="12057" ht="15" customHeight="1" x14ac:dyDescent="0.25"/>
    <row r="12059" ht="15" customHeight="1" x14ac:dyDescent="0.25"/>
    <row r="12061" ht="15" customHeight="1" x14ac:dyDescent="0.25"/>
    <row r="1047177" spans="11:14" ht="15.4" customHeight="1" x14ac:dyDescent="0.25">
      <c r="K1047177" s="156"/>
      <c r="N1047177" s="25"/>
    </row>
    <row r="1048479" spans="14:14" x14ac:dyDescent="0.25">
      <c r="N1048479" s="13"/>
    </row>
  </sheetData>
  <autoFilter ref="A2:AB6">
    <sortState ref="A4:AC22">
      <sortCondition ref="O2:O10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1:AB1048537"/>
  <sheetViews>
    <sheetView topLeftCell="C1" zoomScale="90" zoomScaleNormal="90" workbookViewId="0">
      <pane ySplit="2" topLeftCell="A3" activePane="bottomLeft" state="frozen"/>
      <selection pane="bottomLeft" activeCell="O13" sqref="O13"/>
    </sheetView>
  </sheetViews>
  <sheetFormatPr baseColWidth="10" defaultColWidth="11.42578125" defaultRowHeight="15" x14ac:dyDescent="0.25"/>
  <cols>
    <col min="1" max="1" width="15" style="289" customWidth="1"/>
    <col min="2" max="2" width="70.28515625" style="289" customWidth="1"/>
    <col min="3" max="3" width="10.28515625" style="288" customWidth="1"/>
    <col min="4" max="4" width="11.140625" style="288" customWidth="1"/>
    <col min="5" max="5" width="11.140625" style="32" customWidth="1"/>
    <col min="6" max="6" width="9.7109375" style="288" customWidth="1"/>
    <col min="7" max="7" width="11.140625" style="288" customWidth="1"/>
    <col min="8" max="8" width="9.7109375" style="288" customWidth="1"/>
    <col min="9" max="9" width="11" style="288" customWidth="1"/>
    <col min="10" max="10" width="9.140625" style="288" customWidth="1"/>
    <col min="11" max="11" width="8.85546875" style="288" customWidth="1"/>
    <col min="12" max="12" width="10.28515625" style="288" customWidth="1"/>
    <col min="13" max="13" width="15.5703125" style="288" customWidth="1"/>
    <col min="14" max="14" width="10.140625" style="288" customWidth="1"/>
    <col min="15" max="15" width="9.42578125" style="288" customWidth="1"/>
    <col min="16" max="16" width="11.42578125" style="288" customWidth="1"/>
    <col min="17" max="17" width="8.85546875" style="288" customWidth="1"/>
    <col min="18" max="18" width="16.5703125" style="288" customWidth="1"/>
    <col min="19" max="20" width="19.5703125" customWidth="1"/>
    <col min="21" max="21" width="14.7109375" customWidth="1"/>
    <col min="22" max="22" width="20.5703125" customWidth="1"/>
    <col min="23" max="23" width="12.140625" customWidth="1"/>
    <col min="24" max="24" width="15" style="288" customWidth="1"/>
    <col min="25" max="25" width="14.85546875" style="288" customWidth="1"/>
    <col min="26" max="26" width="14.85546875" customWidth="1"/>
    <col min="27" max="27" width="60.7109375" customWidth="1"/>
  </cols>
  <sheetData>
    <row r="1" spans="1:28" ht="23.25" customHeight="1" x14ac:dyDescent="0.25">
      <c r="A1" s="772" t="s">
        <v>75</v>
      </c>
      <c r="B1" s="762" t="s">
        <v>76</v>
      </c>
      <c r="C1" s="764" t="s">
        <v>77</v>
      </c>
      <c r="D1" s="780" t="s">
        <v>572</v>
      </c>
      <c r="E1" s="779" t="s">
        <v>80</v>
      </c>
      <c r="F1" s="763" t="s">
        <v>81</v>
      </c>
      <c r="G1" s="782" t="s">
        <v>573</v>
      </c>
      <c r="H1" s="764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84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x14ac:dyDescent="0.25">
      <c r="A2" s="773"/>
      <c r="B2" s="753"/>
      <c r="C2" s="765"/>
      <c r="D2" s="781"/>
      <c r="E2" s="765"/>
      <c r="F2" s="753"/>
      <c r="G2" s="783"/>
      <c r="H2" s="765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65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ht="26.25" customHeight="1" x14ac:dyDescent="0.25">
      <c r="A3" s="54" t="s">
        <v>574</v>
      </c>
      <c r="B3" s="54" t="s">
        <v>575</v>
      </c>
      <c r="C3" s="174"/>
      <c r="D3" s="66">
        <v>10</v>
      </c>
      <c r="E3" s="66">
        <v>11</v>
      </c>
      <c r="F3" s="174">
        <v>115</v>
      </c>
      <c r="G3" s="174"/>
      <c r="H3" s="174">
        <v>60</v>
      </c>
      <c r="I3" s="174"/>
      <c r="J3" s="174"/>
      <c r="K3" s="96">
        <v>764062</v>
      </c>
      <c r="L3" s="66"/>
      <c r="M3" s="96" t="s">
        <v>576</v>
      </c>
      <c r="N3" s="63" t="s">
        <v>577</v>
      </c>
      <c r="O3" s="96">
        <v>1</v>
      </c>
      <c r="P3" s="6" t="s">
        <v>578</v>
      </c>
      <c r="Q3" s="6" t="s">
        <v>2016</v>
      </c>
      <c r="R3" s="18">
        <v>30</v>
      </c>
      <c r="S3" s="18"/>
      <c r="T3" s="12"/>
      <c r="U3" s="6">
        <v>30</v>
      </c>
      <c r="V3" s="18">
        <v>30</v>
      </c>
      <c r="W3" s="676">
        <f t="shared" ref="W3:W13" si="0">U3+V3</f>
        <v>60</v>
      </c>
      <c r="X3" s="298">
        <v>9337.75</v>
      </c>
      <c r="Y3" s="8">
        <v>6490</v>
      </c>
      <c r="Z3" s="8">
        <f t="shared" ref="Z3:Z13" si="1">R3*X3</f>
        <v>280132.5</v>
      </c>
      <c r="AA3" s="599">
        <f t="shared" ref="AA3:AA11" si="2">W3*Y3</f>
        <v>389400</v>
      </c>
      <c r="AB3" s="36"/>
    </row>
    <row r="4" spans="1:28" s="4" customFormat="1" ht="26.25" customHeight="1" x14ac:dyDescent="0.25">
      <c r="A4" s="54" t="s">
        <v>579</v>
      </c>
      <c r="B4" s="54" t="s">
        <v>580</v>
      </c>
      <c r="C4" s="174"/>
      <c r="D4" s="66">
        <v>60</v>
      </c>
      <c r="E4" s="66">
        <v>60</v>
      </c>
      <c r="F4" s="174">
        <v>0</v>
      </c>
      <c r="G4" s="174"/>
      <c r="H4" s="174">
        <v>360</v>
      </c>
      <c r="I4" s="174"/>
      <c r="J4" s="174"/>
      <c r="K4" s="96">
        <v>764062</v>
      </c>
      <c r="L4" s="166"/>
      <c r="M4" s="96" t="s">
        <v>576</v>
      </c>
      <c r="N4" s="63" t="s">
        <v>577</v>
      </c>
      <c r="O4" s="96">
        <v>2</v>
      </c>
      <c r="P4" s="29" t="s">
        <v>578</v>
      </c>
      <c r="Q4" s="6" t="s">
        <v>2016</v>
      </c>
      <c r="R4" s="19">
        <v>420</v>
      </c>
      <c r="S4" s="31"/>
      <c r="T4" s="12"/>
      <c r="U4" s="31">
        <v>420</v>
      </c>
      <c r="V4" s="31">
        <v>420</v>
      </c>
      <c r="W4" s="676">
        <f t="shared" si="0"/>
        <v>840</v>
      </c>
      <c r="X4" s="299">
        <v>1790</v>
      </c>
      <c r="Y4" s="8">
        <v>1750</v>
      </c>
      <c r="Z4" s="8">
        <f t="shared" si="1"/>
        <v>751800</v>
      </c>
      <c r="AA4" s="599">
        <f t="shared" si="2"/>
        <v>1470000</v>
      </c>
      <c r="AB4" s="31"/>
    </row>
    <row r="5" spans="1:28" s="4" customFormat="1" ht="52.5" customHeight="1" x14ac:dyDescent="0.25">
      <c r="A5" s="92" t="s">
        <v>105</v>
      </c>
      <c r="B5" s="92" t="s">
        <v>106</v>
      </c>
      <c r="C5" s="247"/>
      <c r="D5" s="55">
        <v>60</v>
      </c>
      <c r="E5" s="55">
        <v>120</v>
      </c>
      <c r="F5" s="247">
        <v>0</v>
      </c>
      <c r="G5" s="247"/>
      <c r="H5" s="247">
        <v>360</v>
      </c>
      <c r="I5" s="247"/>
      <c r="J5" s="247"/>
      <c r="K5" s="60">
        <v>764062</v>
      </c>
      <c r="L5" s="306"/>
      <c r="M5" s="60" t="s">
        <v>576</v>
      </c>
      <c r="N5" s="243" t="s">
        <v>577</v>
      </c>
      <c r="O5" s="60">
        <v>3</v>
      </c>
      <c r="P5" s="29"/>
      <c r="Q5" s="19"/>
      <c r="R5" s="19">
        <v>800</v>
      </c>
      <c r="S5" s="31"/>
      <c r="T5" s="12"/>
      <c r="U5" s="31"/>
      <c r="V5" s="31"/>
      <c r="W5" s="676">
        <f t="shared" si="0"/>
        <v>0</v>
      </c>
      <c r="X5" s="299">
        <v>52</v>
      </c>
      <c r="Y5" s="8">
        <v>62</v>
      </c>
      <c r="Z5" s="8">
        <f t="shared" si="1"/>
        <v>41600</v>
      </c>
      <c r="AA5" s="599">
        <f>W5*Y5</f>
        <v>0</v>
      </c>
      <c r="AB5" s="31"/>
    </row>
    <row r="6" spans="1:28" s="4" customFormat="1" ht="39.4" customHeight="1" x14ac:dyDescent="0.25">
      <c r="A6" s="54" t="s">
        <v>581</v>
      </c>
      <c r="B6" s="54" t="s">
        <v>582</v>
      </c>
      <c r="C6" s="174"/>
      <c r="D6" s="66">
        <v>60</v>
      </c>
      <c r="E6" s="66">
        <v>900</v>
      </c>
      <c r="F6" s="174">
        <v>0</v>
      </c>
      <c r="G6" s="174"/>
      <c r="H6" s="174">
        <v>2520</v>
      </c>
      <c r="I6" s="174"/>
      <c r="J6" s="174"/>
      <c r="K6" s="96">
        <v>764062</v>
      </c>
      <c r="L6" s="166"/>
      <c r="M6" s="96" t="s">
        <v>576</v>
      </c>
      <c r="N6" s="63" t="s">
        <v>577</v>
      </c>
      <c r="O6" s="96">
        <v>4</v>
      </c>
      <c r="P6" s="29" t="s">
        <v>578</v>
      </c>
      <c r="Q6" s="6" t="s">
        <v>2016</v>
      </c>
      <c r="R6" s="19">
        <v>6300</v>
      </c>
      <c r="S6" s="31"/>
      <c r="T6" s="12"/>
      <c r="U6" s="31">
        <v>6300</v>
      </c>
      <c r="V6" s="31">
        <v>6300</v>
      </c>
      <c r="W6" s="676">
        <f t="shared" si="0"/>
        <v>12600</v>
      </c>
      <c r="X6" s="299">
        <v>70.5</v>
      </c>
      <c r="Y6" s="8">
        <v>44</v>
      </c>
      <c r="Z6" s="8">
        <f t="shared" si="1"/>
        <v>444150</v>
      </c>
      <c r="AA6" s="599">
        <f t="shared" si="2"/>
        <v>554400</v>
      </c>
      <c r="AB6" s="31"/>
    </row>
    <row r="7" spans="1:28" s="4" customFormat="1" ht="108.75" customHeight="1" x14ac:dyDescent="0.25">
      <c r="A7" s="92" t="s">
        <v>107</v>
      </c>
      <c r="B7" s="422" t="s">
        <v>108</v>
      </c>
      <c r="C7" s="306"/>
      <c r="D7" s="243">
        <v>40</v>
      </c>
      <c r="E7" s="243">
        <v>60</v>
      </c>
      <c r="F7" s="306">
        <v>0</v>
      </c>
      <c r="G7" s="306"/>
      <c r="H7" s="306">
        <v>250</v>
      </c>
      <c r="I7" s="306"/>
      <c r="J7" s="306"/>
      <c r="K7" s="60">
        <v>764062</v>
      </c>
      <c r="L7" s="306"/>
      <c r="M7" s="60" t="s">
        <v>576</v>
      </c>
      <c r="N7" s="243" t="s">
        <v>577</v>
      </c>
      <c r="O7" s="60">
        <v>5</v>
      </c>
      <c r="P7" s="29"/>
      <c r="Q7" s="1"/>
      <c r="R7" s="1">
        <v>420</v>
      </c>
      <c r="S7" s="36"/>
      <c r="T7" s="12"/>
      <c r="U7" s="36"/>
      <c r="V7" s="36"/>
      <c r="W7" s="676">
        <f t="shared" si="0"/>
        <v>0</v>
      </c>
      <c r="X7" s="301">
        <v>1047.8599999999999</v>
      </c>
      <c r="Y7" s="8">
        <v>2350</v>
      </c>
      <c r="Z7" s="8">
        <f t="shared" si="1"/>
        <v>440101.19999999995</v>
      </c>
      <c r="AA7" s="599">
        <f t="shared" si="2"/>
        <v>0</v>
      </c>
      <c r="AB7" s="31"/>
    </row>
    <row r="8" spans="1:28" s="4" customFormat="1" ht="47.25" customHeight="1" x14ac:dyDescent="0.25">
      <c r="A8" s="324" t="s">
        <v>583</v>
      </c>
      <c r="B8" s="577" t="s">
        <v>584</v>
      </c>
      <c r="C8" s="166"/>
      <c r="D8" s="63">
        <v>15</v>
      </c>
      <c r="E8" s="63">
        <v>20</v>
      </c>
      <c r="F8" s="166">
        <v>0</v>
      </c>
      <c r="G8" s="166"/>
      <c r="H8" s="166">
        <v>100</v>
      </c>
      <c r="I8" s="166"/>
      <c r="J8" s="166"/>
      <c r="K8" s="96">
        <v>764062</v>
      </c>
      <c r="L8" s="166"/>
      <c r="M8" s="96" t="s">
        <v>576</v>
      </c>
      <c r="N8" s="63" t="s">
        <v>577</v>
      </c>
      <c r="O8" s="96">
        <v>6</v>
      </c>
      <c r="P8" s="29" t="s">
        <v>578</v>
      </c>
      <c r="Q8" s="6" t="s">
        <v>2016</v>
      </c>
      <c r="R8" s="1">
        <v>240</v>
      </c>
      <c r="S8" s="36"/>
      <c r="T8" s="12"/>
      <c r="U8" s="36">
        <v>240</v>
      </c>
      <c r="V8" s="36">
        <v>240</v>
      </c>
      <c r="W8" s="676">
        <f t="shared" si="0"/>
        <v>480</v>
      </c>
      <c r="X8" s="301">
        <v>2420</v>
      </c>
      <c r="Y8" s="8">
        <v>2332</v>
      </c>
      <c r="Z8" s="8">
        <f t="shared" si="1"/>
        <v>580800</v>
      </c>
      <c r="AA8" s="599">
        <f t="shared" si="2"/>
        <v>1119360</v>
      </c>
      <c r="AB8" s="31"/>
    </row>
    <row r="9" spans="1:28" s="4" customFormat="1" ht="73.5" customHeight="1" x14ac:dyDescent="0.25">
      <c r="A9" s="54" t="s">
        <v>585</v>
      </c>
      <c r="B9" s="54" t="s">
        <v>586</v>
      </c>
      <c r="C9" s="166"/>
      <c r="D9" s="63">
        <v>2</v>
      </c>
      <c r="E9" s="63"/>
      <c r="F9" s="166">
        <v>0</v>
      </c>
      <c r="G9" s="166"/>
      <c r="H9" s="166">
        <v>50</v>
      </c>
      <c r="I9" s="166"/>
      <c r="J9" s="166"/>
      <c r="K9" s="96">
        <v>764062</v>
      </c>
      <c r="L9" s="166"/>
      <c r="M9" s="96" t="s">
        <v>576</v>
      </c>
      <c r="N9" s="63" t="s">
        <v>577</v>
      </c>
      <c r="O9" s="96">
        <v>7</v>
      </c>
      <c r="P9" s="29" t="s">
        <v>578</v>
      </c>
      <c r="Q9" s="6" t="s">
        <v>2016</v>
      </c>
      <c r="R9" s="1">
        <v>50</v>
      </c>
      <c r="S9" s="36"/>
      <c r="T9" s="12"/>
      <c r="U9" s="36">
        <v>50</v>
      </c>
      <c r="V9" s="36">
        <v>50</v>
      </c>
      <c r="W9" s="676">
        <f t="shared" si="0"/>
        <v>100</v>
      </c>
      <c r="X9" s="301">
        <v>627</v>
      </c>
      <c r="Y9" s="8">
        <v>735</v>
      </c>
      <c r="Z9" s="8">
        <f t="shared" si="1"/>
        <v>31350</v>
      </c>
      <c r="AA9" s="599">
        <f t="shared" si="2"/>
        <v>73500</v>
      </c>
      <c r="AB9" s="31"/>
    </row>
    <row r="10" spans="1:28" s="4" customFormat="1" ht="20.25" customHeight="1" x14ac:dyDescent="0.25">
      <c r="A10" s="498" t="s">
        <v>109</v>
      </c>
      <c r="B10" s="498" t="s">
        <v>110</v>
      </c>
      <c r="C10" s="243"/>
      <c r="D10" s="243">
        <v>4000</v>
      </c>
      <c r="E10" s="243">
        <v>4000</v>
      </c>
      <c r="F10" s="306">
        <v>0</v>
      </c>
      <c r="G10" s="306"/>
      <c r="H10" s="306">
        <v>24000</v>
      </c>
      <c r="I10" s="306"/>
      <c r="J10" s="306"/>
      <c r="K10" s="60">
        <v>764062</v>
      </c>
      <c r="L10" s="306"/>
      <c r="M10" s="306" t="s">
        <v>587</v>
      </c>
      <c r="N10" s="243" t="s">
        <v>577</v>
      </c>
      <c r="O10" s="60">
        <v>8</v>
      </c>
      <c r="P10" s="29"/>
      <c r="Q10" s="1"/>
      <c r="R10" s="1">
        <v>28000</v>
      </c>
      <c r="S10" s="36"/>
      <c r="T10" s="12"/>
      <c r="U10" s="36"/>
      <c r="V10" s="36"/>
      <c r="W10" s="676">
        <f t="shared" si="0"/>
        <v>0</v>
      </c>
      <c r="X10" s="301">
        <v>130.5</v>
      </c>
      <c r="Y10" s="8">
        <v>332.6</v>
      </c>
      <c r="Z10" s="8">
        <f t="shared" si="1"/>
        <v>3654000</v>
      </c>
      <c r="AA10" s="599">
        <f t="shared" si="2"/>
        <v>0</v>
      </c>
      <c r="AB10" s="31"/>
    </row>
    <row r="11" spans="1:28" x14ac:dyDescent="0.25">
      <c r="A11" s="54" t="s">
        <v>588</v>
      </c>
      <c r="B11" s="54" t="s">
        <v>589</v>
      </c>
      <c r="C11" s="174"/>
      <c r="D11" s="66"/>
      <c r="E11" s="66"/>
      <c r="F11" s="174"/>
      <c r="G11" s="174"/>
      <c r="H11" s="174"/>
      <c r="I11" s="174"/>
      <c r="J11" s="174"/>
      <c r="K11" s="96">
        <v>764062</v>
      </c>
      <c r="L11" s="166"/>
      <c r="M11" s="174" t="s">
        <v>587</v>
      </c>
      <c r="N11" s="63" t="s">
        <v>577</v>
      </c>
      <c r="O11" s="96">
        <v>9</v>
      </c>
      <c r="P11" s="19" t="s">
        <v>590</v>
      </c>
      <c r="Q11" s="19"/>
      <c r="R11" s="19">
        <v>5000</v>
      </c>
      <c r="S11" s="31"/>
      <c r="T11" s="12"/>
      <c r="U11" s="31">
        <v>5000</v>
      </c>
      <c r="V11" s="31"/>
      <c r="W11" s="676">
        <f t="shared" si="0"/>
        <v>5000</v>
      </c>
      <c r="X11" s="299">
        <v>333.66</v>
      </c>
      <c r="Y11" s="8">
        <v>430</v>
      </c>
      <c r="Z11" s="8">
        <f t="shared" si="1"/>
        <v>1668300.0000000002</v>
      </c>
      <c r="AA11" s="599">
        <f t="shared" si="2"/>
        <v>2150000</v>
      </c>
      <c r="AB11" s="36"/>
    </row>
    <row r="12" spans="1:28" s="100" customFormat="1" x14ac:dyDescent="0.25">
      <c r="A12" s="236"/>
      <c r="B12" s="236"/>
      <c r="C12" s="326"/>
      <c r="D12" s="327"/>
      <c r="E12" s="327"/>
      <c r="F12" s="326"/>
      <c r="G12" s="326"/>
      <c r="H12" s="326"/>
      <c r="I12" s="326"/>
      <c r="J12" s="326"/>
      <c r="K12" s="235"/>
      <c r="L12" s="328"/>
      <c r="M12" s="326"/>
      <c r="N12" s="326"/>
      <c r="O12" s="326"/>
      <c r="P12" s="326"/>
      <c r="Q12" s="326"/>
      <c r="R12" s="326"/>
      <c r="S12" s="329"/>
      <c r="T12" s="236"/>
      <c r="U12" s="329"/>
      <c r="V12" s="329"/>
      <c r="W12" s="676">
        <f t="shared" si="0"/>
        <v>0</v>
      </c>
      <c r="X12" s="330"/>
      <c r="Y12" s="331"/>
      <c r="Z12" s="8">
        <f t="shared" si="1"/>
        <v>0</v>
      </c>
      <c r="AA12" s="599">
        <f>W12*Y12</f>
        <v>0</v>
      </c>
      <c r="AB12" s="332"/>
    </row>
    <row r="13" spans="1:28" x14ac:dyDescent="0.25">
      <c r="A13" s="289" t="s">
        <v>591</v>
      </c>
      <c r="B13" s="289" t="s">
        <v>592</v>
      </c>
      <c r="K13" s="288">
        <v>775264</v>
      </c>
      <c r="M13" s="288" t="s">
        <v>593</v>
      </c>
      <c r="N13" s="288" t="s">
        <v>594</v>
      </c>
      <c r="O13" s="288">
        <v>1</v>
      </c>
      <c r="P13" s="288" t="s">
        <v>595</v>
      </c>
      <c r="R13" s="288">
        <v>2880</v>
      </c>
      <c r="U13" s="641">
        <v>2880</v>
      </c>
      <c r="W13" s="676">
        <f t="shared" si="0"/>
        <v>2880</v>
      </c>
      <c r="X13" s="288">
        <v>24500</v>
      </c>
      <c r="Y13" s="288">
        <v>10500</v>
      </c>
      <c r="Z13" s="8">
        <f t="shared" si="1"/>
        <v>70560000</v>
      </c>
      <c r="AA13" s="599">
        <f>W13*Y13</f>
        <v>30240000</v>
      </c>
    </row>
    <row r="14" spans="1:28" x14ac:dyDescent="0.25">
      <c r="Z14" s="598">
        <f>SUM(Z3:Z13)</f>
        <v>78452233.700000003</v>
      </c>
      <c r="AA14" s="143">
        <f>SUM(AA3:AA13)</f>
        <v>35996660</v>
      </c>
    </row>
    <row r="16" spans="1:28" ht="191.25" x14ac:dyDescent="0.25">
      <c r="B16" s="289" t="s">
        <v>596</v>
      </c>
    </row>
    <row r="69" spans="19:27" x14ac:dyDescent="0.25">
      <c r="S69" s="2"/>
      <c r="T69" s="2"/>
      <c r="U69" s="2"/>
      <c r="V69" s="2"/>
      <c r="W69" s="2"/>
      <c r="AA69" s="2"/>
    </row>
    <row r="70" spans="19:27" x14ac:dyDescent="0.25">
      <c r="S70" s="2"/>
      <c r="T70" s="2"/>
      <c r="U70" s="2"/>
      <c r="V70" s="2"/>
      <c r="W70" s="2"/>
      <c r="AA70" s="2"/>
    </row>
    <row r="71" spans="19:27" x14ac:dyDescent="0.25">
      <c r="S71" s="2"/>
      <c r="T71" s="2"/>
      <c r="U71" s="2"/>
      <c r="V71" s="2"/>
      <c r="W71" s="2"/>
      <c r="AA71" s="2"/>
    </row>
    <row r="72" spans="19:27" x14ac:dyDescent="0.25">
      <c r="S72" s="2"/>
      <c r="T72" s="2"/>
      <c r="U72" s="2"/>
      <c r="V72" s="2"/>
      <c r="W72" s="2"/>
      <c r="AA72" s="2"/>
    </row>
    <row r="73" spans="19:27" x14ac:dyDescent="0.25">
      <c r="S73" s="2"/>
      <c r="T73" s="2"/>
      <c r="U73" s="2"/>
      <c r="V73" s="2"/>
      <c r="W73" s="2"/>
      <c r="AA73" s="2"/>
    </row>
    <row r="74" spans="19:27" x14ac:dyDescent="0.25">
      <c r="S74" s="2"/>
      <c r="T74" s="2"/>
      <c r="U74" s="2"/>
      <c r="V74" s="2"/>
      <c r="W74" s="2"/>
      <c r="AA74" s="2"/>
    </row>
    <row r="75" spans="19:27" x14ac:dyDescent="0.25">
      <c r="S75" s="2"/>
      <c r="T75" s="2"/>
      <c r="U75" s="2"/>
      <c r="V75" s="2"/>
      <c r="W75" s="2"/>
      <c r="AA75" s="2"/>
    </row>
    <row r="76" spans="19:27" x14ac:dyDescent="0.25">
      <c r="S76" s="2"/>
      <c r="T76" s="2"/>
      <c r="U76" s="2"/>
      <c r="V76" s="2"/>
      <c r="W76" s="2"/>
      <c r="AA76" s="2"/>
    </row>
    <row r="77" spans="19:27" x14ac:dyDescent="0.25">
      <c r="S77" s="2"/>
      <c r="T77" s="2"/>
      <c r="U77" s="2"/>
      <c r="V77" s="2"/>
      <c r="W77" s="2"/>
      <c r="AA77" s="2"/>
    </row>
    <row r="78" spans="19:27" x14ac:dyDescent="0.25">
      <c r="S78" s="2"/>
      <c r="T78" s="2"/>
      <c r="U78" s="2"/>
      <c r="V78" s="2"/>
      <c r="W78" s="2"/>
      <c r="AA78" s="2"/>
    </row>
    <row r="79" spans="19:27" x14ac:dyDescent="0.25">
      <c r="S79" s="2"/>
      <c r="T79" s="2"/>
      <c r="U79" s="2"/>
      <c r="V79" s="2"/>
      <c r="W79" s="2"/>
      <c r="AA79" s="2"/>
    </row>
    <row r="80" spans="19:27" x14ac:dyDescent="0.25">
      <c r="S80" s="2"/>
      <c r="T80" s="2"/>
      <c r="U80" s="2"/>
      <c r="V80" s="2"/>
      <c r="W80" s="2"/>
      <c r="AA80" s="2"/>
    </row>
    <row r="81" spans="19:27" x14ac:dyDescent="0.25">
      <c r="S81" s="2"/>
      <c r="T81" s="2"/>
      <c r="U81" s="2"/>
      <c r="V81" s="2"/>
      <c r="W81" s="2"/>
      <c r="AA81" s="2"/>
    </row>
    <row r="82" spans="19:27" x14ac:dyDescent="0.25">
      <c r="S82" s="2"/>
      <c r="T82" s="2"/>
      <c r="U82" s="2"/>
      <c r="V82" s="2"/>
      <c r="W82" s="2"/>
      <c r="AA82" s="2"/>
    </row>
    <row r="83" spans="19:27" x14ac:dyDescent="0.25">
      <c r="S83" s="2"/>
      <c r="T83" s="2"/>
      <c r="U83" s="2"/>
      <c r="V83" s="2"/>
      <c r="W83" s="2"/>
      <c r="AA83" s="2"/>
    </row>
    <row r="84" spans="19:27" x14ac:dyDescent="0.25">
      <c r="S84" s="2"/>
      <c r="T84" s="2"/>
      <c r="U84" s="2"/>
      <c r="V84" s="2"/>
      <c r="W84" s="2"/>
      <c r="AA84" s="2"/>
    </row>
    <row r="1048537" spans="1:13" s="288" customFormat="1" x14ac:dyDescent="0.25">
      <c r="A1048537" s="289"/>
      <c r="B1048537" s="289"/>
      <c r="E1048537" s="32"/>
      <c r="M1048537" s="174"/>
    </row>
  </sheetData>
  <autoFilter ref="A2:AA5">
    <sortState ref="A4:AB35">
      <sortCondition descending="1" ref="K2:K11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-0.249977111117893"/>
  </sheetPr>
  <dimension ref="A1:AB1048576"/>
  <sheetViews>
    <sheetView topLeftCell="M1" zoomScale="86" zoomScaleNormal="90" workbookViewId="0">
      <pane ySplit="2" topLeftCell="A14" activePane="bottomLeft" state="frozen"/>
      <selection pane="bottomLeft" activeCell="R20" sqref="R20"/>
    </sheetView>
  </sheetViews>
  <sheetFormatPr baseColWidth="10" defaultColWidth="11.42578125" defaultRowHeight="15" x14ac:dyDescent="0.25"/>
  <cols>
    <col min="1" max="1" width="15" style="289" customWidth="1"/>
    <col min="2" max="2" width="65.7109375" style="289" customWidth="1"/>
    <col min="3" max="3" width="10.28515625" style="288" customWidth="1"/>
    <col min="4" max="4" width="11.140625" style="288" customWidth="1"/>
    <col min="5" max="5" width="11.140625" style="32" customWidth="1"/>
    <col min="6" max="6" width="9.7109375" style="288" customWidth="1"/>
    <col min="7" max="7" width="11.140625" style="288" customWidth="1"/>
    <col min="8" max="8" width="9.7109375" style="288" customWidth="1"/>
    <col min="9" max="10" width="11" style="288" customWidth="1"/>
    <col min="11" max="11" width="8.85546875" style="288" customWidth="1"/>
    <col min="12" max="12" width="10.28515625" style="288" hidden="1" customWidth="1"/>
    <col min="13" max="13" width="15.5703125" style="288" customWidth="1"/>
    <col min="14" max="14" width="10.140625" style="288" customWidth="1"/>
    <col min="15" max="15" width="9.42578125" style="288" customWidth="1"/>
    <col min="16" max="16" width="7.7109375" style="288" customWidth="1"/>
    <col min="17" max="17" width="8.85546875" style="288" customWidth="1"/>
    <col min="18" max="18" width="16.5703125" style="288" customWidth="1"/>
    <col min="19" max="20" width="19.5703125" customWidth="1"/>
    <col min="21" max="21" width="14.7109375" customWidth="1"/>
    <col min="22" max="22" width="20.5703125" customWidth="1"/>
    <col min="23" max="23" width="12.140625" customWidth="1"/>
    <col min="24" max="24" width="15" style="288" customWidth="1"/>
    <col min="25" max="25" width="14.85546875" style="288" customWidth="1"/>
    <col min="26" max="26" width="14.85546875" customWidth="1"/>
    <col min="27" max="27" width="14.7109375" customWidth="1"/>
  </cols>
  <sheetData>
    <row r="1" spans="1:28" ht="15" customHeight="1" x14ac:dyDescent="0.25">
      <c r="A1" s="772" t="s">
        <v>75</v>
      </c>
      <c r="B1" s="762" t="s">
        <v>76</v>
      </c>
      <c r="C1" s="764" t="s">
        <v>77</v>
      </c>
      <c r="D1" s="780" t="s">
        <v>572</v>
      </c>
      <c r="E1" s="779" t="s">
        <v>80</v>
      </c>
      <c r="F1" s="763" t="s">
        <v>81</v>
      </c>
      <c r="G1" s="782" t="s">
        <v>573</v>
      </c>
      <c r="H1" s="764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84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x14ac:dyDescent="0.25">
      <c r="A2" s="773"/>
      <c r="B2" s="753"/>
      <c r="C2" s="765"/>
      <c r="D2" s="781"/>
      <c r="E2" s="765"/>
      <c r="F2" s="753"/>
      <c r="G2" s="783"/>
      <c r="H2" s="765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65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ht="26.25" customHeight="1" x14ac:dyDescent="0.25">
      <c r="A3" s="29" t="s">
        <v>597</v>
      </c>
      <c r="B3" s="29" t="s">
        <v>598</v>
      </c>
      <c r="C3" s="29"/>
      <c r="D3" s="29">
        <v>10</v>
      </c>
      <c r="E3" s="29">
        <v>10</v>
      </c>
      <c r="F3" s="29">
        <v>60</v>
      </c>
      <c r="G3" s="12"/>
      <c r="H3" s="29">
        <v>0</v>
      </c>
      <c r="I3" s="29"/>
      <c r="J3" s="29"/>
      <c r="K3" s="29">
        <v>751078</v>
      </c>
      <c r="L3" s="29"/>
      <c r="M3" s="29" t="s">
        <v>593</v>
      </c>
      <c r="N3" s="6" t="s">
        <v>599</v>
      </c>
      <c r="O3" s="29">
        <v>1</v>
      </c>
      <c r="P3" s="29" t="s">
        <v>600</v>
      </c>
      <c r="Q3" s="29"/>
      <c r="R3" s="12">
        <v>60</v>
      </c>
      <c r="S3" s="12"/>
      <c r="T3" s="12"/>
      <c r="U3" s="676">
        <v>60</v>
      </c>
      <c r="V3" s="676"/>
      <c r="W3" s="676">
        <f t="shared" ref="W3:W33" si="0">U3+V3</f>
        <v>60</v>
      </c>
      <c r="X3" s="297">
        <v>145759.76999999999</v>
      </c>
      <c r="Y3" s="8">
        <v>66105.47</v>
      </c>
      <c r="Z3" s="8">
        <f t="shared" ref="Z3:Z33" si="1">R3*X3</f>
        <v>8745586.1999999993</v>
      </c>
      <c r="AA3" s="190">
        <f t="shared" ref="AA3:AA33" si="2">W3*Y3</f>
        <v>3966328.2</v>
      </c>
      <c r="AB3" s="36"/>
    </row>
    <row r="4" spans="1:28" ht="26.25" customHeight="1" x14ac:dyDescent="0.25">
      <c r="A4" s="29" t="s">
        <v>601</v>
      </c>
      <c r="B4" s="29" t="s">
        <v>602</v>
      </c>
      <c r="C4" s="29"/>
      <c r="D4" s="29">
        <v>50</v>
      </c>
      <c r="E4" s="29">
        <v>40</v>
      </c>
      <c r="F4" s="29">
        <v>157</v>
      </c>
      <c r="G4" s="12"/>
      <c r="H4" s="29">
        <v>50</v>
      </c>
      <c r="I4" s="29"/>
      <c r="J4" s="29"/>
      <c r="K4" s="29">
        <v>751078</v>
      </c>
      <c r="L4" s="29"/>
      <c r="M4" s="29" t="s">
        <v>593</v>
      </c>
      <c r="N4" s="6" t="s">
        <v>599</v>
      </c>
      <c r="O4" s="29">
        <v>2</v>
      </c>
      <c r="P4" s="29" t="s">
        <v>600</v>
      </c>
      <c r="Q4" s="29"/>
      <c r="R4" s="12">
        <v>220</v>
      </c>
      <c r="S4" s="12"/>
      <c r="T4" s="12"/>
      <c r="U4" s="676">
        <v>220</v>
      </c>
      <c r="V4" s="676"/>
      <c r="W4" s="676">
        <f t="shared" si="0"/>
        <v>220</v>
      </c>
      <c r="X4" s="300">
        <v>39984</v>
      </c>
      <c r="Y4" s="8">
        <v>38397.96</v>
      </c>
      <c r="Z4" s="8">
        <f t="shared" si="1"/>
        <v>8796480</v>
      </c>
      <c r="AA4" s="190">
        <f t="shared" si="2"/>
        <v>8447551.1999999993</v>
      </c>
      <c r="AB4" s="676"/>
    </row>
    <row r="5" spans="1:28" ht="26.25" customHeight="1" x14ac:dyDescent="0.25">
      <c r="A5" s="29" t="s">
        <v>603</v>
      </c>
      <c r="B5" s="29" t="s">
        <v>604</v>
      </c>
      <c r="C5" s="29"/>
      <c r="D5" s="29">
        <v>8000</v>
      </c>
      <c r="E5" s="29">
        <v>8000</v>
      </c>
      <c r="F5" s="29">
        <v>26000</v>
      </c>
      <c r="G5" s="12"/>
      <c r="H5" s="29">
        <v>16000</v>
      </c>
      <c r="I5" s="29"/>
      <c r="J5" s="29"/>
      <c r="K5" s="29">
        <v>751078</v>
      </c>
      <c r="L5" s="29"/>
      <c r="M5" s="29" t="s">
        <v>593</v>
      </c>
      <c r="N5" s="6" t="s">
        <v>599</v>
      </c>
      <c r="O5" s="29">
        <v>3</v>
      </c>
      <c r="P5" s="29" t="s">
        <v>600</v>
      </c>
      <c r="Q5" s="29"/>
      <c r="R5" s="12">
        <v>48000</v>
      </c>
      <c r="S5" s="12"/>
      <c r="T5" s="12"/>
      <c r="U5" s="676">
        <v>48000</v>
      </c>
      <c r="V5" s="676"/>
      <c r="W5" s="676">
        <f t="shared" si="0"/>
        <v>48000</v>
      </c>
      <c r="X5" s="300">
        <v>47.17</v>
      </c>
      <c r="Y5" s="8">
        <v>46.71</v>
      </c>
      <c r="Z5" s="8">
        <f t="shared" si="1"/>
        <v>2264160</v>
      </c>
      <c r="AA5" s="190">
        <f t="shared" si="2"/>
        <v>2242080</v>
      </c>
      <c r="AB5" s="676"/>
    </row>
    <row r="6" spans="1:28" ht="26.25" customHeight="1" x14ac:dyDescent="0.25">
      <c r="A6" s="29" t="s">
        <v>605</v>
      </c>
      <c r="B6" s="29" t="s">
        <v>606</v>
      </c>
      <c r="C6" s="29"/>
      <c r="D6" s="29">
        <v>8000</v>
      </c>
      <c r="E6" s="29">
        <v>6000</v>
      </c>
      <c r="F6" s="29">
        <v>37882</v>
      </c>
      <c r="G6" s="12"/>
      <c r="H6" s="29">
        <v>80000</v>
      </c>
      <c r="I6" s="29"/>
      <c r="J6" s="29"/>
      <c r="K6" s="29">
        <v>751078</v>
      </c>
      <c r="L6" s="29"/>
      <c r="M6" s="29" t="s">
        <v>593</v>
      </c>
      <c r="N6" s="6" t="s">
        <v>599</v>
      </c>
      <c r="O6" s="29">
        <v>4</v>
      </c>
      <c r="P6" s="29" t="s">
        <v>600</v>
      </c>
      <c r="Q6" s="29"/>
      <c r="R6" s="12">
        <v>27000</v>
      </c>
      <c r="S6" s="12"/>
      <c r="T6" s="12"/>
      <c r="U6" s="676">
        <v>27000</v>
      </c>
      <c r="V6" s="676"/>
      <c r="W6" s="676">
        <f t="shared" si="0"/>
        <v>27000</v>
      </c>
      <c r="X6" s="300">
        <v>70</v>
      </c>
      <c r="Y6" s="8">
        <v>67.849999999999994</v>
      </c>
      <c r="Z6" s="8">
        <f t="shared" si="1"/>
        <v>1890000</v>
      </c>
      <c r="AA6" s="190">
        <f t="shared" si="2"/>
        <v>1831949.9999999998</v>
      </c>
      <c r="AB6" s="676"/>
    </row>
    <row r="7" spans="1:28" ht="26.25" customHeight="1" x14ac:dyDescent="0.25">
      <c r="A7" s="29" t="s">
        <v>607</v>
      </c>
      <c r="B7" s="29" t="s">
        <v>608</v>
      </c>
      <c r="C7" s="29"/>
      <c r="D7" s="29">
        <v>3</v>
      </c>
      <c r="E7" s="29">
        <v>4</v>
      </c>
      <c r="F7" s="29">
        <v>18</v>
      </c>
      <c r="G7" s="12"/>
      <c r="H7" s="29">
        <v>12</v>
      </c>
      <c r="I7" s="29"/>
      <c r="J7" s="29"/>
      <c r="K7" s="29">
        <v>751078</v>
      </c>
      <c r="L7" s="29"/>
      <c r="M7" s="29" t="s">
        <v>609</v>
      </c>
      <c r="N7" s="6" t="s">
        <v>599</v>
      </c>
      <c r="O7" s="29">
        <v>5</v>
      </c>
      <c r="P7" s="29" t="s">
        <v>610</v>
      </c>
      <c r="Q7" s="29" t="s">
        <v>1988</v>
      </c>
      <c r="R7" s="12">
        <v>24</v>
      </c>
      <c r="S7" s="12"/>
      <c r="T7" s="12"/>
      <c r="U7" s="676">
        <v>24</v>
      </c>
      <c r="V7" s="676">
        <v>24</v>
      </c>
      <c r="W7" s="676">
        <f t="shared" si="0"/>
        <v>48</v>
      </c>
      <c r="X7" s="300">
        <v>14820</v>
      </c>
      <c r="Y7" s="8">
        <v>13310</v>
      </c>
      <c r="Z7" s="8">
        <f t="shared" si="1"/>
        <v>355680</v>
      </c>
      <c r="AA7" s="190">
        <f t="shared" si="2"/>
        <v>638880</v>
      </c>
      <c r="AB7" s="676"/>
    </row>
    <row r="8" spans="1:28" ht="26.25" customHeight="1" x14ac:dyDescent="0.25">
      <c r="A8" s="29" t="s">
        <v>611</v>
      </c>
      <c r="B8" s="29" t="s">
        <v>612</v>
      </c>
      <c r="C8" s="29"/>
      <c r="D8" s="29">
        <v>4</v>
      </c>
      <c r="E8" s="29">
        <v>5</v>
      </c>
      <c r="F8" s="29">
        <v>22</v>
      </c>
      <c r="G8" s="12"/>
      <c r="H8" s="29">
        <v>24</v>
      </c>
      <c r="I8" s="29"/>
      <c r="J8" s="29"/>
      <c r="K8" s="29">
        <v>751078</v>
      </c>
      <c r="L8" s="29"/>
      <c r="M8" s="29" t="s">
        <v>609</v>
      </c>
      <c r="N8" s="6" t="s">
        <v>599</v>
      </c>
      <c r="O8" s="29">
        <v>6</v>
      </c>
      <c r="P8" s="29" t="s">
        <v>610</v>
      </c>
      <c r="Q8" s="29" t="s">
        <v>1988</v>
      </c>
      <c r="R8" s="12">
        <v>30</v>
      </c>
      <c r="S8" s="12"/>
      <c r="T8" s="12"/>
      <c r="U8" s="676">
        <v>30</v>
      </c>
      <c r="V8" s="676">
        <v>30</v>
      </c>
      <c r="W8" s="676">
        <f t="shared" si="0"/>
        <v>60</v>
      </c>
      <c r="X8" s="300">
        <v>17640</v>
      </c>
      <c r="Y8" s="8">
        <v>17750</v>
      </c>
      <c r="Z8" s="8">
        <f t="shared" si="1"/>
        <v>529200</v>
      </c>
      <c r="AA8" s="190">
        <f t="shared" si="2"/>
        <v>1065000</v>
      </c>
      <c r="AB8" s="676"/>
    </row>
    <row r="9" spans="1:28" ht="26.25" customHeight="1" x14ac:dyDescent="0.25">
      <c r="A9" s="12" t="s">
        <v>613</v>
      </c>
      <c r="B9" s="29" t="s">
        <v>614</v>
      </c>
      <c r="C9" s="1"/>
      <c r="D9" s="6">
        <v>4</v>
      </c>
      <c r="E9" s="6">
        <v>6</v>
      </c>
      <c r="F9" s="1">
        <v>19</v>
      </c>
      <c r="G9" s="1"/>
      <c r="H9" s="1">
        <v>24</v>
      </c>
      <c r="I9" s="1"/>
      <c r="J9" s="1"/>
      <c r="K9" s="29">
        <v>751078</v>
      </c>
      <c r="L9" s="1"/>
      <c r="M9" s="29" t="s">
        <v>593</v>
      </c>
      <c r="N9" s="6" t="s">
        <v>599</v>
      </c>
      <c r="O9" s="29">
        <v>7</v>
      </c>
      <c r="P9" s="29" t="s">
        <v>600</v>
      </c>
      <c r="Q9" s="115"/>
      <c r="R9" s="115">
        <v>36</v>
      </c>
      <c r="S9" s="115"/>
      <c r="T9" s="12"/>
      <c r="U9" s="115">
        <v>36</v>
      </c>
      <c r="V9" s="18"/>
      <c r="W9" s="676">
        <f t="shared" si="0"/>
        <v>36</v>
      </c>
      <c r="X9" s="298">
        <v>35277</v>
      </c>
      <c r="Y9" s="8">
        <v>34340.76</v>
      </c>
      <c r="Z9" s="8">
        <f t="shared" si="1"/>
        <v>1269972</v>
      </c>
      <c r="AA9" s="190">
        <f t="shared" si="2"/>
        <v>1236267.3600000001</v>
      </c>
      <c r="AB9" s="676"/>
    </row>
    <row r="10" spans="1:28" s="288" customFormat="1" ht="39.4" customHeight="1" x14ac:dyDescent="0.25">
      <c r="A10" s="12" t="s">
        <v>111</v>
      </c>
      <c r="B10" s="12" t="s">
        <v>112</v>
      </c>
      <c r="C10" s="19"/>
      <c r="D10" s="18">
        <v>10</v>
      </c>
      <c r="E10" s="18">
        <v>8</v>
      </c>
      <c r="F10" s="19">
        <v>65</v>
      </c>
      <c r="G10" s="19"/>
      <c r="H10" s="19">
        <v>60</v>
      </c>
      <c r="I10" s="19"/>
      <c r="J10" s="19"/>
      <c r="K10" s="29">
        <v>751078</v>
      </c>
      <c r="L10" s="18"/>
      <c r="M10" s="29" t="s">
        <v>615</v>
      </c>
      <c r="N10" s="6" t="s">
        <v>599</v>
      </c>
      <c r="O10" s="29">
        <v>8</v>
      </c>
      <c r="P10" s="29" t="s">
        <v>616</v>
      </c>
      <c r="Q10" s="6"/>
      <c r="R10" s="18">
        <v>32</v>
      </c>
      <c r="S10" s="18"/>
      <c r="T10" s="12"/>
      <c r="U10" s="6">
        <v>32</v>
      </c>
      <c r="V10" s="18"/>
      <c r="W10" s="676">
        <f t="shared" si="0"/>
        <v>32</v>
      </c>
      <c r="X10" s="298">
        <v>5520.2</v>
      </c>
      <c r="Y10" s="8">
        <v>4300</v>
      </c>
      <c r="Z10" s="8">
        <f t="shared" si="1"/>
        <v>176646.39999999999</v>
      </c>
      <c r="AA10" s="190">
        <f t="shared" si="2"/>
        <v>137600</v>
      </c>
      <c r="AB10" s="1"/>
    </row>
    <row r="11" spans="1:28" ht="26.25" customHeight="1" x14ac:dyDescent="0.25">
      <c r="A11" s="92" t="s">
        <v>574</v>
      </c>
      <c r="B11" s="92" t="s">
        <v>575</v>
      </c>
      <c r="C11" s="247"/>
      <c r="D11" s="55">
        <v>10</v>
      </c>
      <c r="E11" s="55">
        <v>11</v>
      </c>
      <c r="F11" s="247">
        <v>115</v>
      </c>
      <c r="G11" s="247"/>
      <c r="H11" s="247">
        <v>60</v>
      </c>
      <c r="I11" s="247"/>
      <c r="J11" s="247"/>
      <c r="K11" s="60">
        <v>751078</v>
      </c>
      <c r="L11" s="55"/>
      <c r="M11" s="60" t="s">
        <v>615</v>
      </c>
      <c r="N11" s="243" t="s">
        <v>599</v>
      </c>
      <c r="O11" s="60">
        <v>9</v>
      </c>
      <c r="P11" s="6"/>
      <c r="Q11" s="6"/>
      <c r="R11" s="18">
        <v>30</v>
      </c>
      <c r="S11" s="18"/>
      <c r="T11" s="12"/>
      <c r="U11" s="6"/>
      <c r="V11" s="18"/>
      <c r="W11" s="676">
        <f t="shared" si="0"/>
        <v>0</v>
      </c>
      <c r="X11" s="298">
        <v>9337.75</v>
      </c>
      <c r="Y11" s="8">
        <v>6600</v>
      </c>
      <c r="Z11" s="8">
        <f t="shared" si="1"/>
        <v>280132.5</v>
      </c>
      <c r="AA11" s="190">
        <f t="shared" si="2"/>
        <v>0</v>
      </c>
      <c r="AB11" s="36"/>
    </row>
    <row r="12" spans="1:28" s="4" customFormat="1" ht="26.25" customHeight="1" x14ac:dyDescent="0.25">
      <c r="A12" s="92" t="s">
        <v>617</v>
      </c>
      <c r="B12" s="92" t="s">
        <v>580</v>
      </c>
      <c r="C12" s="247"/>
      <c r="D12" s="55">
        <v>60</v>
      </c>
      <c r="E12" s="55">
        <v>60</v>
      </c>
      <c r="F12" s="247">
        <v>0</v>
      </c>
      <c r="G12" s="247"/>
      <c r="H12" s="247">
        <v>360</v>
      </c>
      <c r="I12" s="247"/>
      <c r="J12" s="247"/>
      <c r="K12" s="60">
        <v>751078</v>
      </c>
      <c r="L12" s="306"/>
      <c r="M12" s="247" t="s">
        <v>618</v>
      </c>
      <c r="N12" s="243" t="s">
        <v>599</v>
      </c>
      <c r="O12" s="60">
        <v>10</v>
      </c>
      <c r="P12" s="29"/>
      <c r="Q12" s="19"/>
      <c r="R12" s="19">
        <v>420</v>
      </c>
      <c r="S12" s="31"/>
      <c r="T12" s="12"/>
      <c r="U12" s="31"/>
      <c r="V12" s="31"/>
      <c r="W12" s="676">
        <f t="shared" si="0"/>
        <v>0</v>
      </c>
      <c r="X12" s="299">
        <v>3056.18</v>
      </c>
      <c r="Y12" s="8">
        <v>2748.52</v>
      </c>
      <c r="Z12" s="8">
        <f t="shared" si="1"/>
        <v>1283595.5999999999</v>
      </c>
      <c r="AA12" s="190">
        <f t="shared" si="2"/>
        <v>0</v>
      </c>
      <c r="AB12" s="31"/>
    </row>
    <row r="13" spans="1:28" s="4" customFormat="1" ht="52.5" customHeight="1" x14ac:dyDescent="0.25">
      <c r="A13" s="92" t="s">
        <v>105</v>
      </c>
      <c r="B13" s="92" t="s">
        <v>106</v>
      </c>
      <c r="C13" s="247"/>
      <c r="D13" s="55">
        <v>60</v>
      </c>
      <c r="E13" s="55">
        <v>120</v>
      </c>
      <c r="F13" s="247">
        <v>0</v>
      </c>
      <c r="G13" s="247"/>
      <c r="H13" s="247">
        <v>360</v>
      </c>
      <c r="I13" s="247"/>
      <c r="J13" s="247"/>
      <c r="K13" s="60">
        <v>751078</v>
      </c>
      <c r="L13" s="306"/>
      <c r="M13" s="247" t="s">
        <v>618</v>
      </c>
      <c r="N13" s="243" t="s">
        <v>599</v>
      </c>
      <c r="O13" s="60">
        <v>11</v>
      </c>
      <c r="P13" s="29"/>
      <c r="Q13" s="19"/>
      <c r="R13" s="19">
        <v>800</v>
      </c>
      <c r="S13" s="31"/>
      <c r="T13" s="12"/>
      <c r="U13" s="31"/>
      <c r="V13" s="31"/>
      <c r="W13" s="676">
        <f t="shared" si="0"/>
        <v>0</v>
      </c>
      <c r="X13" s="299">
        <v>70.41</v>
      </c>
      <c r="Y13" s="8">
        <v>99.7</v>
      </c>
      <c r="Z13" s="8">
        <f t="shared" si="1"/>
        <v>56328</v>
      </c>
      <c r="AA13" s="190">
        <f t="shared" si="2"/>
        <v>0</v>
      </c>
      <c r="AB13" s="31"/>
    </row>
    <row r="14" spans="1:28" s="4" customFormat="1" ht="39.4" customHeight="1" x14ac:dyDescent="0.25">
      <c r="A14" s="92" t="s">
        <v>619</v>
      </c>
      <c r="B14" s="92" t="s">
        <v>582</v>
      </c>
      <c r="C14" s="247"/>
      <c r="D14" s="55">
        <v>60</v>
      </c>
      <c r="E14" s="55">
        <v>900</v>
      </c>
      <c r="F14" s="247">
        <v>0</v>
      </c>
      <c r="G14" s="247"/>
      <c r="H14" s="247">
        <v>2520</v>
      </c>
      <c r="I14" s="247"/>
      <c r="J14" s="247"/>
      <c r="K14" s="60">
        <v>751078</v>
      </c>
      <c r="L14" s="306"/>
      <c r="M14" s="247" t="s">
        <v>618</v>
      </c>
      <c r="N14" s="243" t="s">
        <v>599</v>
      </c>
      <c r="O14" s="60">
        <v>12</v>
      </c>
      <c r="P14" s="29"/>
      <c r="Q14" s="19"/>
      <c r="R14" s="19">
        <v>6300</v>
      </c>
      <c r="S14" s="31"/>
      <c r="T14" s="12"/>
      <c r="U14" s="31"/>
      <c r="V14" s="31"/>
      <c r="W14" s="676">
        <f t="shared" si="0"/>
        <v>0</v>
      </c>
      <c r="X14" s="299">
        <v>70.5</v>
      </c>
      <c r="Y14" s="8">
        <v>201.32</v>
      </c>
      <c r="Z14" s="8">
        <f t="shared" si="1"/>
        <v>444150</v>
      </c>
      <c r="AA14" s="190">
        <f t="shared" si="2"/>
        <v>0</v>
      </c>
      <c r="AB14" s="31"/>
    </row>
    <row r="15" spans="1:28" ht="19.5" customHeight="1" x14ac:dyDescent="0.25">
      <c r="A15" s="12" t="s">
        <v>620</v>
      </c>
      <c r="B15" s="12" t="s">
        <v>621</v>
      </c>
      <c r="C15" s="19"/>
      <c r="D15" s="18">
        <v>60</v>
      </c>
      <c r="E15" s="18">
        <v>60</v>
      </c>
      <c r="F15" s="19">
        <v>660</v>
      </c>
      <c r="G15" s="19"/>
      <c r="H15" s="19">
        <v>360</v>
      </c>
      <c r="I15" s="19"/>
      <c r="J15" s="19"/>
      <c r="K15" s="29">
        <v>751078</v>
      </c>
      <c r="L15" s="1"/>
      <c r="M15" s="174" t="s">
        <v>618</v>
      </c>
      <c r="N15" s="6" t="s">
        <v>599</v>
      </c>
      <c r="O15" s="29">
        <v>13</v>
      </c>
      <c r="P15" s="19" t="s">
        <v>622</v>
      </c>
      <c r="Q15" s="19" t="s">
        <v>1987</v>
      </c>
      <c r="R15" s="19">
        <v>180</v>
      </c>
      <c r="S15" s="31"/>
      <c r="T15" s="12"/>
      <c r="U15" s="31">
        <v>180</v>
      </c>
      <c r="V15" s="31">
        <v>36</v>
      </c>
      <c r="W15" s="676">
        <f t="shared" si="0"/>
        <v>216</v>
      </c>
      <c r="X15" s="299">
        <v>10191.02</v>
      </c>
      <c r="Y15" s="8">
        <v>8817.8700000000008</v>
      </c>
      <c r="Z15" s="8">
        <f t="shared" si="1"/>
        <v>1834383.6</v>
      </c>
      <c r="AA15" s="190">
        <f t="shared" si="2"/>
        <v>1904659.9200000002</v>
      </c>
      <c r="AB15" s="36"/>
    </row>
    <row r="16" spans="1:28" s="4" customFormat="1" ht="24" customHeight="1" x14ac:dyDescent="0.25">
      <c r="A16" s="54" t="s">
        <v>623</v>
      </c>
      <c r="B16" s="54" t="s">
        <v>624</v>
      </c>
      <c r="C16" s="174"/>
      <c r="D16" s="66">
        <v>4</v>
      </c>
      <c r="E16" s="66">
        <v>4</v>
      </c>
      <c r="F16" s="174">
        <v>15</v>
      </c>
      <c r="G16" s="247"/>
      <c r="H16" s="247">
        <v>24</v>
      </c>
      <c r="I16" s="247"/>
      <c r="J16" s="247"/>
      <c r="K16" s="29">
        <v>751078</v>
      </c>
      <c r="L16" s="306"/>
      <c r="M16" s="174" t="s">
        <v>618</v>
      </c>
      <c r="N16" s="6" t="s">
        <v>599</v>
      </c>
      <c r="O16" s="29">
        <v>14</v>
      </c>
      <c r="P16" s="19" t="s">
        <v>622</v>
      </c>
      <c r="Q16" s="19"/>
      <c r="R16" s="19">
        <v>28</v>
      </c>
      <c r="S16" s="31"/>
      <c r="T16" s="12"/>
      <c r="U16" s="31">
        <v>28</v>
      </c>
      <c r="V16" s="31"/>
      <c r="W16" s="676">
        <f t="shared" si="0"/>
        <v>28</v>
      </c>
      <c r="X16" s="299">
        <v>24227</v>
      </c>
      <c r="Y16" s="8">
        <v>30700</v>
      </c>
      <c r="Z16" s="8">
        <f t="shared" si="1"/>
        <v>678356</v>
      </c>
      <c r="AA16" s="190">
        <f t="shared" si="2"/>
        <v>859600</v>
      </c>
      <c r="AB16" s="31"/>
    </row>
    <row r="17" spans="1:28" s="4" customFormat="1" ht="108.75" customHeight="1" x14ac:dyDescent="0.25">
      <c r="A17" s="92" t="s">
        <v>107</v>
      </c>
      <c r="B17" s="422" t="s">
        <v>625</v>
      </c>
      <c r="C17" s="306"/>
      <c r="D17" s="243">
        <v>40</v>
      </c>
      <c r="E17" s="243">
        <v>60</v>
      </c>
      <c r="F17" s="306">
        <v>0</v>
      </c>
      <c r="G17" s="306"/>
      <c r="H17" s="306">
        <v>250</v>
      </c>
      <c r="I17" s="306"/>
      <c r="J17" s="306"/>
      <c r="K17" s="60">
        <v>751078</v>
      </c>
      <c r="L17" s="306"/>
      <c r="M17" s="247" t="s">
        <v>285</v>
      </c>
      <c r="N17" s="243" t="s">
        <v>599</v>
      </c>
      <c r="O17" s="60">
        <v>15</v>
      </c>
      <c r="P17" s="29"/>
      <c r="Q17" s="1"/>
      <c r="R17" s="1">
        <v>420</v>
      </c>
      <c r="S17" s="36"/>
      <c r="T17" s="12"/>
      <c r="U17" s="36"/>
      <c r="V17" s="36"/>
      <c r="W17" s="676">
        <f t="shared" si="0"/>
        <v>0</v>
      </c>
      <c r="X17" s="301">
        <v>1619.02</v>
      </c>
      <c r="Y17" s="8">
        <v>7244.3</v>
      </c>
      <c r="Z17" s="8">
        <f t="shared" si="1"/>
        <v>679988.4</v>
      </c>
      <c r="AA17" s="190">
        <f t="shared" si="2"/>
        <v>0</v>
      </c>
      <c r="AB17" s="31"/>
    </row>
    <row r="18" spans="1:28" s="4" customFormat="1" ht="33" customHeight="1" x14ac:dyDescent="0.25">
      <c r="A18" s="423" t="s">
        <v>583</v>
      </c>
      <c r="B18" s="422" t="s">
        <v>626</v>
      </c>
      <c r="C18" s="306"/>
      <c r="D18" s="243">
        <v>15</v>
      </c>
      <c r="E18" s="243">
        <v>20</v>
      </c>
      <c r="F18" s="306">
        <v>0</v>
      </c>
      <c r="G18" s="306"/>
      <c r="H18" s="306">
        <v>100</v>
      </c>
      <c r="I18" s="306"/>
      <c r="J18" s="306"/>
      <c r="K18" s="60">
        <v>751078</v>
      </c>
      <c r="L18" s="306"/>
      <c r="M18" s="247" t="s">
        <v>285</v>
      </c>
      <c r="N18" s="243" t="s">
        <v>599</v>
      </c>
      <c r="O18" s="60">
        <v>16</v>
      </c>
      <c r="P18" s="29"/>
      <c r="Q18" s="1"/>
      <c r="R18" s="1">
        <v>120</v>
      </c>
      <c r="S18" s="36"/>
      <c r="T18" s="12"/>
      <c r="U18" s="36"/>
      <c r="V18" s="36"/>
      <c r="W18" s="676">
        <f t="shared" si="0"/>
        <v>0</v>
      </c>
      <c r="X18" s="301">
        <v>1490</v>
      </c>
      <c r="Y18" s="8">
        <v>5823.61</v>
      </c>
      <c r="Z18" s="8">
        <f t="shared" si="1"/>
        <v>178800</v>
      </c>
      <c r="AA18" s="190">
        <f t="shared" si="2"/>
        <v>0</v>
      </c>
      <c r="AB18" s="31"/>
    </row>
    <row r="19" spans="1:28" s="4" customFormat="1" ht="73.5" customHeight="1" x14ac:dyDescent="0.25">
      <c r="A19" s="92" t="s">
        <v>585</v>
      </c>
      <c r="B19" s="92" t="s">
        <v>627</v>
      </c>
      <c r="C19" s="306"/>
      <c r="D19" s="243">
        <v>2</v>
      </c>
      <c r="E19" s="243"/>
      <c r="F19" s="306">
        <v>0</v>
      </c>
      <c r="G19" s="306"/>
      <c r="H19" s="306">
        <v>50</v>
      </c>
      <c r="I19" s="306"/>
      <c r="J19" s="306"/>
      <c r="K19" s="60">
        <v>751078</v>
      </c>
      <c r="L19" s="306"/>
      <c r="M19" s="306" t="s">
        <v>285</v>
      </c>
      <c r="N19" s="243" t="s">
        <v>599</v>
      </c>
      <c r="O19" s="60">
        <v>17</v>
      </c>
      <c r="P19" s="29"/>
      <c r="Q19" s="1"/>
      <c r="R19" s="1">
        <v>50</v>
      </c>
      <c r="S19" s="36"/>
      <c r="T19" s="12"/>
      <c r="U19" s="36"/>
      <c r="V19" s="36"/>
      <c r="W19" s="676">
        <f t="shared" si="0"/>
        <v>0</v>
      </c>
      <c r="X19" s="301">
        <v>544.5</v>
      </c>
      <c r="Y19" s="8">
        <v>5782.05</v>
      </c>
      <c r="Z19" s="8">
        <f t="shared" si="1"/>
        <v>27225</v>
      </c>
      <c r="AA19" s="190">
        <f t="shared" si="2"/>
        <v>0</v>
      </c>
      <c r="AB19" s="31"/>
    </row>
    <row r="20" spans="1:28" s="4" customFormat="1" ht="20.25" customHeight="1" x14ac:dyDescent="0.25">
      <c r="A20" s="498" t="s">
        <v>109</v>
      </c>
      <c r="B20" s="498" t="s">
        <v>110</v>
      </c>
      <c r="C20" s="243"/>
      <c r="D20" s="243">
        <v>4000</v>
      </c>
      <c r="E20" s="243">
        <v>4000</v>
      </c>
      <c r="F20" s="306">
        <v>0</v>
      </c>
      <c r="G20" s="306"/>
      <c r="H20" s="306">
        <v>24000</v>
      </c>
      <c r="I20" s="306"/>
      <c r="J20" s="306"/>
      <c r="K20" s="60">
        <v>751078</v>
      </c>
      <c r="L20" s="306"/>
      <c r="M20" s="306" t="s">
        <v>593</v>
      </c>
      <c r="N20" s="243" t="s">
        <v>599</v>
      </c>
      <c r="O20" s="60">
        <v>18</v>
      </c>
      <c r="P20" s="29"/>
      <c r="Q20" s="1"/>
      <c r="R20" s="1">
        <v>28000</v>
      </c>
      <c r="S20" s="36"/>
      <c r="T20" s="12"/>
      <c r="U20" s="36"/>
      <c r="V20" s="36"/>
      <c r="W20" s="676">
        <f t="shared" si="0"/>
        <v>0</v>
      </c>
      <c r="X20" s="301">
        <v>130.5</v>
      </c>
      <c r="Y20" s="8">
        <v>181.74</v>
      </c>
      <c r="Z20" s="8">
        <f t="shared" si="1"/>
        <v>3654000</v>
      </c>
      <c r="AA20" s="190">
        <f t="shared" si="2"/>
        <v>0</v>
      </c>
      <c r="AB20" s="31"/>
    </row>
    <row r="21" spans="1:28" ht="25.5" x14ac:dyDescent="0.25">
      <c r="A21" s="105" t="s">
        <v>628</v>
      </c>
      <c r="B21" s="105" t="s">
        <v>1932</v>
      </c>
      <c r="C21" s="63"/>
      <c r="D21" s="63">
        <v>16000</v>
      </c>
      <c r="E21" s="63">
        <v>20000</v>
      </c>
      <c r="F21" s="166">
        <v>0</v>
      </c>
      <c r="G21" s="306"/>
      <c r="H21" s="306">
        <v>120000</v>
      </c>
      <c r="I21" s="306"/>
      <c r="J21" s="306"/>
      <c r="K21" s="29">
        <v>751078</v>
      </c>
      <c r="L21" s="306"/>
      <c r="M21" s="166" t="s">
        <v>593</v>
      </c>
      <c r="N21" s="6" t="s">
        <v>599</v>
      </c>
      <c r="O21" s="29">
        <v>19</v>
      </c>
      <c r="P21" s="29" t="s">
        <v>600</v>
      </c>
      <c r="Q21" s="1"/>
      <c r="R21" s="1">
        <v>120000</v>
      </c>
      <c r="S21" s="36"/>
      <c r="T21" s="12"/>
      <c r="U21" s="36">
        <v>120000</v>
      </c>
      <c r="V21" s="36"/>
      <c r="W21" s="676">
        <f t="shared" si="0"/>
        <v>120000</v>
      </c>
      <c r="X21" s="301">
        <v>231.24</v>
      </c>
      <c r="Y21" s="8">
        <v>91.29</v>
      </c>
      <c r="Z21" s="8">
        <f t="shared" si="1"/>
        <v>27748800</v>
      </c>
      <c r="AA21" s="190">
        <f t="shared" si="2"/>
        <v>10954800</v>
      </c>
      <c r="AB21" s="36"/>
    </row>
    <row r="22" spans="1:28" x14ac:dyDescent="0.25">
      <c r="A22" s="12"/>
      <c r="B22" s="12"/>
      <c r="C22" s="19"/>
      <c r="D22" s="18"/>
      <c r="E22" s="18"/>
      <c r="F22" s="19"/>
      <c r="G22" s="19"/>
      <c r="H22" s="19"/>
      <c r="I22" s="19"/>
      <c r="J22" s="19"/>
      <c r="K22" s="29"/>
      <c r="L22" s="1"/>
      <c r="M22" s="174"/>
      <c r="N22" s="19"/>
      <c r="O22" s="19"/>
      <c r="P22" s="19"/>
      <c r="Q22" s="19"/>
      <c r="R22" s="19"/>
      <c r="S22" s="31"/>
      <c r="T22" s="12"/>
      <c r="U22" s="31"/>
      <c r="V22" s="31"/>
      <c r="W22" s="676">
        <f t="shared" si="0"/>
        <v>0</v>
      </c>
      <c r="X22" s="299"/>
      <c r="Y22" s="8"/>
      <c r="Z22" s="8">
        <f t="shared" si="1"/>
        <v>0</v>
      </c>
      <c r="AA22" s="190">
        <f t="shared" si="2"/>
        <v>0</v>
      </c>
      <c r="AB22" s="36"/>
    </row>
    <row r="23" spans="1:28" s="100" customFormat="1" x14ac:dyDescent="0.25">
      <c r="A23" s="236"/>
      <c r="B23" s="236"/>
      <c r="C23" s="326"/>
      <c r="D23" s="327"/>
      <c r="E23" s="327"/>
      <c r="F23" s="326"/>
      <c r="G23" s="326"/>
      <c r="H23" s="326"/>
      <c r="I23" s="326"/>
      <c r="J23" s="326"/>
      <c r="K23" s="235"/>
      <c r="L23" s="328"/>
      <c r="M23" s="326"/>
      <c r="N23" s="326"/>
      <c r="O23" s="326"/>
      <c r="P23" s="326"/>
      <c r="Q23" s="326"/>
      <c r="R23" s="326"/>
      <c r="S23" s="329"/>
      <c r="T23" s="236"/>
      <c r="U23" s="329"/>
      <c r="V23" s="329"/>
      <c r="W23" s="676">
        <f t="shared" si="0"/>
        <v>0</v>
      </c>
      <c r="X23" s="330"/>
      <c r="Y23" s="331"/>
      <c r="Z23" s="8">
        <f t="shared" si="1"/>
        <v>0</v>
      </c>
      <c r="AA23" s="190">
        <f t="shared" si="2"/>
        <v>0</v>
      </c>
      <c r="AB23" s="332"/>
    </row>
    <row r="24" spans="1:28" ht="22.5" customHeight="1" x14ac:dyDescent="0.25">
      <c r="A24" s="29"/>
      <c r="B24" s="29" t="s">
        <v>629</v>
      </c>
      <c r="C24" s="1"/>
      <c r="D24" s="1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6"/>
      <c r="T24" s="36"/>
      <c r="U24" s="36"/>
      <c r="V24" s="36"/>
      <c r="W24" s="676">
        <f t="shared" si="0"/>
        <v>0</v>
      </c>
      <c r="X24" s="301"/>
      <c r="Y24" s="1"/>
      <c r="Z24" s="8">
        <f t="shared" si="1"/>
        <v>0</v>
      </c>
      <c r="AA24" s="190">
        <f t="shared" si="2"/>
        <v>0</v>
      </c>
      <c r="AB24" s="36"/>
    </row>
    <row r="25" spans="1:28" x14ac:dyDescent="0.25">
      <c r="A25" s="29" t="s">
        <v>630</v>
      </c>
      <c r="B25" s="29" t="s">
        <v>631</v>
      </c>
      <c r="C25" s="1"/>
      <c r="D25" s="1"/>
      <c r="E25" s="6"/>
      <c r="F25" s="1"/>
      <c r="G25" s="1"/>
      <c r="H25" s="1"/>
      <c r="I25" s="1"/>
      <c r="J25" s="1"/>
      <c r="K25" s="6"/>
      <c r="L25" s="1"/>
      <c r="M25" s="1"/>
      <c r="N25" s="1"/>
      <c r="O25" s="1"/>
      <c r="P25" s="1"/>
      <c r="Q25" s="1"/>
      <c r="R25" s="1"/>
      <c r="S25" s="77"/>
      <c r="T25" s="77"/>
      <c r="U25" s="77"/>
      <c r="V25" s="77"/>
      <c r="W25" s="676">
        <f t="shared" si="0"/>
        <v>0</v>
      </c>
      <c r="X25" s="301">
        <v>660000</v>
      </c>
      <c r="Y25" s="8">
        <v>600000</v>
      </c>
      <c r="Z25" s="8">
        <f t="shared" si="1"/>
        <v>0</v>
      </c>
      <c r="AA25" s="190">
        <f t="shared" si="2"/>
        <v>0</v>
      </c>
      <c r="AB25" s="36"/>
    </row>
    <row r="26" spans="1:28" x14ac:dyDescent="0.25">
      <c r="A26" s="29"/>
      <c r="B26" s="13" t="s">
        <v>632</v>
      </c>
      <c r="C26" s="18"/>
      <c r="D26" s="18"/>
      <c r="E26" s="18"/>
      <c r="F26" s="18"/>
      <c r="G26" s="18"/>
      <c r="H26" s="18"/>
      <c r="I26" s="18"/>
      <c r="J26" s="18"/>
      <c r="K26" s="12"/>
      <c r="L26" s="1"/>
      <c r="M26" s="1"/>
      <c r="N26" s="1"/>
      <c r="O26" s="1"/>
      <c r="P26" s="1"/>
      <c r="Q26" s="1"/>
      <c r="R26" s="1"/>
      <c r="S26" s="36"/>
      <c r="T26" s="36"/>
      <c r="U26" s="36"/>
      <c r="V26" s="36"/>
      <c r="W26" s="676">
        <f t="shared" si="0"/>
        <v>0</v>
      </c>
      <c r="X26" s="301"/>
      <c r="Y26" s="8"/>
      <c r="Z26" s="8">
        <f t="shared" si="1"/>
        <v>0</v>
      </c>
      <c r="AA26" s="190">
        <f t="shared" si="2"/>
        <v>0</v>
      </c>
      <c r="AB26" s="36"/>
    </row>
    <row r="27" spans="1:28" x14ac:dyDescent="0.25">
      <c r="A27" s="29"/>
      <c r="B27" s="12" t="s">
        <v>633</v>
      </c>
      <c r="C27" s="1"/>
      <c r="D27" s="29"/>
      <c r="E27" s="29"/>
      <c r="F27" s="18"/>
      <c r="G27" s="18"/>
      <c r="H27" s="18"/>
      <c r="I27" s="18"/>
      <c r="J27" s="18"/>
      <c r="K27" s="18"/>
      <c r="L27" s="1"/>
      <c r="M27" s="1"/>
      <c r="N27" s="1"/>
      <c r="O27" s="1"/>
      <c r="P27" s="1"/>
      <c r="Q27" s="1"/>
      <c r="R27" s="1"/>
      <c r="S27" s="36"/>
      <c r="T27" s="36"/>
      <c r="U27" s="36"/>
      <c r="V27" s="36"/>
      <c r="W27" s="676">
        <f t="shared" si="0"/>
        <v>0</v>
      </c>
      <c r="X27" s="301"/>
      <c r="Y27" s="8"/>
      <c r="Z27" s="8">
        <f t="shared" si="1"/>
        <v>0</v>
      </c>
      <c r="AA27" s="190">
        <f t="shared" si="2"/>
        <v>0</v>
      </c>
      <c r="AB27" s="36"/>
    </row>
    <row r="28" spans="1:28" x14ac:dyDescent="0.25">
      <c r="A28" s="29"/>
      <c r="B28" s="12" t="s">
        <v>634</v>
      </c>
      <c r="C28" s="6"/>
      <c r="D28" s="18"/>
      <c r="E28" s="18"/>
      <c r="F28" s="18"/>
      <c r="G28" s="18"/>
      <c r="H28" s="18"/>
      <c r="I28" s="18"/>
      <c r="J28" s="18"/>
      <c r="K28" s="12"/>
      <c r="L28" s="1"/>
      <c r="M28" s="1"/>
      <c r="N28" s="1"/>
      <c r="O28" s="1"/>
      <c r="P28" s="1"/>
      <c r="Q28" s="1"/>
      <c r="R28" s="1"/>
      <c r="S28" s="36"/>
      <c r="T28" s="36"/>
      <c r="U28" s="36"/>
      <c r="V28" s="36"/>
      <c r="W28" s="676">
        <f t="shared" si="0"/>
        <v>0</v>
      </c>
      <c r="X28" s="301"/>
      <c r="Y28" s="8"/>
      <c r="Z28" s="8">
        <f t="shared" si="1"/>
        <v>0</v>
      </c>
      <c r="AA28" s="190">
        <f t="shared" si="2"/>
        <v>0</v>
      </c>
      <c r="AB28" s="36"/>
    </row>
    <row r="29" spans="1:28" ht="22.5" customHeight="1" x14ac:dyDescent="0.25">
      <c r="A29" s="12" t="s">
        <v>635</v>
      </c>
      <c r="B29" s="12" t="s">
        <v>636</v>
      </c>
      <c r="C29" s="18"/>
      <c r="D29" s="18">
        <v>40</v>
      </c>
      <c r="E29" s="18"/>
      <c r="F29" s="18"/>
      <c r="G29" s="18"/>
      <c r="H29" s="18">
        <v>0</v>
      </c>
      <c r="I29" s="18"/>
      <c r="J29" s="18"/>
      <c r="K29" s="18"/>
      <c r="L29" s="1"/>
      <c r="M29" s="19"/>
      <c r="N29" s="19"/>
      <c r="O29" s="19"/>
      <c r="P29" s="19"/>
      <c r="Q29" s="19"/>
      <c r="R29" s="19"/>
      <c r="S29" s="19"/>
      <c r="T29" s="19"/>
      <c r="U29" s="19">
        <v>240</v>
      </c>
      <c r="V29" s="19"/>
      <c r="W29" s="676">
        <f t="shared" si="0"/>
        <v>240</v>
      </c>
      <c r="X29" s="299"/>
      <c r="Y29" s="8">
        <v>1881.71</v>
      </c>
      <c r="Z29" s="8">
        <f t="shared" si="1"/>
        <v>0</v>
      </c>
      <c r="AA29" s="190">
        <f t="shared" si="2"/>
        <v>451610.4</v>
      </c>
      <c r="AB29" s="36"/>
    </row>
    <row r="30" spans="1:28" s="4" customFormat="1" x14ac:dyDescent="0.25">
      <c r="A30" s="29"/>
      <c r="B30" s="12" t="s">
        <v>637</v>
      </c>
      <c r="C30" s="18"/>
      <c r="D30" s="18"/>
      <c r="E30" s="18"/>
      <c r="F30" s="18"/>
      <c r="G30" s="18"/>
      <c r="H30" s="18"/>
      <c r="I30" s="18"/>
      <c r="J30" s="18"/>
      <c r="K30" s="18"/>
      <c r="L30" s="1"/>
      <c r="M30" s="1"/>
      <c r="N30" s="1"/>
      <c r="O30" s="1"/>
      <c r="P30" s="1"/>
      <c r="Q30" s="1"/>
      <c r="R30" s="1"/>
      <c r="S30" s="36"/>
      <c r="T30" s="36"/>
      <c r="U30" s="36"/>
      <c r="V30" s="36"/>
      <c r="W30" s="676">
        <f t="shared" si="0"/>
        <v>0</v>
      </c>
      <c r="X30" s="301"/>
      <c r="Y30" s="8"/>
      <c r="Z30" s="8">
        <f t="shared" si="1"/>
        <v>0</v>
      </c>
      <c r="AA30" s="190">
        <f t="shared" si="2"/>
        <v>0</v>
      </c>
      <c r="AB30" s="31"/>
    </row>
    <row r="31" spans="1:28" s="87" customFormat="1" x14ac:dyDescent="0.25">
      <c r="A31" s="29"/>
      <c r="B31" s="12" t="s">
        <v>638</v>
      </c>
      <c r="C31" s="6"/>
      <c r="D31" s="18"/>
      <c r="E31" s="18"/>
      <c r="F31" s="18"/>
      <c r="G31" s="18"/>
      <c r="H31" s="18"/>
      <c r="I31" s="18"/>
      <c r="J31" s="18"/>
      <c r="K31" s="12"/>
      <c r="L31" s="1"/>
      <c r="M31" s="1"/>
      <c r="N31" s="1"/>
      <c r="O31" s="1"/>
      <c r="P31" s="1"/>
      <c r="Q31" s="1"/>
      <c r="R31" s="1"/>
      <c r="S31" s="36"/>
      <c r="T31" s="36"/>
      <c r="U31" s="36"/>
      <c r="V31" s="36"/>
      <c r="W31" s="676">
        <f t="shared" si="0"/>
        <v>0</v>
      </c>
      <c r="X31" s="301"/>
      <c r="Y31" s="8"/>
      <c r="Z31" s="8">
        <f t="shared" si="1"/>
        <v>0</v>
      </c>
      <c r="AA31" s="190">
        <f t="shared" si="2"/>
        <v>0</v>
      </c>
      <c r="AB31" s="19"/>
    </row>
    <row r="32" spans="1:28" ht="26.25" customHeight="1" x14ac:dyDescent="0.25">
      <c r="A32" s="29" t="s">
        <v>639</v>
      </c>
      <c r="B32" s="12" t="s">
        <v>640</v>
      </c>
      <c r="C32" s="19"/>
      <c r="D32" s="18">
        <v>2</v>
      </c>
      <c r="E32" s="18"/>
      <c r="F32" s="19"/>
      <c r="G32" s="19"/>
      <c r="H32" s="19">
        <v>12</v>
      </c>
      <c r="I32" s="19"/>
      <c r="J32" s="19"/>
      <c r="K32" s="29"/>
      <c r="L32" s="18"/>
      <c r="M32" s="18"/>
      <c r="N32" s="13"/>
      <c r="O32" s="18"/>
      <c r="P32" s="12"/>
      <c r="Q32" s="18"/>
      <c r="R32" s="18"/>
      <c r="S32" s="18"/>
      <c r="T32" s="12"/>
      <c r="U32" s="18"/>
      <c r="V32" s="18"/>
      <c r="W32" s="676">
        <f t="shared" si="0"/>
        <v>0</v>
      </c>
      <c r="X32" s="298"/>
      <c r="Y32" s="8"/>
      <c r="Z32" s="8">
        <f t="shared" si="1"/>
        <v>0</v>
      </c>
      <c r="AA32" s="190">
        <f t="shared" si="2"/>
        <v>0</v>
      </c>
      <c r="AB32" s="36"/>
    </row>
    <row r="33" spans="1:28" ht="39.4" customHeight="1" x14ac:dyDescent="0.25">
      <c r="A33" s="12" t="s">
        <v>641</v>
      </c>
      <c r="B33" s="12" t="s">
        <v>642</v>
      </c>
      <c r="C33" s="1"/>
      <c r="D33" s="6">
        <v>0</v>
      </c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6"/>
      <c r="T33" s="36"/>
      <c r="U33" s="36"/>
      <c r="V33" s="36"/>
      <c r="W33" s="676">
        <f t="shared" si="0"/>
        <v>0</v>
      </c>
      <c r="X33" s="301"/>
      <c r="Y33" s="8"/>
      <c r="Z33" s="8">
        <f t="shared" si="1"/>
        <v>0</v>
      </c>
      <c r="AA33" s="190">
        <f t="shared" si="2"/>
        <v>0</v>
      </c>
      <c r="AB33" s="36"/>
    </row>
    <row r="34" spans="1:28" x14ac:dyDescent="0.25">
      <c r="Y34" s="30"/>
      <c r="Z34" s="30">
        <f>SUM(Z3:Z33)</f>
        <v>60893483.700000003</v>
      </c>
      <c r="AA34" s="143">
        <f>SUM(AA3:AA33)</f>
        <v>33736327.079999998</v>
      </c>
    </row>
    <row r="37" spans="1:28" x14ac:dyDescent="0.25">
      <c r="A37" s="290" t="s">
        <v>643</v>
      </c>
      <c r="B37" s="290" t="s">
        <v>644</v>
      </c>
      <c r="C37" s="32"/>
      <c r="D37" s="32"/>
    </row>
    <row r="38" spans="1:28" x14ac:dyDescent="0.25">
      <c r="A38" s="290" t="s">
        <v>645</v>
      </c>
      <c r="B38" s="290" t="s">
        <v>646</v>
      </c>
      <c r="C38" s="32"/>
      <c r="D38" s="32"/>
    </row>
    <row r="39" spans="1:28" ht="26.25" customHeight="1" x14ac:dyDescent="0.25">
      <c r="A39" s="290" t="s">
        <v>647</v>
      </c>
      <c r="B39" s="290" t="s">
        <v>648</v>
      </c>
      <c r="C39" s="32"/>
      <c r="D39" s="32"/>
    </row>
    <row r="40" spans="1:28" x14ac:dyDescent="0.25">
      <c r="A40" s="290" t="s">
        <v>649</v>
      </c>
      <c r="B40" s="290" t="s">
        <v>650</v>
      </c>
      <c r="C40" s="32"/>
      <c r="D40" s="32"/>
    </row>
    <row r="41" spans="1:28" x14ac:dyDescent="0.25">
      <c r="A41" s="290" t="s">
        <v>116</v>
      </c>
      <c r="B41" s="290" t="s">
        <v>651</v>
      </c>
      <c r="C41" s="32"/>
      <c r="D41" s="32"/>
    </row>
    <row r="42" spans="1:28" x14ac:dyDescent="0.25">
      <c r="A42" s="290" t="s">
        <v>652</v>
      </c>
      <c r="B42" s="290" t="s">
        <v>653</v>
      </c>
      <c r="C42" s="32"/>
      <c r="D42" s="32"/>
    </row>
    <row r="43" spans="1:28" x14ac:dyDescent="0.25">
      <c r="A43" s="290" t="s">
        <v>654</v>
      </c>
      <c r="B43" s="290" t="s">
        <v>655</v>
      </c>
      <c r="C43" s="32"/>
      <c r="D43" s="32"/>
    </row>
    <row r="44" spans="1:28" x14ac:dyDescent="0.25">
      <c r="A44" s="290" t="s">
        <v>656</v>
      </c>
      <c r="B44" s="290" t="s">
        <v>657</v>
      </c>
      <c r="C44" s="32"/>
      <c r="D44" s="32"/>
    </row>
    <row r="45" spans="1:28" x14ac:dyDescent="0.25">
      <c r="B45" s="289" t="s">
        <v>658</v>
      </c>
    </row>
    <row r="47" spans="1:28" x14ac:dyDescent="0.25">
      <c r="B47" s="325" t="s">
        <v>659</v>
      </c>
    </row>
    <row r="48" spans="1:28" x14ac:dyDescent="0.25">
      <c r="B48" s="289" t="s">
        <v>660</v>
      </c>
      <c r="C48" s="288" t="s">
        <v>661</v>
      </c>
    </row>
    <row r="49" spans="1:3" x14ac:dyDescent="0.25">
      <c r="B49" s="289" t="s">
        <v>662</v>
      </c>
      <c r="C49" s="288" t="s">
        <v>661</v>
      </c>
    </row>
    <row r="50" spans="1:3" x14ac:dyDescent="0.25">
      <c r="B50" s="289" t="s">
        <v>663</v>
      </c>
      <c r="C50" s="288" t="s">
        <v>661</v>
      </c>
    </row>
    <row r="51" spans="1:3" x14ac:dyDescent="0.25">
      <c r="A51" s="424">
        <v>46029</v>
      </c>
      <c r="B51" s="289" t="s">
        <v>664</v>
      </c>
    </row>
    <row r="52" spans="1:3" x14ac:dyDescent="0.25">
      <c r="A52" s="424">
        <v>46036</v>
      </c>
      <c r="B52" s="289" t="s">
        <v>665</v>
      </c>
    </row>
    <row r="53" spans="1:3" x14ac:dyDescent="0.25">
      <c r="A53" s="424">
        <v>46055</v>
      </c>
      <c r="B53" s="289" t="s">
        <v>666</v>
      </c>
    </row>
    <row r="108" spans="19:27" x14ac:dyDescent="0.25">
      <c r="S108" s="2"/>
      <c r="T108" s="2"/>
      <c r="U108" s="2"/>
      <c r="V108" s="2"/>
      <c r="W108" s="2"/>
      <c r="AA108" s="2"/>
    </row>
    <row r="109" spans="19:27" x14ac:dyDescent="0.25">
      <c r="S109" s="2"/>
      <c r="T109" s="2"/>
      <c r="U109" s="2"/>
      <c r="V109" s="2"/>
      <c r="W109" s="2"/>
      <c r="AA109" s="2"/>
    </row>
    <row r="110" spans="19:27" x14ac:dyDescent="0.25">
      <c r="S110" s="2"/>
      <c r="T110" s="2"/>
      <c r="U110" s="2"/>
      <c r="V110" s="2"/>
      <c r="W110" s="2"/>
      <c r="AA110" s="2"/>
    </row>
    <row r="111" spans="19:27" x14ac:dyDescent="0.25">
      <c r="S111" s="2"/>
      <c r="T111" s="2"/>
      <c r="U111" s="2"/>
      <c r="V111" s="2"/>
      <c r="W111" s="2"/>
      <c r="AA111" s="2"/>
    </row>
    <row r="112" spans="19:27" x14ac:dyDescent="0.25">
      <c r="S112" s="2"/>
      <c r="T112" s="2"/>
      <c r="U112" s="2"/>
      <c r="V112" s="2"/>
      <c r="W112" s="2"/>
      <c r="AA112" s="2"/>
    </row>
    <row r="113" spans="19:27" x14ac:dyDescent="0.25">
      <c r="S113" s="2"/>
      <c r="T113" s="2"/>
      <c r="U113" s="2"/>
      <c r="V113" s="2"/>
      <c r="W113" s="2"/>
      <c r="AA113" s="2"/>
    </row>
    <row r="114" spans="19:27" x14ac:dyDescent="0.25">
      <c r="S114" s="2"/>
      <c r="T114" s="2"/>
      <c r="U114" s="2"/>
      <c r="V114" s="2"/>
      <c r="W114" s="2"/>
      <c r="AA114" s="2"/>
    </row>
    <row r="115" spans="19:27" x14ac:dyDescent="0.25">
      <c r="S115" s="2"/>
      <c r="T115" s="2"/>
      <c r="U115" s="2"/>
      <c r="V115" s="2"/>
      <c r="W115" s="2"/>
      <c r="AA115" s="2"/>
    </row>
    <row r="116" spans="19:27" x14ac:dyDescent="0.25">
      <c r="S116" s="2"/>
      <c r="T116" s="2"/>
      <c r="U116" s="2"/>
      <c r="V116" s="2"/>
      <c r="W116" s="2"/>
      <c r="AA116" s="2"/>
    </row>
    <row r="117" spans="19:27" x14ac:dyDescent="0.25">
      <c r="S117" s="2"/>
      <c r="T117" s="2"/>
      <c r="U117" s="2"/>
      <c r="V117" s="2"/>
      <c r="W117" s="2"/>
      <c r="AA117" s="2"/>
    </row>
    <row r="118" spans="19:27" x14ac:dyDescent="0.25">
      <c r="S118" s="2"/>
      <c r="T118" s="2"/>
      <c r="U118" s="2"/>
      <c r="V118" s="2"/>
      <c r="W118" s="2"/>
      <c r="AA118" s="2"/>
    </row>
    <row r="119" spans="19:27" x14ac:dyDescent="0.25">
      <c r="S119" s="2"/>
      <c r="T119" s="2"/>
      <c r="U119" s="2"/>
      <c r="V119" s="2"/>
      <c r="W119" s="2"/>
      <c r="AA119" s="2"/>
    </row>
    <row r="120" spans="19:27" x14ac:dyDescent="0.25">
      <c r="S120" s="2"/>
      <c r="T120" s="2"/>
      <c r="U120" s="2"/>
      <c r="V120" s="2"/>
      <c r="W120" s="2"/>
      <c r="AA120" s="2"/>
    </row>
    <row r="121" spans="19:27" x14ac:dyDescent="0.25">
      <c r="S121" s="2"/>
      <c r="T121" s="2"/>
      <c r="U121" s="2"/>
      <c r="V121" s="2"/>
      <c r="W121" s="2"/>
      <c r="AA121" s="2"/>
    </row>
    <row r="122" spans="19:27" x14ac:dyDescent="0.25">
      <c r="S122" s="2"/>
      <c r="T122" s="2"/>
      <c r="U122" s="2"/>
      <c r="V122" s="2"/>
      <c r="W122" s="2"/>
      <c r="AA122" s="2"/>
    </row>
    <row r="123" spans="19:27" x14ac:dyDescent="0.25">
      <c r="S123" s="2"/>
      <c r="T123" s="2"/>
      <c r="U123" s="2"/>
      <c r="V123" s="2"/>
      <c r="W123" s="2"/>
      <c r="AA123" s="2"/>
    </row>
    <row r="1048576" spans="13:13" x14ac:dyDescent="0.25">
      <c r="M1048576" s="174"/>
    </row>
  </sheetData>
  <autoFilter ref="A2:AA13">
    <sortState ref="A4:AB35">
      <sortCondition descending="1" ref="K2:K11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AB152"/>
  <sheetViews>
    <sheetView zoomScaleNormal="100" workbookViewId="0">
      <pane ySplit="2" topLeftCell="A3" activePane="bottomLeft" state="frozen"/>
      <selection pane="bottomLeft" activeCell="B15" sqref="B15"/>
    </sheetView>
  </sheetViews>
  <sheetFormatPr baseColWidth="10" defaultColWidth="11.42578125" defaultRowHeight="15" x14ac:dyDescent="0.25"/>
  <cols>
    <col min="1" max="1" width="15" customWidth="1"/>
    <col min="2" max="2" width="46.42578125" customWidth="1"/>
    <col min="3" max="3" width="12.5703125" hidden="1" customWidth="1"/>
    <col min="4" max="6" width="13.42578125" style="2" hidden="1" customWidth="1"/>
    <col min="7" max="8" width="10.7109375" style="2" hidden="1" customWidth="1"/>
    <col min="9" max="9" width="10.7109375" hidden="1" customWidth="1"/>
    <col min="10" max="10" width="15.140625" hidden="1" customWidth="1"/>
    <col min="11" max="11" width="8.42578125" customWidth="1"/>
    <col min="12" max="12" width="9.85546875" customWidth="1"/>
    <col min="13" max="13" width="14.28515625" customWidth="1"/>
    <col min="14" max="14" width="7.28515625" customWidth="1"/>
    <col min="15" max="15" width="8.5703125" customWidth="1"/>
    <col min="16" max="16" width="8" customWidth="1"/>
    <col min="17" max="17" width="7.42578125" customWidth="1"/>
    <col min="18" max="18" width="14.140625" customWidth="1"/>
    <col min="19" max="20" width="14.140625" hidden="1" customWidth="1"/>
    <col min="21" max="21" width="12.28515625" style="2" customWidth="1"/>
    <col min="22" max="22" width="11.28515625" style="2" customWidth="1"/>
    <col min="23" max="23" width="12.5703125" customWidth="1"/>
    <col min="24" max="24" width="13.28515625" customWidth="1"/>
    <col min="25" max="26" width="16.5703125" customWidth="1"/>
    <col min="27" max="27" width="18.85546875" customWidth="1"/>
    <col min="28" max="28" width="60.7109375" customWidth="1"/>
  </cols>
  <sheetData>
    <row r="1" spans="1:28" ht="15" customHeight="1" x14ac:dyDescent="0.25">
      <c r="A1" s="763" t="s">
        <v>75</v>
      </c>
      <c r="B1" s="763" t="s">
        <v>76</v>
      </c>
      <c r="C1" s="763" t="s">
        <v>77</v>
      </c>
      <c r="D1" s="763" t="s">
        <v>78</v>
      </c>
      <c r="E1" s="763" t="s">
        <v>79</v>
      </c>
      <c r="F1" s="763" t="s">
        <v>80</v>
      </c>
      <c r="G1" s="763" t="s">
        <v>81</v>
      </c>
      <c r="H1" s="763" t="s">
        <v>82</v>
      </c>
      <c r="I1" s="763" t="s">
        <v>83</v>
      </c>
      <c r="J1" s="763" t="s">
        <v>84</v>
      </c>
      <c r="K1" s="763" t="s">
        <v>85</v>
      </c>
      <c r="L1" s="763" t="s">
        <v>86</v>
      </c>
      <c r="M1" s="763" t="s">
        <v>87</v>
      </c>
      <c r="N1" s="788" t="s">
        <v>88</v>
      </c>
      <c r="O1" s="763" t="s">
        <v>89</v>
      </c>
      <c r="P1" s="763" t="s">
        <v>90</v>
      </c>
      <c r="Q1" s="763" t="s">
        <v>91</v>
      </c>
      <c r="R1" s="785" t="s">
        <v>667</v>
      </c>
      <c r="S1" s="785" t="s">
        <v>668</v>
      </c>
      <c r="T1" s="785" t="s">
        <v>669</v>
      </c>
      <c r="U1" s="786" t="s">
        <v>95</v>
      </c>
      <c r="V1" s="787"/>
      <c r="W1" s="763" t="s">
        <v>96</v>
      </c>
      <c r="X1" s="763" t="s">
        <v>97</v>
      </c>
      <c r="Y1" s="763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53"/>
      <c r="B2" s="753"/>
      <c r="C2" s="753"/>
      <c r="D2" s="753"/>
      <c r="E2" s="753"/>
      <c r="F2" s="753"/>
      <c r="G2" s="753"/>
      <c r="H2" s="753"/>
      <c r="I2" s="753"/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676" t="s">
        <v>102</v>
      </c>
      <c r="V2" s="676" t="s">
        <v>103</v>
      </c>
      <c r="W2" s="753"/>
      <c r="X2" s="753"/>
      <c r="Y2" s="753"/>
      <c r="Z2" s="756"/>
      <c r="AA2" s="758"/>
      <c r="AB2" s="758"/>
    </row>
    <row r="3" spans="1:28" s="4" customFormat="1" x14ac:dyDescent="0.25">
      <c r="A3" s="486" t="s">
        <v>333</v>
      </c>
      <c r="B3" s="486" t="s">
        <v>334</v>
      </c>
      <c r="C3" s="55"/>
      <c r="D3" s="92">
        <v>10</v>
      </c>
      <c r="E3" s="92">
        <v>10</v>
      </c>
      <c r="F3" s="92">
        <v>10</v>
      </c>
      <c r="G3" s="430"/>
      <c r="H3" s="482">
        <v>97</v>
      </c>
      <c r="I3" s="55">
        <v>30</v>
      </c>
      <c r="J3" s="483" t="s">
        <v>122</v>
      </c>
      <c r="K3" s="247">
        <v>751012</v>
      </c>
      <c r="L3" s="251"/>
      <c r="M3" s="55" t="s">
        <v>263</v>
      </c>
      <c r="N3" s="64" t="s">
        <v>670</v>
      </c>
      <c r="O3" s="66">
        <v>1</v>
      </c>
      <c r="P3" s="66"/>
      <c r="Q3" s="66"/>
      <c r="R3" s="19">
        <v>60</v>
      </c>
      <c r="S3" s="66"/>
      <c r="T3" s="66"/>
      <c r="U3" s="68"/>
      <c r="V3" s="66"/>
      <c r="W3" s="66">
        <f t="shared" ref="W3:W36" si="0">U3+V3</f>
        <v>0</v>
      </c>
      <c r="X3" s="277">
        <v>1153000</v>
      </c>
      <c r="Y3" s="65">
        <v>1564516</v>
      </c>
      <c r="Z3" s="279">
        <f t="shared" ref="Z3:Z36" si="1">R3*X3</f>
        <v>69180000</v>
      </c>
      <c r="AA3" s="168">
        <f t="shared" ref="AA3:AA36" si="2">W3*Y3</f>
        <v>0</v>
      </c>
      <c r="AB3" s="66"/>
    </row>
    <row r="4" spans="1:28" s="4" customFormat="1" x14ac:dyDescent="0.25">
      <c r="A4" s="66" t="s">
        <v>671</v>
      </c>
      <c r="B4" s="66" t="s">
        <v>672</v>
      </c>
      <c r="C4" s="66">
        <v>1483.333333333333</v>
      </c>
      <c r="D4" s="54">
        <v>1600</v>
      </c>
      <c r="E4" s="54">
        <v>1600</v>
      </c>
      <c r="F4" s="54">
        <v>1800</v>
      </c>
      <c r="G4" s="171">
        <v>1400</v>
      </c>
      <c r="H4" s="275">
        <v>19200</v>
      </c>
      <c r="I4" s="66">
        <v>5600</v>
      </c>
      <c r="J4" s="129" t="s">
        <v>122</v>
      </c>
      <c r="K4" s="66">
        <v>751012</v>
      </c>
      <c r="L4" s="66"/>
      <c r="M4" s="66" t="s">
        <v>263</v>
      </c>
      <c r="N4" s="64" t="s">
        <v>670</v>
      </c>
      <c r="O4" s="66">
        <v>2</v>
      </c>
      <c r="P4" s="66" t="s">
        <v>673</v>
      </c>
      <c r="Q4" s="66"/>
      <c r="R4" s="19">
        <v>12000</v>
      </c>
      <c r="S4" s="66"/>
      <c r="T4" s="66"/>
      <c r="U4" s="68">
        <v>12000</v>
      </c>
      <c r="V4" s="66"/>
      <c r="W4" s="66">
        <f t="shared" si="0"/>
        <v>12000</v>
      </c>
      <c r="X4" s="67">
        <v>7080</v>
      </c>
      <c r="Y4" s="65">
        <v>6865</v>
      </c>
      <c r="Z4" s="279">
        <f t="shared" si="1"/>
        <v>84960000</v>
      </c>
      <c r="AA4" s="168">
        <f t="shared" si="2"/>
        <v>82380000</v>
      </c>
      <c r="AB4" s="66"/>
    </row>
    <row r="5" spans="1:28" s="4" customFormat="1" x14ac:dyDescent="0.25">
      <c r="A5" s="66" t="s">
        <v>674</v>
      </c>
      <c r="B5" s="54" t="s">
        <v>675</v>
      </c>
      <c r="C5" s="54">
        <v>20</v>
      </c>
      <c r="D5" s="54">
        <v>15</v>
      </c>
      <c r="E5" s="54">
        <v>15</v>
      </c>
      <c r="F5" s="54">
        <v>70</v>
      </c>
      <c r="G5" s="171">
        <v>0</v>
      </c>
      <c r="H5" s="68">
        <v>200</v>
      </c>
      <c r="I5" s="66"/>
      <c r="J5" s="129" t="s">
        <v>122</v>
      </c>
      <c r="K5" s="174">
        <v>751014</v>
      </c>
      <c r="L5" s="66"/>
      <c r="M5" s="66" t="s">
        <v>676</v>
      </c>
      <c r="N5" s="13" t="s">
        <v>677</v>
      </c>
      <c r="O5" s="18">
        <v>1</v>
      </c>
      <c r="P5" s="18" t="s">
        <v>577</v>
      </c>
      <c r="Q5" s="18" t="s">
        <v>1969</v>
      </c>
      <c r="R5" s="19">
        <v>500</v>
      </c>
      <c r="S5" s="19"/>
      <c r="T5" s="19"/>
      <c r="U5" s="275">
        <v>500</v>
      </c>
      <c r="V5" s="18">
        <v>100</v>
      </c>
      <c r="W5" s="18">
        <f t="shared" si="0"/>
        <v>600</v>
      </c>
      <c r="X5" s="47">
        <v>19985</v>
      </c>
      <c r="Y5" s="8">
        <v>22996</v>
      </c>
      <c r="Z5" s="279">
        <f t="shared" si="1"/>
        <v>9992500</v>
      </c>
      <c r="AA5" s="9">
        <f t="shared" si="2"/>
        <v>13797600</v>
      </c>
      <c r="AB5" s="18"/>
    </row>
    <row r="6" spans="1:28" s="4" customFormat="1" x14ac:dyDescent="0.25">
      <c r="A6" s="18" t="s">
        <v>678</v>
      </c>
      <c r="B6" s="18" t="s">
        <v>679</v>
      </c>
      <c r="C6" s="12"/>
      <c r="D6" s="12">
        <v>300</v>
      </c>
      <c r="E6" s="12">
        <v>300</v>
      </c>
      <c r="F6" s="12">
        <v>300</v>
      </c>
      <c r="G6" s="1">
        <v>1500</v>
      </c>
      <c r="H6" s="275">
        <v>1500</v>
      </c>
      <c r="I6" s="18"/>
      <c r="J6" s="148" t="s">
        <v>122</v>
      </c>
      <c r="K6" s="19">
        <v>751014</v>
      </c>
      <c r="L6" s="18"/>
      <c r="M6" s="6" t="s">
        <v>259</v>
      </c>
      <c r="N6" s="13" t="s">
        <v>677</v>
      </c>
      <c r="O6" s="18">
        <v>2</v>
      </c>
      <c r="P6" s="6" t="s">
        <v>680</v>
      </c>
      <c r="Q6" s="6"/>
      <c r="R6" s="19">
        <v>2000</v>
      </c>
      <c r="S6" s="6"/>
      <c r="T6" s="6"/>
      <c r="U6" s="18">
        <v>2000</v>
      </c>
      <c r="V6" s="6"/>
      <c r="W6" s="18">
        <f t="shared" si="0"/>
        <v>2000</v>
      </c>
      <c r="X6" s="47">
        <v>429.8</v>
      </c>
      <c r="Y6" s="8">
        <v>449.5</v>
      </c>
      <c r="Z6" s="279">
        <f t="shared" si="1"/>
        <v>859600</v>
      </c>
      <c r="AA6" s="9">
        <f t="shared" si="2"/>
        <v>899000</v>
      </c>
      <c r="AB6" s="6"/>
    </row>
    <row r="7" spans="1:28" s="116" customFormat="1" x14ac:dyDescent="0.25">
      <c r="A7" s="66" t="s">
        <v>681</v>
      </c>
      <c r="B7" s="18" t="s">
        <v>682</v>
      </c>
      <c r="C7" s="12">
        <v>1200</v>
      </c>
      <c r="D7" s="12">
        <v>1500</v>
      </c>
      <c r="E7" s="12">
        <v>1200</v>
      </c>
      <c r="F7" s="12">
        <v>1500</v>
      </c>
      <c r="G7" s="77">
        <v>0</v>
      </c>
      <c r="H7" s="275">
        <v>8000</v>
      </c>
      <c r="I7" s="18"/>
      <c r="J7" s="148" t="s">
        <v>122</v>
      </c>
      <c r="K7" s="19">
        <v>751014</v>
      </c>
      <c r="L7" s="18"/>
      <c r="M7" s="18" t="s">
        <v>263</v>
      </c>
      <c r="N7" s="13" t="s">
        <v>677</v>
      </c>
      <c r="O7" s="18">
        <v>3</v>
      </c>
      <c r="P7" s="18" t="s">
        <v>683</v>
      </c>
      <c r="Q7" s="6" t="s">
        <v>1972</v>
      </c>
      <c r="R7" s="19">
        <f>F7*7</f>
        <v>10500</v>
      </c>
      <c r="S7" s="18"/>
      <c r="T7" s="18"/>
      <c r="U7" s="275">
        <v>10500</v>
      </c>
      <c r="V7" s="6">
        <v>4000</v>
      </c>
      <c r="W7" s="18">
        <f t="shared" si="0"/>
        <v>14500</v>
      </c>
      <c r="X7" s="118">
        <v>3650</v>
      </c>
      <c r="Y7" s="117">
        <v>3913.6</v>
      </c>
      <c r="Z7" s="279">
        <f t="shared" si="1"/>
        <v>38325000</v>
      </c>
      <c r="AA7" s="9">
        <f t="shared" si="2"/>
        <v>56747200</v>
      </c>
      <c r="AB7" s="6"/>
    </row>
    <row r="8" spans="1:28" s="116" customFormat="1" x14ac:dyDescent="0.25">
      <c r="A8" s="482" t="s">
        <v>123</v>
      </c>
      <c r="B8" s="482" t="s">
        <v>124</v>
      </c>
      <c r="C8" s="93" t="s">
        <v>684</v>
      </c>
      <c r="D8" s="92">
        <v>60</v>
      </c>
      <c r="E8" s="92">
        <v>100</v>
      </c>
      <c r="F8" s="92">
        <v>200</v>
      </c>
      <c r="G8" s="430">
        <v>0</v>
      </c>
      <c r="H8" s="482">
        <v>1200</v>
      </c>
      <c r="I8" s="55">
        <v>0</v>
      </c>
      <c r="J8" s="483" t="s">
        <v>122</v>
      </c>
      <c r="K8" s="247">
        <v>751014</v>
      </c>
      <c r="L8" s="55"/>
      <c r="M8" s="55" t="s">
        <v>285</v>
      </c>
      <c r="N8" s="13" t="s">
        <v>677</v>
      </c>
      <c r="O8" s="18">
        <v>4</v>
      </c>
      <c r="P8" s="6"/>
      <c r="Q8" s="18"/>
      <c r="R8" s="19">
        <v>1200</v>
      </c>
      <c r="S8" s="18"/>
      <c r="T8" s="18"/>
      <c r="U8" s="275"/>
      <c r="V8" s="18"/>
      <c r="W8" s="18">
        <f t="shared" si="0"/>
        <v>0</v>
      </c>
      <c r="X8" s="118">
        <v>435</v>
      </c>
      <c r="Y8" s="117"/>
      <c r="Z8" s="279">
        <f t="shared" si="1"/>
        <v>522000</v>
      </c>
      <c r="AA8" s="9">
        <f t="shared" si="2"/>
        <v>0</v>
      </c>
      <c r="AB8" s="18"/>
    </row>
    <row r="9" spans="1:28" s="4" customFormat="1" x14ac:dyDescent="0.25">
      <c r="A9" s="482" t="s">
        <v>541</v>
      </c>
      <c r="B9" s="92" t="s">
        <v>542</v>
      </c>
      <c r="C9" s="93"/>
      <c r="D9" s="92"/>
      <c r="E9" s="92"/>
      <c r="F9" s="92">
        <v>40</v>
      </c>
      <c r="G9" s="430">
        <v>0</v>
      </c>
      <c r="H9" s="482"/>
      <c r="I9" s="55">
        <v>0</v>
      </c>
      <c r="J9" s="483" t="s">
        <v>122</v>
      </c>
      <c r="K9" s="247">
        <v>751014</v>
      </c>
      <c r="L9" s="55"/>
      <c r="M9" s="55" t="s">
        <v>285</v>
      </c>
      <c r="N9" s="13" t="s">
        <v>677</v>
      </c>
      <c r="O9" s="18">
        <v>5</v>
      </c>
      <c r="P9" s="6"/>
      <c r="Q9" s="18"/>
      <c r="R9" s="19">
        <v>320</v>
      </c>
      <c r="S9" s="18"/>
      <c r="T9" s="18"/>
      <c r="U9" s="275"/>
      <c r="V9" s="18"/>
      <c r="W9" s="18">
        <f t="shared" si="0"/>
        <v>0</v>
      </c>
      <c r="X9" s="118">
        <v>6300</v>
      </c>
      <c r="Y9" s="117"/>
      <c r="Z9" s="279">
        <f t="shared" si="1"/>
        <v>2016000</v>
      </c>
      <c r="AA9" s="9">
        <f t="shared" si="2"/>
        <v>0</v>
      </c>
      <c r="AB9" s="18"/>
    </row>
    <row r="10" spans="1:28" s="116" customFormat="1" x14ac:dyDescent="0.25">
      <c r="A10" s="18" t="s">
        <v>685</v>
      </c>
      <c r="B10" s="18" t="s">
        <v>686</v>
      </c>
      <c r="C10" s="13" t="s">
        <v>687</v>
      </c>
      <c r="D10" s="12">
        <v>900</v>
      </c>
      <c r="E10" s="12">
        <v>750</v>
      </c>
      <c r="F10" s="12">
        <v>1300</v>
      </c>
      <c r="G10" s="77">
        <v>4800</v>
      </c>
      <c r="H10" s="275">
        <v>7000</v>
      </c>
      <c r="I10" s="316">
        <v>5000</v>
      </c>
      <c r="J10" s="148" t="s">
        <v>122</v>
      </c>
      <c r="K10" s="19">
        <v>751014</v>
      </c>
      <c r="L10" s="6"/>
      <c r="M10" s="18" t="s">
        <v>688</v>
      </c>
      <c r="N10" s="13" t="s">
        <v>677</v>
      </c>
      <c r="O10" s="18">
        <v>6</v>
      </c>
      <c r="P10" s="18" t="s">
        <v>689</v>
      </c>
      <c r="Q10" s="18" t="s">
        <v>1971</v>
      </c>
      <c r="R10" s="19">
        <v>6500</v>
      </c>
      <c r="S10" s="18"/>
      <c r="T10" s="18"/>
      <c r="U10" s="275">
        <v>6500</v>
      </c>
      <c r="V10" s="18">
        <v>4000</v>
      </c>
      <c r="W10" s="18">
        <f t="shared" si="0"/>
        <v>10500</v>
      </c>
      <c r="X10" s="47">
        <v>1980</v>
      </c>
      <c r="Y10" s="8">
        <v>1645</v>
      </c>
      <c r="Z10" s="279">
        <f t="shared" si="1"/>
        <v>12870000</v>
      </c>
      <c r="AA10" s="9">
        <f t="shared" si="2"/>
        <v>17272500</v>
      </c>
      <c r="AB10" s="18"/>
    </row>
    <row r="11" spans="1:28" s="132" customFormat="1" x14ac:dyDescent="0.25">
      <c r="A11" s="18" t="s">
        <v>690</v>
      </c>
      <c r="B11" s="12" t="s">
        <v>691</v>
      </c>
      <c r="C11" s="12">
        <v>233.33333333333329</v>
      </c>
      <c r="D11" s="12">
        <v>200</v>
      </c>
      <c r="E11" s="12">
        <v>200</v>
      </c>
      <c r="F11" s="12">
        <v>200</v>
      </c>
      <c r="G11" s="77">
        <v>1100</v>
      </c>
      <c r="H11" s="275">
        <v>1200</v>
      </c>
      <c r="I11" s="18">
        <v>0</v>
      </c>
      <c r="J11" s="148" t="s">
        <v>122</v>
      </c>
      <c r="K11" s="19">
        <v>751014</v>
      </c>
      <c r="L11" s="18"/>
      <c r="M11" s="18" t="s">
        <v>293</v>
      </c>
      <c r="N11" s="13" t="s">
        <v>677</v>
      </c>
      <c r="O11" s="18">
        <v>7</v>
      </c>
      <c r="P11" s="6" t="s">
        <v>692</v>
      </c>
      <c r="Q11" s="18"/>
      <c r="R11" s="19">
        <f>F11*7</f>
        <v>1400</v>
      </c>
      <c r="S11" s="18"/>
      <c r="T11" s="18"/>
      <c r="U11" s="275">
        <v>1400</v>
      </c>
      <c r="V11" s="18"/>
      <c r="W11" s="18">
        <f t="shared" si="0"/>
        <v>1400</v>
      </c>
      <c r="X11" s="47">
        <v>500</v>
      </c>
      <c r="Y11" s="8">
        <v>471</v>
      </c>
      <c r="Z11" s="279">
        <f t="shared" si="1"/>
        <v>700000</v>
      </c>
      <c r="AA11" s="9">
        <f t="shared" si="2"/>
        <v>659400</v>
      </c>
      <c r="AB11" s="18"/>
    </row>
    <row r="12" spans="1:28" s="132" customFormat="1" x14ac:dyDescent="0.25">
      <c r="A12" s="18" t="s">
        <v>693</v>
      </c>
      <c r="B12" s="18" t="s">
        <v>694</v>
      </c>
      <c r="C12" s="13" t="s">
        <v>695</v>
      </c>
      <c r="D12" s="12">
        <v>120</v>
      </c>
      <c r="E12" s="12">
        <v>120</v>
      </c>
      <c r="F12" s="12">
        <v>120</v>
      </c>
      <c r="G12" s="77">
        <v>50</v>
      </c>
      <c r="H12" s="275">
        <v>1200</v>
      </c>
      <c r="I12" s="18">
        <v>600</v>
      </c>
      <c r="J12" s="148" t="s">
        <v>122</v>
      </c>
      <c r="K12" s="19">
        <v>751014</v>
      </c>
      <c r="L12" s="18"/>
      <c r="M12" s="6" t="s">
        <v>293</v>
      </c>
      <c r="N12" s="13" t="s">
        <v>677</v>
      </c>
      <c r="O12" s="18">
        <v>8</v>
      </c>
      <c r="P12" s="6" t="s">
        <v>692</v>
      </c>
      <c r="Q12" s="6" t="s">
        <v>1968</v>
      </c>
      <c r="R12" s="19">
        <v>600</v>
      </c>
      <c r="S12" s="19"/>
      <c r="T12" s="19"/>
      <c r="U12" s="275">
        <v>600</v>
      </c>
      <c r="V12" s="6">
        <v>100</v>
      </c>
      <c r="W12" s="18">
        <f t="shared" si="0"/>
        <v>700</v>
      </c>
      <c r="X12" s="47">
        <v>4450</v>
      </c>
      <c r="Y12" s="8">
        <v>4513</v>
      </c>
      <c r="Z12" s="279">
        <f t="shared" si="1"/>
        <v>2670000</v>
      </c>
      <c r="AA12" s="9">
        <f t="shared" si="2"/>
        <v>3159100</v>
      </c>
      <c r="AB12" s="6"/>
    </row>
    <row r="13" spans="1:28" s="116" customFormat="1" x14ac:dyDescent="0.25">
      <c r="A13" s="18" t="s">
        <v>132</v>
      </c>
      <c r="B13" s="18" t="s">
        <v>696</v>
      </c>
      <c r="C13" s="18">
        <v>288.66666666666669</v>
      </c>
      <c r="D13" s="12">
        <v>350</v>
      </c>
      <c r="E13" s="12">
        <v>150</v>
      </c>
      <c r="F13" s="12">
        <v>350</v>
      </c>
      <c r="G13" s="77">
        <v>400</v>
      </c>
      <c r="H13" s="275">
        <v>2200</v>
      </c>
      <c r="I13" s="18">
        <v>40</v>
      </c>
      <c r="J13" s="148" t="s">
        <v>122</v>
      </c>
      <c r="K13" s="19">
        <v>751014</v>
      </c>
      <c r="L13" s="18"/>
      <c r="M13" s="18" t="s">
        <v>293</v>
      </c>
      <c r="N13" s="13" t="s">
        <v>677</v>
      </c>
      <c r="O13" s="66">
        <v>9</v>
      </c>
      <c r="P13" s="6" t="s">
        <v>692</v>
      </c>
      <c r="Q13" s="6" t="s">
        <v>1968</v>
      </c>
      <c r="R13" s="19">
        <v>2400</v>
      </c>
      <c r="S13" s="66"/>
      <c r="T13" s="66"/>
      <c r="U13" s="68">
        <v>2400</v>
      </c>
      <c r="V13" s="66">
        <v>480</v>
      </c>
      <c r="W13" s="66">
        <f t="shared" si="0"/>
        <v>2880</v>
      </c>
      <c r="X13" s="67">
        <v>8728.1200000000008</v>
      </c>
      <c r="Y13" s="65">
        <v>8812</v>
      </c>
      <c r="Z13" s="279">
        <f t="shared" si="1"/>
        <v>20947488.000000004</v>
      </c>
      <c r="AA13" s="168">
        <f t="shared" si="2"/>
        <v>25378560</v>
      </c>
      <c r="AB13" s="66"/>
    </row>
    <row r="14" spans="1:28" s="116" customFormat="1" x14ac:dyDescent="0.25">
      <c r="A14" s="18" t="s">
        <v>697</v>
      </c>
      <c r="B14" s="18" t="s">
        <v>698</v>
      </c>
      <c r="C14" s="18">
        <v>5183.333333333333</v>
      </c>
      <c r="D14" s="12">
        <v>7000</v>
      </c>
      <c r="E14" s="12">
        <v>7500</v>
      </c>
      <c r="F14" s="12">
        <v>7500</v>
      </c>
      <c r="G14" s="77">
        <v>15000</v>
      </c>
      <c r="H14" s="275">
        <v>40800</v>
      </c>
      <c r="I14" s="18">
        <v>30000</v>
      </c>
      <c r="J14" s="148" t="s">
        <v>122</v>
      </c>
      <c r="K14" s="19">
        <v>751014</v>
      </c>
      <c r="L14" s="18"/>
      <c r="M14" s="18" t="s">
        <v>293</v>
      </c>
      <c r="N14" s="13" t="s">
        <v>677</v>
      </c>
      <c r="O14" s="66">
        <v>10</v>
      </c>
      <c r="P14" s="6" t="s">
        <v>692</v>
      </c>
      <c r="Q14" s="6" t="s">
        <v>1968</v>
      </c>
      <c r="R14" s="174">
        <v>40000</v>
      </c>
      <c r="S14" s="66"/>
      <c r="T14" s="66"/>
      <c r="U14" s="68">
        <v>40000</v>
      </c>
      <c r="V14" s="66">
        <v>20000</v>
      </c>
      <c r="W14" s="18">
        <f t="shared" si="0"/>
        <v>60000</v>
      </c>
      <c r="X14" s="67">
        <v>785</v>
      </c>
      <c r="Y14" s="65">
        <v>892</v>
      </c>
      <c r="Z14" s="279">
        <f t="shared" si="1"/>
        <v>31400000</v>
      </c>
      <c r="AA14" s="168">
        <f t="shared" si="2"/>
        <v>53520000</v>
      </c>
      <c r="AB14" s="66"/>
    </row>
    <row r="15" spans="1:28" s="116" customFormat="1" x14ac:dyDescent="0.25">
      <c r="A15" s="55" t="s">
        <v>170</v>
      </c>
      <c r="B15" s="55" t="s">
        <v>171</v>
      </c>
      <c r="C15" s="55">
        <v>8.3333333333333339</v>
      </c>
      <c r="D15" s="92">
        <v>15</v>
      </c>
      <c r="E15" s="92">
        <v>15</v>
      </c>
      <c r="F15" s="92">
        <v>15</v>
      </c>
      <c r="G15" s="430">
        <v>25</v>
      </c>
      <c r="H15" s="482">
        <v>185</v>
      </c>
      <c r="I15" s="55">
        <v>50</v>
      </c>
      <c r="J15" s="483" t="s">
        <v>122</v>
      </c>
      <c r="K15" s="247">
        <v>751014</v>
      </c>
      <c r="L15" s="55"/>
      <c r="M15" s="55" t="s">
        <v>263</v>
      </c>
      <c r="N15" s="93" t="s">
        <v>677</v>
      </c>
      <c r="O15" s="55">
        <v>11</v>
      </c>
      <c r="P15" s="66"/>
      <c r="Q15" s="66"/>
      <c r="R15" s="174">
        <v>100</v>
      </c>
      <c r="S15" s="66"/>
      <c r="T15" s="66"/>
      <c r="U15" s="68"/>
      <c r="V15" s="66"/>
      <c r="W15" s="18">
        <f t="shared" si="0"/>
        <v>0</v>
      </c>
      <c r="X15" s="67">
        <v>10920</v>
      </c>
      <c r="Y15" s="65">
        <v>18666.68</v>
      </c>
      <c r="Z15" s="279">
        <f t="shared" si="1"/>
        <v>1092000</v>
      </c>
      <c r="AA15" s="168">
        <f t="shared" si="2"/>
        <v>0</v>
      </c>
      <c r="AB15" s="66"/>
    </row>
    <row r="16" spans="1:28" s="116" customFormat="1" x14ac:dyDescent="0.25">
      <c r="A16" s="18" t="s">
        <v>699</v>
      </c>
      <c r="B16" s="18" t="s">
        <v>700</v>
      </c>
      <c r="C16" s="18" t="s">
        <v>701</v>
      </c>
      <c r="D16" s="12">
        <v>450</v>
      </c>
      <c r="E16" s="12">
        <v>500</v>
      </c>
      <c r="F16" s="12">
        <v>750</v>
      </c>
      <c r="G16" s="77">
        <v>1400</v>
      </c>
      <c r="H16" s="275">
        <v>2375</v>
      </c>
      <c r="I16" s="18">
        <v>300</v>
      </c>
      <c r="J16" s="148" t="s">
        <v>122</v>
      </c>
      <c r="K16" s="19">
        <v>751014</v>
      </c>
      <c r="L16" s="18"/>
      <c r="M16" s="18" t="s">
        <v>263</v>
      </c>
      <c r="N16" s="13" t="s">
        <v>677</v>
      </c>
      <c r="O16" s="66">
        <v>12</v>
      </c>
      <c r="P16" s="66" t="s">
        <v>683</v>
      </c>
      <c r="Q16" s="6" t="s">
        <v>1972</v>
      </c>
      <c r="R16" s="174">
        <v>5000</v>
      </c>
      <c r="S16" s="66"/>
      <c r="T16" s="66"/>
      <c r="U16" s="68">
        <v>5000</v>
      </c>
      <c r="V16" s="66">
        <v>5000</v>
      </c>
      <c r="W16" s="66">
        <f t="shared" si="0"/>
        <v>10000</v>
      </c>
      <c r="X16" s="67">
        <v>2888.8</v>
      </c>
      <c r="Y16" s="65">
        <v>2430</v>
      </c>
      <c r="Z16" s="279">
        <f t="shared" si="1"/>
        <v>14444000</v>
      </c>
      <c r="AA16" s="168">
        <f t="shared" si="2"/>
        <v>24300000</v>
      </c>
      <c r="AB16" s="66"/>
    </row>
    <row r="17" spans="1:28" s="116" customFormat="1" x14ac:dyDescent="0.25">
      <c r="A17" s="18" t="s">
        <v>702</v>
      </c>
      <c r="B17" s="18" t="s">
        <v>703</v>
      </c>
      <c r="C17" s="18">
        <v>8833.3333333333339</v>
      </c>
      <c r="D17" s="12">
        <v>10000</v>
      </c>
      <c r="E17" s="12">
        <v>9000</v>
      </c>
      <c r="F17" s="12">
        <v>9000</v>
      </c>
      <c r="G17" s="77">
        <v>36600</v>
      </c>
      <c r="H17" s="275">
        <v>30000</v>
      </c>
      <c r="I17" s="18">
        <v>22000</v>
      </c>
      <c r="J17" s="148" t="s">
        <v>122</v>
      </c>
      <c r="K17" s="19">
        <v>751014</v>
      </c>
      <c r="L17" s="18"/>
      <c r="M17" s="6" t="s">
        <v>283</v>
      </c>
      <c r="N17" s="13" t="s">
        <v>677</v>
      </c>
      <c r="O17" s="66">
        <v>13</v>
      </c>
      <c r="P17" s="66" t="s">
        <v>704</v>
      </c>
      <c r="Q17" s="63" t="s">
        <v>1973</v>
      </c>
      <c r="R17" s="174">
        <v>50000</v>
      </c>
      <c r="S17" s="63"/>
      <c r="T17" s="63"/>
      <c r="U17" s="68">
        <v>50000</v>
      </c>
      <c r="V17" s="63">
        <v>25000</v>
      </c>
      <c r="W17" s="18">
        <f t="shared" si="0"/>
        <v>75000</v>
      </c>
      <c r="X17" s="67">
        <v>598</v>
      </c>
      <c r="Y17" s="65">
        <v>764</v>
      </c>
      <c r="Z17" s="279">
        <f t="shared" si="1"/>
        <v>29900000</v>
      </c>
      <c r="AA17" s="168">
        <f t="shared" si="2"/>
        <v>57300000</v>
      </c>
      <c r="AB17" s="66"/>
    </row>
    <row r="18" spans="1:28" s="4" customFormat="1" x14ac:dyDescent="0.25">
      <c r="A18" s="18" t="s">
        <v>705</v>
      </c>
      <c r="B18" s="18" t="s">
        <v>706</v>
      </c>
      <c r="C18" s="18"/>
      <c r="D18" s="18"/>
      <c r="E18" s="18">
        <v>25</v>
      </c>
      <c r="F18" s="18">
        <v>25</v>
      </c>
      <c r="G18" s="77">
        <v>75</v>
      </c>
      <c r="H18" s="275">
        <v>250</v>
      </c>
      <c r="I18" s="18">
        <v>50</v>
      </c>
      <c r="J18" s="148" t="s">
        <v>122</v>
      </c>
      <c r="K18" s="19">
        <v>751014</v>
      </c>
      <c r="L18" s="6"/>
      <c r="M18" s="74" t="s">
        <v>688</v>
      </c>
      <c r="N18" s="13" t="s">
        <v>677</v>
      </c>
      <c r="O18" s="66">
        <v>14</v>
      </c>
      <c r="P18" s="18" t="s">
        <v>689</v>
      </c>
      <c r="Q18" s="36" t="s">
        <v>1971</v>
      </c>
      <c r="R18" s="174">
        <v>160</v>
      </c>
      <c r="S18" s="171"/>
      <c r="T18" s="171"/>
      <c r="U18" s="68">
        <v>160</v>
      </c>
      <c r="V18" s="171">
        <v>50</v>
      </c>
      <c r="W18" s="18">
        <f t="shared" si="0"/>
        <v>210</v>
      </c>
      <c r="X18" s="248">
        <v>11254</v>
      </c>
      <c r="Y18" s="248">
        <v>9999</v>
      </c>
      <c r="Z18" s="279">
        <f t="shared" si="1"/>
        <v>1800640</v>
      </c>
      <c r="AA18" s="168">
        <f t="shared" si="2"/>
        <v>2099790</v>
      </c>
      <c r="AB18" s="276"/>
    </row>
    <row r="19" spans="1:28" s="116" customFormat="1" x14ac:dyDescent="0.25">
      <c r="A19" s="55" t="s">
        <v>150</v>
      </c>
      <c r="B19" s="55" t="s">
        <v>337</v>
      </c>
      <c r="C19" s="55" t="s">
        <v>707</v>
      </c>
      <c r="D19" s="92">
        <v>1500</v>
      </c>
      <c r="E19" s="92">
        <v>1400</v>
      </c>
      <c r="F19" s="92">
        <v>1500</v>
      </c>
      <c r="G19" s="430">
        <v>4000</v>
      </c>
      <c r="H19" s="482">
        <v>11800</v>
      </c>
      <c r="I19" s="55">
        <v>1000</v>
      </c>
      <c r="J19" s="483" t="s">
        <v>122</v>
      </c>
      <c r="K19" s="247">
        <v>751014</v>
      </c>
      <c r="L19" s="55"/>
      <c r="M19" s="55" t="s">
        <v>263</v>
      </c>
      <c r="N19" s="13" t="s">
        <v>677</v>
      </c>
      <c r="O19" s="66">
        <v>15</v>
      </c>
      <c r="P19" s="66"/>
      <c r="Q19" s="66"/>
      <c r="R19" s="174">
        <f>F19*7</f>
        <v>10500</v>
      </c>
      <c r="S19" s="66"/>
      <c r="T19" s="66"/>
      <c r="U19" s="68"/>
      <c r="V19" s="66"/>
      <c r="W19" s="18">
        <f t="shared" si="0"/>
        <v>0</v>
      </c>
      <c r="X19" s="67">
        <v>1005</v>
      </c>
      <c r="Y19" s="65">
        <v>1442</v>
      </c>
      <c r="Z19" s="279">
        <f t="shared" si="1"/>
        <v>10552500</v>
      </c>
      <c r="AA19" s="168">
        <f t="shared" si="2"/>
        <v>0</v>
      </c>
      <c r="AB19" s="66"/>
    </row>
    <row r="20" spans="1:28" s="132" customFormat="1" x14ac:dyDescent="0.25">
      <c r="A20" s="18" t="s">
        <v>708</v>
      </c>
      <c r="B20" s="12" t="s">
        <v>709</v>
      </c>
      <c r="C20" s="18">
        <v>866</v>
      </c>
      <c r="D20" s="12">
        <v>1000</v>
      </c>
      <c r="E20" s="12">
        <v>900</v>
      </c>
      <c r="F20" s="12">
        <v>1200</v>
      </c>
      <c r="G20" s="77">
        <v>2400</v>
      </c>
      <c r="H20" s="275">
        <v>3850</v>
      </c>
      <c r="I20" s="18">
        <v>500</v>
      </c>
      <c r="J20" s="148" t="s">
        <v>122</v>
      </c>
      <c r="K20" s="19">
        <v>751014</v>
      </c>
      <c r="L20" s="18"/>
      <c r="M20" s="18" t="s">
        <v>293</v>
      </c>
      <c r="N20" s="13" t="s">
        <v>677</v>
      </c>
      <c r="O20" s="66">
        <v>16</v>
      </c>
      <c r="P20" s="6" t="s">
        <v>692</v>
      </c>
      <c r="Q20" s="6" t="s">
        <v>1968</v>
      </c>
      <c r="R20" s="174">
        <v>8000</v>
      </c>
      <c r="S20" s="66"/>
      <c r="T20" s="66"/>
      <c r="U20" s="68">
        <v>8000</v>
      </c>
      <c r="V20" s="66">
        <v>6000</v>
      </c>
      <c r="W20" s="18">
        <f t="shared" si="0"/>
        <v>14000</v>
      </c>
      <c r="X20" s="140">
        <v>610.20000000000005</v>
      </c>
      <c r="Y20" s="141">
        <v>695</v>
      </c>
      <c r="Z20" s="279">
        <f t="shared" si="1"/>
        <v>4881600</v>
      </c>
      <c r="AA20" s="168">
        <f t="shared" si="2"/>
        <v>9730000</v>
      </c>
      <c r="AB20" s="66"/>
    </row>
    <row r="21" spans="1:28" s="132" customFormat="1" ht="15" customHeight="1" x14ac:dyDescent="0.25">
      <c r="A21" s="18" t="s">
        <v>710</v>
      </c>
      <c r="B21" s="12" t="s">
        <v>711</v>
      </c>
      <c r="C21" s="18">
        <v>1262</v>
      </c>
      <c r="D21" s="12">
        <v>1500</v>
      </c>
      <c r="E21" s="12">
        <v>1500</v>
      </c>
      <c r="F21" s="12">
        <v>1500</v>
      </c>
      <c r="G21" s="77">
        <v>6640</v>
      </c>
      <c r="H21" s="275">
        <v>12000</v>
      </c>
      <c r="I21" s="18"/>
      <c r="J21" s="148" t="s">
        <v>122</v>
      </c>
      <c r="K21" s="19">
        <v>751014</v>
      </c>
      <c r="L21" s="18"/>
      <c r="M21" s="18" t="s">
        <v>712</v>
      </c>
      <c r="N21" s="13" t="s">
        <v>677</v>
      </c>
      <c r="O21" s="66">
        <v>17</v>
      </c>
      <c r="P21" s="66" t="s">
        <v>713</v>
      </c>
      <c r="Q21" s="66" t="s">
        <v>1970</v>
      </c>
      <c r="R21" s="174">
        <f>F21*7</f>
        <v>10500</v>
      </c>
      <c r="S21" s="174"/>
      <c r="T21" s="174"/>
      <c r="U21" s="68">
        <v>10500</v>
      </c>
      <c r="V21" s="66">
        <v>5500</v>
      </c>
      <c r="W21" s="18">
        <f t="shared" si="0"/>
        <v>16000</v>
      </c>
      <c r="X21" s="140">
        <v>2871</v>
      </c>
      <c r="Y21" s="141">
        <v>2890</v>
      </c>
      <c r="Z21" s="279">
        <f t="shared" si="1"/>
        <v>30145500</v>
      </c>
      <c r="AA21" s="65">
        <f t="shared" si="2"/>
        <v>46240000</v>
      </c>
      <c r="AB21" s="66"/>
    </row>
    <row r="22" spans="1:28" s="4" customFormat="1" x14ac:dyDescent="0.25">
      <c r="A22" s="18" t="s">
        <v>714</v>
      </c>
      <c r="B22" s="18" t="s">
        <v>715</v>
      </c>
      <c r="C22" s="18">
        <v>40</v>
      </c>
      <c r="D22" s="12">
        <v>500</v>
      </c>
      <c r="E22" s="12">
        <v>200</v>
      </c>
      <c r="F22" s="12">
        <v>200</v>
      </c>
      <c r="G22" s="77">
        <v>525</v>
      </c>
      <c r="H22" s="275">
        <v>150</v>
      </c>
      <c r="I22" s="18"/>
      <c r="J22" s="148" t="s">
        <v>122</v>
      </c>
      <c r="K22" s="19">
        <v>751014</v>
      </c>
      <c r="L22" s="18"/>
      <c r="M22" s="18" t="s">
        <v>712</v>
      </c>
      <c r="N22" s="13" t="s">
        <v>677</v>
      </c>
      <c r="O22" s="66">
        <v>18</v>
      </c>
      <c r="P22" s="66" t="s">
        <v>713</v>
      </c>
      <c r="Q22" s="66" t="s">
        <v>1970</v>
      </c>
      <c r="R22" s="174">
        <v>1200</v>
      </c>
      <c r="S22" s="166"/>
      <c r="T22" s="166"/>
      <c r="U22" s="68">
        <v>1200</v>
      </c>
      <c r="V22" s="66">
        <v>550</v>
      </c>
      <c r="W22" s="18">
        <f t="shared" si="0"/>
        <v>1750</v>
      </c>
      <c r="X22" s="140">
        <v>8215</v>
      </c>
      <c r="Y22" s="141">
        <v>8100</v>
      </c>
      <c r="Z22" s="279">
        <f t="shared" si="1"/>
        <v>9858000</v>
      </c>
      <c r="AA22" s="168">
        <f t="shared" si="2"/>
        <v>14175000</v>
      </c>
      <c r="AB22" s="66"/>
    </row>
    <row r="23" spans="1:28" s="4" customFormat="1" x14ac:dyDescent="0.25">
      <c r="A23" s="12" t="s">
        <v>716</v>
      </c>
      <c r="B23" s="18" t="s">
        <v>717</v>
      </c>
      <c r="C23" s="18" t="s">
        <v>718</v>
      </c>
      <c r="D23" s="12">
        <v>500</v>
      </c>
      <c r="E23" s="12">
        <v>650</v>
      </c>
      <c r="F23" s="12">
        <v>600</v>
      </c>
      <c r="G23" s="77">
        <v>1430</v>
      </c>
      <c r="H23" s="275">
        <v>9000</v>
      </c>
      <c r="I23" s="18">
        <v>6000</v>
      </c>
      <c r="J23" s="148" t="s">
        <v>122</v>
      </c>
      <c r="K23" s="19">
        <v>751014</v>
      </c>
      <c r="L23" s="6"/>
      <c r="M23" s="6" t="s">
        <v>688</v>
      </c>
      <c r="N23" s="13" t="s">
        <v>677</v>
      </c>
      <c r="O23" s="66">
        <v>19</v>
      </c>
      <c r="P23" s="66" t="s">
        <v>689</v>
      </c>
      <c r="Q23" s="63" t="s">
        <v>1971</v>
      </c>
      <c r="R23" s="174">
        <v>1300</v>
      </c>
      <c r="S23" s="66"/>
      <c r="T23" s="66"/>
      <c r="U23" s="68">
        <v>1300</v>
      </c>
      <c r="V23" s="63">
        <v>1300</v>
      </c>
      <c r="W23" s="18">
        <f t="shared" si="0"/>
        <v>2600</v>
      </c>
      <c r="X23" s="140">
        <v>7440</v>
      </c>
      <c r="Y23" s="141">
        <v>6890</v>
      </c>
      <c r="Z23" s="279">
        <f t="shared" si="1"/>
        <v>9672000</v>
      </c>
      <c r="AA23" s="168">
        <f t="shared" si="2"/>
        <v>17914000</v>
      </c>
      <c r="AB23" s="63"/>
    </row>
    <row r="24" spans="1:28" s="4" customFormat="1" x14ac:dyDescent="0.25">
      <c r="A24" s="18" t="s">
        <v>719</v>
      </c>
      <c r="B24" s="18" t="s">
        <v>720</v>
      </c>
      <c r="C24" s="18">
        <v>0</v>
      </c>
      <c r="D24" s="12">
        <v>0</v>
      </c>
      <c r="E24" s="12">
        <v>20</v>
      </c>
      <c r="F24" s="12">
        <v>20</v>
      </c>
      <c r="G24" s="77">
        <v>50</v>
      </c>
      <c r="H24" s="275">
        <v>100</v>
      </c>
      <c r="I24" s="18"/>
      <c r="J24" s="148" t="s">
        <v>122</v>
      </c>
      <c r="K24" s="19">
        <v>751014</v>
      </c>
      <c r="L24" s="18"/>
      <c r="M24" s="18" t="s">
        <v>293</v>
      </c>
      <c r="N24" s="13" t="s">
        <v>677</v>
      </c>
      <c r="O24" s="66">
        <v>20</v>
      </c>
      <c r="P24" s="6" t="s">
        <v>692</v>
      </c>
      <c r="Q24" s="6" t="s">
        <v>1968</v>
      </c>
      <c r="R24" s="19">
        <v>120</v>
      </c>
      <c r="S24" s="166"/>
      <c r="T24" s="166"/>
      <c r="U24" s="68">
        <v>120</v>
      </c>
      <c r="V24" s="66">
        <v>60</v>
      </c>
      <c r="W24" s="18">
        <f t="shared" si="0"/>
        <v>180</v>
      </c>
      <c r="X24" s="140">
        <v>4060</v>
      </c>
      <c r="Y24" s="141">
        <v>5793</v>
      </c>
      <c r="Z24" s="279">
        <f t="shared" si="1"/>
        <v>487200</v>
      </c>
      <c r="AA24" s="168">
        <f t="shared" si="2"/>
        <v>1042740</v>
      </c>
      <c r="AB24" s="66"/>
    </row>
    <row r="25" spans="1:28" s="4" customFormat="1" ht="14.25" customHeight="1" x14ac:dyDescent="0.25">
      <c r="A25" s="18" t="s">
        <v>721</v>
      </c>
      <c r="B25" s="12" t="s">
        <v>722</v>
      </c>
      <c r="C25" s="12"/>
      <c r="D25" s="18">
        <v>200</v>
      </c>
      <c r="E25" s="18">
        <v>300</v>
      </c>
      <c r="F25" s="18">
        <v>250</v>
      </c>
      <c r="G25" s="1">
        <v>2000</v>
      </c>
      <c r="H25" s="275">
        <v>3000</v>
      </c>
      <c r="I25" s="18">
        <v>800</v>
      </c>
      <c r="J25" s="148" t="s">
        <v>122</v>
      </c>
      <c r="K25" s="19">
        <v>751014</v>
      </c>
      <c r="L25" s="18"/>
      <c r="M25" s="18" t="s">
        <v>293</v>
      </c>
      <c r="N25" s="13" t="s">
        <v>677</v>
      </c>
      <c r="O25" s="66">
        <v>21</v>
      </c>
      <c r="P25" s="6" t="s">
        <v>692</v>
      </c>
      <c r="Q25" s="6" t="s">
        <v>1968</v>
      </c>
      <c r="R25" s="19">
        <v>500</v>
      </c>
      <c r="S25" s="52"/>
      <c r="T25" s="52"/>
      <c r="U25" s="18">
        <v>500</v>
      </c>
      <c r="V25" s="6">
        <v>500</v>
      </c>
      <c r="W25" s="18">
        <f t="shared" si="0"/>
        <v>1000</v>
      </c>
      <c r="X25" s="118">
        <v>1820</v>
      </c>
      <c r="Y25" s="117">
        <v>1788</v>
      </c>
      <c r="Z25" s="279">
        <f t="shared" si="1"/>
        <v>910000</v>
      </c>
      <c r="AA25" s="9">
        <f t="shared" si="2"/>
        <v>1788000</v>
      </c>
      <c r="AB25" s="6"/>
    </row>
    <row r="26" spans="1:28" s="4" customFormat="1" x14ac:dyDescent="0.25">
      <c r="A26" s="18" t="s">
        <v>723</v>
      </c>
      <c r="B26" s="12" t="s">
        <v>724</v>
      </c>
      <c r="C26" s="12"/>
      <c r="D26" s="18"/>
      <c r="E26" s="18">
        <v>10</v>
      </c>
      <c r="F26" s="18">
        <v>10</v>
      </c>
      <c r="G26" s="18"/>
      <c r="H26" s="275">
        <v>40</v>
      </c>
      <c r="I26" s="18"/>
      <c r="J26" s="148" t="s">
        <v>122</v>
      </c>
      <c r="K26" s="19">
        <v>751014</v>
      </c>
      <c r="L26" s="6"/>
      <c r="M26" s="6" t="s">
        <v>725</v>
      </c>
      <c r="N26" s="13" t="s">
        <v>677</v>
      </c>
      <c r="O26" s="66">
        <v>22</v>
      </c>
      <c r="P26" s="6" t="s">
        <v>726</v>
      </c>
      <c r="Q26" s="6"/>
      <c r="R26" s="19">
        <f>F26*7</f>
        <v>70</v>
      </c>
      <c r="S26" s="6"/>
      <c r="T26" s="6"/>
      <c r="U26" s="6">
        <v>70</v>
      </c>
      <c r="V26" s="6"/>
      <c r="W26" s="18">
        <f t="shared" si="0"/>
        <v>70</v>
      </c>
      <c r="X26" s="249">
        <v>109998</v>
      </c>
      <c r="Y26" s="249">
        <v>41500</v>
      </c>
      <c r="Z26" s="279">
        <f t="shared" si="1"/>
        <v>7699860</v>
      </c>
      <c r="AA26" s="9">
        <f t="shared" si="2"/>
        <v>2905000</v>
      </c>
      <c r="AB26" s="36"/>
    </row>
    <row r="27" spans="1:28" s="4" customFormat="1" ht="17.25" customHeight="1" x14ac:dyDescent="0.25">
      <c r="A27" s="18" t="s">
        <v>727</v>
      </c>
      <c r="B27" s="18" t="s">
        <v>728</v>
      </c>
      <c r="C27" s="12">
        <v>33.333333333333343</v>
      </c>
      <c r="D27" s="12">
        <v>50</v>
      </c>
      <c r="E27" s="12">
        <v>200</v>
      </c>
      <c r="F27" s="12">
        <v>100</v>
      </c>
      <c r="G27" s="77">
        <v>2200</v>
      </c>
      <c r="H27" s="275">
        <v>0</v>
      </c>
      <c r="I27" s="18">
        <v>0</v>
      </c>
      <c r="J27" s="148" t="s">
        <v>122</v>
      </c>
      <c r="K27" s="19"/>
      <c r="L27" s="18"/>
      <c r="M27" s="6"/>
      <c r="N27" s="64"/>
      <c r="O27" s="18"/>
      <c r="P27" s="6"/>
      <c r="Q27" s="6"/>
      <c r="R27" s="19">
        <v>0</v>
      </c>
      <c r="S27" s="19"/>
      <c r="T27" s="19"/>
      <c r="U27" s="275"/>
      <c r="V27" s="6"/>
      <c r="W27" s="18">
        <f t="shared" si="0"/>
        <v>0</v>
      </c>
      <c r="X27" s="118"/>
      <c r="Y27" s="117"/>
      <c r="Z27" s="279">
        <f t="shared" si="1"/>
        <v>0</v>
      </c>
      <c r="AA27" s="9">
        <f t="shared" si="2"/>
        <v>0</v>
      </c>
      <c r="AB27" s="6"/>
    </row>
    <row r="28" spans="1:28" s="116" customFormat="1" x14ac:dyDescent="0.25">
      <c r="A28" s="18" t="s">
        <v>729</v>
      </c>
      <c r="B28" s="12" t="s">
        <v>730</v>
      </c>
      <c r="C28" s="12">
        <v>0</v>
      </c>
      <c r="D28" s="12">
        <v>10</v>
      </c>
      <c r="E28" s="12">
        <v>10</v>
      </c>
      <c r="F28" s="12">
        <v>0</v>
      </c>
      <c r="G28" s="77">
        <v>0</v>
      </c>
      <c r="H28" s="275">
        <v>25</v>
      </c>
      <c r="I28" s="18">
        <v>0</v>
      </c>
      <c r="J28" s="148" t="s">
        <v>122</v>
      </c>
      <c r="K28" s="19"/>
      <c r="L28" s="18"/>
      <c r="M28" s="18"/>
      <c r="N28" s="13"/>
      <c r="O28" s="18"/>
      <c r="P28" s="18"/>
      <c r="Q28" s="18"/>
      <c r="R28" s="19">
        <f>F28*7</f>
        <v>0</v>
      </c>
      <c r="S28" s="19"/>
      <c r="T28" s="19"/>
      <c r="U28" s="275"/>
      <c r="V28" s="18"/>
      <c r="W28" s="18">
        <f t="shared" si="0"/>
        <v>0</v>
      </c>
      <c r="X28" s="47">
        <v>4629.8</v>
      </c>
      <c r="Y28" s="8">
        <v>5450</v>
      </c>
      <c r="Z28" s="279">
        <f t="shared" si="1"/>
        <v>0</v>
      </c>
      <c r="AA28" s="9">
        <f t="shared" si="2"/>
        <v>0</v>
      </c>
      <c r="AB28" s="18"/>
    </row>
    <row r="29" spans="1:28" s="116" customFormat="1" x14ac:dyDescent="0.25">
      <c r="A29" s="18" t="s">
        <v>731</v>
      </c>
      <c r="B29" s="18" t="s">
        <v>732</v>
      </c>
      <c r="C29" s="12">
        <v>133</v>
      </c>
      <c r="D29" s="12">
        <v>120</v>
      </c>
      <c r="E29" s="12">
        <v>120</v>
      </c>
      <c r="F29" s="12">
        <v>100</v>
      </c>
      <c r="G29" s="77">
        <v>1700</v>
      </c>
      <c r="H29" s="275">
        <v>1350</v>
      </c>
      <c r="I29" s="18">
        <v>0</v>
      </c>
      <c r="J29" s="148" t="s">
        <v>122</v>
      </c>
      <c r="K29" s="19"/>
      <c r="L29" s="18"/>
      <c r="M29" s="6"/>
      <c r="N29" s="13"/>
      <c r="O29" s="18"/>
      <c r="P29" s="6"/>
      <c r="Q29" s="6"/>
      <c r="R29" s="19">
        <v>0</v>
      </c>
      <c r="S29" s="6"/>
      <c r="T29" s="6"/>
      <c r="U29" s="275"/>
      <c r="V29" s="6"/>
      <c r="W29" s="18">
        <f t="shared" si="0"/>
        <v>0</v>
      </c>
      <c r="X29" s="47">
        <v>835</v>
      </c>
      <c r="Y29" s="8">
        <v>1500</v>
      </c>
      <c r="Z29" s="279">
        <f t="shared" si="1"/>
        <v>0</v>
      </c>
      <c r="AA29" s="9">
        <f t="shared" si="2"/>
        <v>0</v>
      </c>
      <c r="AB29" s="6"/>
    </row>
    <row r="30" spans="1:28" s="116" customFormat="1" x14ac:dyDescent="0.25">
      <c r="A30" s="273" t="s">
        <v>733</v>
      </c>
      <c r="B30" s="273" t="s">
        <v>734</v>
      </c>
      <c r="C30" s="66" t="s">
        <v>735</v>
      </c>
      <c r="D30" s="54">
        <v>500</v>
      </c>
      <c r="E30" s="54">
        <v>600</v>
      </c>
      <c r="F30" s="54">
        <v>400</v>
      </c>
      <c r="G30" s="171">
        <v>6000</v>
      </c>
      <c r="H30" s="275">
        <v>7200</v>
      </c>
      <c r="I30" s="66">
        <v>0</v>
      </c>
      <c r="J30" s="129" t="s">
        <v>122</v>
      </c>
      <c r="K30" s="121"/>
      <c r="L30" s="66"/>
      <c r="M30" s="66"/>
      <c r="N30" s="64"/>
      <c r="O30" s="66"/>
      <c r="P30" s="66"/>
      <c r="Q30" s="66"/>
      <c r="R30" s="19">
        <v>0</v>
      </c>
      <c r="S30" s="66"/>
      <c r="T30" s="66"/>
      <c r="U30" s="68"/>
      <c r="V30" s="66"/>
      <c r="W30" s="66">
        <f t="shared" si="0"/>
        <v>0</v>
      </c>
      <c r="X30" s="67">
        <v>10695</v>
      </c>
      <c r="Y30" s="65">
        <v>7752.8</v>
      </c>
      <c r="Z30" s="279">
        <f t="shared" si="1"/>
        <v>0</v>
      </c>
      <c r="AA30" s="168">
        <f t="shared" si="2"/>
        <v>0</v>
      </c>
      <c r="AB30" s="66"/>
    </row>
    <row r="31" spans="1:28" s="116" customFormat="1" x14ac:dyDescent="0.25">
      <c r="A31" s="66" t="s">
        <v>736</v>
      </c>
      <c r="B31" s="66" t="s">
        <v>737</v>
      </c>
      <c r="C31" s="66" t="s">
        <v>738</v>
      </c>
      <c r="D31" s="54">
        <v>400</v>
      </c>
      <c r="E31" s="54">
        <v>500</v>
      </c>
      <c r="F31" s="54">
        <v>350</v>
      </c>
      <c r="G31" s="171">
        <v>2010</v>
      </c>
      <c r="H31" s="275">
        <v>5050</v>
      </c>
      <c r="I31" s="66">
        <v>2000</v>
      </c>
      <c r="J31" s="129" t="s">
        <v>122</v>
      </c>
      <c r="K31" s="19"/>
      <c r="L31" s="66"/>
      <c r="M31" s="66"/>
      <c r="N31" s="13"/>
      <c r="O31" s="66"/>
      <c r="P31" s="66"/>
      <c r="Q31" s="66"/>
      <c r="R31" s="19">
        <v>0</v>
      </c>
      <c r="S31" s="66"/>
      <c r="T31" s="66"/>
      <c r="U31" s="68"/>
      <c r="V31" s="66"/>
      <c r="W31" s="66">
        <f t="shared" si="0"/>
        <v>0</v>
      </c>
      <c r="X31" s="67">
        <v>10512.82</v>
      </c>
      <c r="Y31" s="65">
        <v>10090</v>
      </c>
      <c r="Z31" s="279">
        <f t="shared" si="1"/>
        <v>0</v>
      </c>
      <c r="AA31" s="168">
        <f t="shared" si="2"/>
        <v>0</v>
      </c>
      <c r="AB31" s="66"/>
    </row>
    <row r="32" spans="1:28" s="116" customFormat="1" x14ac:dyDescent="0.25">
      <c r="A32" s="66"/>
      <c r="B32" s="66" t="s">
        <v>739</v>
      </c>
      <c r="C32" s="66"/>
      <c r="D32" s="54">
        <v>0</v>
      </c>
      <c r="E32" s="54">
        <v>0</v>
      </c>
      <c r="F32" s="54">
        <v>0</v>
      </c>
      <c r="G32" s="171"/>
      <c r="H32" s="275">
        <v>0</v>
      </c>
      <c r="I32" s="66"/>
      <c r="J32" s="129" t="s">
        <v>122</v>
      </c>
      <c r="K32" s="66"/>
      <c r="L32" s="66"/>
      <c r="M32" s="66"/>
      <c r="N32" s="64"/>
      <c r="O32" s="66"/>
      <c r="P32" s="66"/>
      <c r="Q32" s="66"/>
      <c r="R32" s="19">
        <f>F32*7</f>
        <v>0</v>
      </c>
      <c r="S32" s="174"/>
      <c r="T32" s="174"/>
      <c r="U32" s="68"/>
      <c r="V32" s="66"/>
      <c r="W32" s="18">
        <f t="shared" si="0"/>
        <v>0</v>
      </c>
      <c r="X32" s="140"/>
      <c r="Y32" s="141"/>
      <c r="Z32" s="279">
        <f t="shared" si="1"/>
        <v>0</v>
      </c>
      <c r="AA32" s="168">
        <f t="shared" si="2"/>
        <v>0</v>
      </c>
      <c r="AB32" s="66"/>
    </row>
    <row r="33" spans="1:28" x14ac:dyDescent="0.25">
      <c r="A33" s="258" t="s">
        <v>740</v>
      </c>
      <c r="B33" s="258" t="s">
        <v>741</v>
      </c>
      <c r="C33" s="258"/>
      <c r="D33" s="304">
        <v>20</v>
      </c>
      <c r="E33" s="304">
        <v>20</v>
      </c>
      <c r="F33" s="304">
        <v>40</v>
      </c>
      <c r="G33" s="310"/>
      <c r="H33" s="275">
        <v>195</v>
      </c>
      <c r="I33" s="436">
        <v>60</v>
      </c>
      <c r="J33" s="312" t="s">
        <v>122</v>
      </c>
      <c r="K33" s="313"/>
      <c r="L33" s="258"/>
      <c r="M33" s="258"/>
      <c r="N33" s="314"/>
      <c r="O33" s="258"/>
      <c r="P33" s="258"/>
      <c r="Q33" s="258"/>
      <c r="R33" s="19">
        <v>0</v>
      </c>
      <c r="S33" s="437"/>
      <c r="T33" s="437"/>
      <c r="U33" s="311"/>
      <c r="V33" s="258"/>
      <c r="W33" s="258">
        <f t="shared" si="0"/>
        <v>0</v>
      </c>
      <c r="X33" s="438">
        <v>490000</v>
      </c>
      <c r="Y33" s="438">
        <v>543371</v>
      </c>
      <c r="Z33" s="279">
        <f t="shared" si="1"/>
        <v>0</v>
      </c>
      <c r="AA33" s="315">
        <f t="shared" si="2"/>
        <v>0</v>
      </c>
      <c r="AB33" s="70"/>
    </row>
    <row r="34" spans="1:28" x14ac:dyDescent="0.25">
      <c r="A34" s="18" t="s">
        <v>742</v>
      </c>
      <c r="B34" s="18" t="s">
        <v>743</v>
      </c>
      <c r="C34" s="18"/>
      <c r="D34" s="18"/>
      <c r="E34" s="18">
        <v>10</v>
      </c>
      <c r="F34" s="18">
        <v>8</v>
      </c>
      <c r="G34" s="77">
        <v>70</v>
      </c>
      <c r="H34" s="275">
        <v>80</v>
      </c>
      <c r="I34" s="18">
        <v>50</v>
      </c>
      <c r="J34" s="148" t="s">
        <v>122</v>
      </c>
      <c r="K34" s="19"/>
      <c r="L34" s="36"/>
      <c r="M34" s="74"/>
      <c r="N34" s="13"/>
      <c r="O34" s="18"/>
      <c r="P34" s="36"/>
      <c r="Q34" s="36"/>
      <c r="R34" s="19">
        <v>0</v>
      </c>
      <c r="S34" s="77"/>
      <c r="T34" s="77"/>
      <c r="U34" s="275"/>
      <c r="V34" s="77"/>
      <c r="W34" s="18">
        <f t="shared" si="0"/>
        <v>0</v>
      </c>
      <c r="X34" s="249">
        <v>7890</v>
      </c>
      <c r="Y34" s="249">
        <v>11325.6</v>
      </c>
      <c r="Z34" s="279">
        <f t="shared" si="1"/>
        <v>0</v>
      </c>
      <c r="AA34" s="8">
        <f t="shared" si="2"/>
        <v>0</v>
      </c>
      <c r="AB34" s="36"/>
    </row>
    <row r="35" spans="1:28" x14ac:dyDescent="0.25">
      <c r="A35" s="66" t="s">
        <v>744</v>
      </c>
      <c r="B35" s="66" t="s">
        <v>745</v>
      </c>
      <c r="C35" s="66">
        <v>166.66666666666671</v>
      </c>
      <c r="D35" s="54">
        <v>300</v>
      </c>
      <c r="E35" s="12">
        <v>0</v>
      </c>
      <c r="F35" s="12">
        <v>0</v>
      </c>
      <c r="G35" s="171"/>
      <c r="H35" s="275">
        <v>0</v>
      </c>
      <c r="I35" s="66"/>
      <c r="J35" s="129" t="s">
        <v>122</v>
      </c>
      <c r="K35" s="19"/>
      <c r="L35" s="66"/>
      <c r="M35" s="66"/>
      <c r="N35" s="64"/>
      <c r="O35" s="66"/>
      <c r="P35" s="63"/>
      <c r="Q35" s="66"/>
      <c r="R35" s="19">
        <f>F35*7</f>
        <v>0</v>
      </c>
      <c r="S35" s="66"/>
      <c r="T35" s="66"/>
      <c r="U35" s="68"/>
      <c r="V35" s="66"/>
      <c r="W35" s="18">
        <f t="shared" si="0"/>
        <v>0</v>
      </c>
      <c r="X35" s="140"/>
      <c r="Y35" s="141"/>
      <c r="Z35" s="279">
        <f t="shared" si="1"/>
        <v>0</v>
      </c>
      <c r="AA35" s="65">
        <f t="shared" si="2"/>
        <v>0</v>
      </c>
      <c r="AB35" s="66"/>
    </row>
    <row r="36" spans="1:28" s="4" customFormat="1" x14ac:dyDescent="0.25">
      <c r="A36" s="66" t="s">
        <v>172</v>
      </c>
      <c r="B36" s="66" t="s">
        <v>173</v>
      </c>
      <c r="C36" s="66" t="s">
        <v>174</v>
      </c>
      <c r="D36" s="54">
        <v>100</v>
      </c>
      <c r="E36" s="54">
        <v>200</v>
      </c>
      <c r="F36" s="54">
        <v>100</v>
      </c>
      <c r="G36" s="171">
        <v>1500</v>
      </c>
      <c r="H36" s="275">
        <v>2200</v>
      </c>
      <c r="I36" s="66"/>
      <c r="J36" s="148" t="s">
        <v>122</v>
      </c>
      <c r="K36" s="19"/>
      <c r="L36" s="6"/>
      <c r="M36" s="63"/>
      <c r="N36" s="64"/>
      <c r="O36" s="66"/>
      <c r="P36" s="18"/>
      <c r="Q36" s="6"/>
      <c r="R36" s="19">
        <v>0</v>
      </c>
      <c r="S36" s="19"/>
      <c r="T36" s="19"/>
      <c r="U36" s="275"/>
      <c r="V36" s="6"/>
      <c r="W36" s="18">
        <f t="shared" si="0"/>
        <v>0</v>
      </c>
      <c r="X36" s="118">
        <v>11695</v>
      </c>
      <c r="Y36" s="117">
        <v>7899</v>
      </c>
      <c r="Z36" s="279">
        <f t="shared" si="1"/>
        <v>0</v>
      </c>
      <c r="AA36" s="8">
        <f t="shared" si="2"/>
        <v>0</v>
      </c>
      <c r="AB36" s="6"/>
    </row>
    <row r="37" spans="1:28" s="4" customFormat="1" x14ac:dyDescent="0.25">
      <c r="A37" s="14"/>
      <c r="B37" s="10"/>
      <c r="C37" s="14"/>
      <c r="D37" s="11"/>
      <c r="E37" s="11"/>
      <c r="F37" s="11"/>
      <c r="G37" s="11"/>
      <c r="H37" s="11"/>
      <c r="I37" s="14"/>
      <c r="J37" s="14"/>
      <c r="K37" s="14"/>
      <c r="L37" s="680"/>
      <c r="M37" s="14"/>
      <c r="N37" s="14"/>
      <c r="O37" s="14"/>
      <c r="P37" s="14"/>
      <c r="Q37" s="14"/>
      <c r="R37" s="680"/>
      <c r="S37" s="680"/>
      <c r="T37" s="680"/>
      <c r="U37" s="11"/>
      <c r="V37" s="11"/>
      <c r="W37" s="22"/>
      <c r="X37" s="14"/>
      <c r="Y37" s="14"/>
      <c r="Z37" s="15">
        <f>SUM(Z4:Z36)</f>
        <v>326705888</v>
      </c>
      <c r="AA37" s="15">
        <f>SUM(AA3:AA36)</f>
        <v>431307890</v>
      </c>
      <c r="AB37" s="14"/>
    </row>
    <row r="38" spans="1:28" s="4" customFormat="1" x14ac:dyDescent="0.25">
      <c r="A38" s="680"/>
      <c r="B38" s="680"/>
      <c r="C38" s="680"/>
      <c r="D38" s="188"/>
      <c r="E38" s="188"/>
      <c r="F38" s="188"/>
      <c r="G38" s="188"/>
      <c r="H38" s="188"/>
      <c r="I38" s="680"/>
      <c r="J38" s="680"/>
      <c r="K38" s="680"/>
      <c r="L38" s="680"/>
      <c r="M38" s="680"/>
      <c r="N38" s="680"/>
      <c r="O38" s="680"/>
      <c r="P38" s="680"/>
      <c r="Q38" s="680"/>
      <c r="R38" s="680"/>
      <c r="S38" s="680"/>
      <c r="T38" s="680"/>
      <c r="U38" s="188"/>
      <c r="V38" s="188"/>
      <c r="W38" s="680"/>
      <c r="X38" s="680"/>
      <c r="Y38" s="680"/>
      <c r="Z38" s="680"/>
      <c r="AA38" s="680"/>
      <c r="AB38" s="680"/>
    </row>
    <row r="39" spans="1:28" s="4" customFormat="1" x14ac:dyDescent="0.25">
      <c r="A39" s="680"/>
      <c r="B39" s="680"/>
      <c r="C39" s="680"/>
      <c r="D39" s="188"/>
      <c r="E39" s="188"/>
      <c r="F39" s="188"/>
      <c r="G39" s="188"/>
      <c r="H39" s="188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188"/>
      <c r="V39" s="188"/>
      <c r="W39" s="680"/>
      <c r="X39" s="680"/>
      <c r="Y39" s="680"/>
      <c r="Z39" s="680"/>
      <c r="AA39" s="680"/>
      <c r="AB39" s="680"/>
    </row>
    <row r="40" spans="1:28" s="4" customFormat="1" x14ac:dyDescent="0.25">
      <c r="A40" s="680"/>
      <c r="B40" s="680"/>
      <c r="C40" s="680"/>
      <c r="D40" s="188"/>
      <c r="E40" s="188"/>
      <c r="F40" s="188"/>
      <c r="G40" s="188"/>
      <c r="H40" s="188"/>
      <c r="I40" s="680"/>
      <c r="J40" s="680"/>
      <c r="K40" s="680"/>
      <c r="L40" s="680"/>
      <c r="M40" s="680"/>
      <c r="N40" s="680"/>
      <c r="O40" s="680"/>
      <c r="P40" s="680"/>
      <c r="Q40" s="680"/>
      <c r="R40" s="680"/>
      <c r="S40" s="680"/>
      <c r="T40" s="680"/>
      <c r="U40" s="188"/>
      <c r="V40" s="188"/>
      <c r="W40" s="680"/>
      <c r="X40" s="680"/>
      <c r="Y40" s="680"/>
      <c r="Z40" s="680"/>
      <c r="AA40" s="680"/>
      <c r="AB40" s="680"/>
    </row>
    <row r="41" spans="1:28" s="4" customFormat="1" x14ac:dyDescent="0.25">
      <c r="A41" s="680"/>
      <c r="B41" s="680" t="s">
        <v>746</v>
      </c>
      <c r="C41" s="680"/>
      <c r="D41" s="188"/>
      <c r="E41" s="188"/>
      <c r="F41" s="188"/>
      <c r="G41" s="188"/>
      <c r="H41" s="188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188"/>
      <c r="V41" s="188"/>
      <c r="W41" s="680"/>
      <c r="X41" s="680"/>
      <c r="Y41" s="680"/>
      <c r="Z41" s="680"/>
      <c r="AA41" s="680"/>
      <c r="AB41" s="680"/>
    </row>
    <row r="42" spans="1:28" s="4" customFormat="1" x14ac:dyDescent="0.25">
      <c r="A42" s="680" t="s">
        <v>747</v>
      </c>
      <c r="B42" s="680"/>
      <c r="C42" s="680"/>
      <c r="D42" s="188"/>
      <c r="E42" s="188"/>
      <c r="F42" s="188"/>
      <c r="G42" s="188"/>
      <c r="H42" s="188"/>
      <c r="I42" s="680"/>
      <c r="J42" s="680" t="s">
        <v>748</v>
      </c>
      <c r="K42" s="680"/>
      <c r="L42" s="680"/>
      <c r="M42" s="680"/>
      <c r="N42" s="680"/>
      <c r="O42" s="680"/>
      <c r="P42" s="680"/>
      <c r="Q42" s="680"/>
      <c r="R42" s="680"/>
      <c r="S42" s="680"/>
      <c r="T42" s="680"/>
      <c r="U42" s="188"/>
      <c r="V42" s="188"/>
      <c r="W42" s="680"/>
      <c r="X42" s="680"/>
      <c r="Y42" s="680"/>
      <c r="Z42" s="680"/>
      <c r="AA42" s="680"/>
      <c r="AB42" s="680"/>
    </row>
    <row r="43" spans="1:28" s="4" customFormat="1" x14ac:dyDescent="0.25">
      <c r="A43" s="680">
        <v>3000</v>
      </c>
      <c r="B43" s="680" t="s">
        <v>749</v>
      </c>
      <c r="C43" s="680"/>
      <c r="D43" s="188"/>
      <c r="E43" s="188"/>
      <c r="F43" s="188"/>
      <c r="G43" s="188"/>
      <c r="H43" s="188"/>
      <c r="I43" s="680"/>
      <c r="J43" s="680">
        <v>120000</v>
      </c>
      <c r="K43" s="680"/>
      <c r="L43" s="680" t="s">
        <v>750</v>
      </c>
      <c r="M43" s="680"/>
      <c r="N43" s="680"/>
      <c r="O43" s="680"/>
      <c r="P43" s="680"/>
      <c r="Q43" s="680"/>
      <c r="R43" s="680"/>
      <c r="S43" s="680"/>
      <c r="T43" s="680"/>
      <c r="U43" s="188"/>
      <c r="V43" s="188"/>
      <c r="W43" s="680"/>
      <c r="X43" s="680"/>
      <c r="Y43" s="680"/>
      <c r="Z43" s="680"/>
      <c r="AA43" s="680"/>
      <c r="AB43" s="680"/>
    </row>
    <row r="44" spans="1:28" s="4" customFormat="1" x14ac:dyDescent="0.25">
      <c r="A44" s="680">
        <v>12500</v>
      </c>
      <c r="B44" s="680" t="s">
        <v>751</v>
      </c>
      <c r="C44" s="680"/>
      <c r="D44" s="188"/>
      <c r="E44" s="188"/>
      <c r="F44" s="188"/>
      <c r="G44" s="188"/>
      <c r="H44" s="188"/>
      <c r="I44" s="680"/>
      <c r="J44" s="680">
        <v>187500</v>
      </c>
      <c r="K44" s="680"/>
      <c r="L44" s="680" t="s">
        <v>752</v>
      </c>
      <c r="M44" s="680"/>
      <c r="N44" s="680"/>
      <c r="O44" s="680"/>
      <c r="P44" s="680"/>
      <c r="Q44" s="680"/>
      <c r="R44" s="680"/>
      <c r="S44" s="680"/>
      <c r="T44" s="680"/>
      <c r="U44" s="188"/>
      <c r="V44" s="188"/>
      <c r="W44" s="680"/>
      <c r="X44" s="680"/>
      <c r="Y44" s="680"/>
      <c r="Z44" s="680"/>
      <c r="AA44" s="680"/>
      <c r="AB44" s="680"/>
    </row>
    <row r="45" spans="1:28" s="4" customFormat="1" x14ac:dyDescent="0.25">
      <c r="A45" s="680">
        <v>1700</v>
      </c>
      <c r="B45" s="680" t="s">
        <v>753</v>
      </c>
      <c r="C45" s="680"/>
      <c r="D45" s="188"/>
      <c r="E45" s="188"/>
      <c r="F45" s="188"/>
      <c r="G45" s="188"/>
      <c r="H45" s="188"/>
      <c r="I45" s="680"/>
      <c r="J45" s="680">
        <v>85000</v>
      </c>
      <c r="K45" s="680"/>
      <c r="L45" s="680" t="s">
        <v>754</v>
      </c>
      <c r="M45" s="680"/>
      <c r="N45" s="680"/>
      <c r="O45" s="680"/>
      <c r="P45" s="680"/>
      <c r="Q45" s="680"/>
      <c r="R45" s="680"/>
      <c r="S45" s="680"/>
      <c r="T45" s="680"/>
      <c r="U45" s="188"/>
      <c r="V45" s="188"/>
      <c r="W45" s="680"/>
      <c r="X45" s="680"/>
      <c r="Y45" s="680"/>
      <c r="Z45" s="680"/>
      <c r="AA45" s="680"/>
      <c r="AB45" s="680"/>
    </row>
    <row r="46" spans="1:28" s="4" customFormat="1" x14ac:dyDescent="0.25">
      <c r="A46" s="680">
        <v>4000</v>
      </c>
      <c r="B46" s="680" t="s">
        <v>755</v>
      </c>
      <c r="C46" s="680"/>
      <c r="D46" s="188"/>
      <c r="E46" s="188"/>
      <c r="F46" s="188"/>
      <c r="G46" s="188"/>
      <c r="H46" s="188"/>
      <c r="I46" s="680"/>
      <c r="J46" s="680">
        <v>96000</v>
      </c>
      <c r="K46" s="680"/>
      <c r="L46" s="680" t="s">
        <v>756</v>
      </c>
      <c r="M46" s="680"/>
      <c r="N46" s="680"/>
      <c r="O46" s="680"/>
      <c r="P46" s="680"/>
      <c r="Q46" s="680"/>
      <c r="R46" s="680"/>
      <c r="S46" s="680"/>
      <c r="T46" s="680"/>
      <c r="U46" s="188"/>
      <c r="V46" s="188"/>
      <c r="W46" s="680"/>
      <c r="X46" s="680"/>
      <c r="Y46" s="680"/>
      <c r="Z46" s="680"/>
      <c r="AA46" s="680"/>
      <c r="AB46" s="680"/>
    </row>
    <row r="47" spans="1:28" s="4" customFormat="1" x14ac:dyDescent="0.25">
      <c r="A47" s="680"/>
      <c r="B47" s="680"/>
      <c r="C47" s="680"/>
      <c r="D47" s="188"/>
      <c r="E47" s="188"/>
      <c r="F47" s="188"/>
      <c r="G47" s="188"/>
      <c r="H47" s="188"/>
      <c r="I47" s="680"/>
      <c r="J47" s="680"/>
      <c r="K47" s="680"/>
      <c r="L47" s="680"/>
      <c r="M47" s="680"/>
      <c r="N47" s="680"/>
      <c r="O47" s="680"/>
      <c r="P47" s="680"/>
      <c r="Q47" s="680"/>
      <c r="R47" s="680"/>
      <c r="S47" s="680"/>
      <c r="T47" s="680"/>
      <c r="U47" s="188"/>
      <c r="V47" s="188"/>
      <c r="W47" s="680"/>
      <c r="X47" s="680"/>
      <c r="Y47" s="680"/>
      <c r="Z47" s="680"/>
      <c r="AA47" s="680"/>
      <c r="AB47" s="680"/>
    </row>
    <row r="48" spans="1:28" s="4" customFormat="1" x14ac:dyDescent="0.25">
      <c r="A48" s="680"/>
      <c r="B48" s="680"/>
      <c r="C48" s="680"/>
      <c r="D48" s="188"/>
      <c r="E48" s="188"/>
      <c r="F48" s="188"/>
      <c r="G48" s="188"/>
      <c r="H48" s="188"/>
      <c r="I48" s="680"/>
      <c r="J48" s="680"/>
      <c r="K48" s="680"/>
      <c r="L48" s="680"/>
      <c r="M48" s="680"/>
      <c r="N48" s="680"/>
      <c r="O48" s="680"/>
      <c r="P48" s="680"/>
      <c r="Q48" s="680"/>
      <c r="R48" s="680"/>
      <c r="S48" s="680"/>
      <c r="T48" s="680"/>
      <c r="U48" s="188"/>
      <c r="V48" s="188"/>
      <c r="W48" s="680"/>
      <c r="X48" s="680"/>
      <c r="Y48" s="680"/>
      <c r="Z48" s="680"/>
      <c r="AA48" s="680"/>
      <c r="AB48" s="680"/>
    </row>
    <row r="49" spans="2:22" s="4" customFormat="1" x14ac:dyDescent="0.25">
      <c r="B49" s="680"/>
      <c r="C49" s="680"/>
      <c r="D49" s="188"/>
      <c r="E49" s="188"/>
      <c r="F49" s="188"/>
      <c r="G49" s="188"/>
      <c r="H49" s="188"/>
      <c r="I49" s="680"/>
      <c r="J49" s="680"/>
      <c r="K49" s="680"/>
      <c r="L49" s="680"/>
      <c r="M49" s="680"/>
      <c r="N49" s="680"/>
      <c r="O49" s="680"/>
      <c r="P49" s="680"/>
      <c r="Q49" s="680"/>
      <c r="R49" s="680"/>
      <c r="S49" s="680"/>
      <c r="T49" s="680"/>
      <c r="U49" s="188"/>
      <c r="V49" s="188"/>
    </row>
    <row r="51" spans="2:22" x14ac:dyDescent="0.25">
      <c r="B51" s="266" t="s">
        <v>757</v>
      </c>
    </row>
    <row r="52" spans="2:22" x14ac:dyDescent="0.25">
      <c r="B52" s="267" t="s">
        <v>758</v>
      </c>
    </row>
    <row r="53" spans="2:22" x14ac:dyDescent="0.25">
      <c r="B53" t="s">
        <v>759</v>
      </c>
    </row>
    <row r="117" spans="18:20" x14ac:dyDescent="0.25">
      <c r="R117" s="2"/>
      <c r="S117" s="2"/>
      <c r="T117" s="2"/>
    </row>
    <row r="118" spans="18:20" x14ac:dyDescent="0.25">
      <c r="R118" s="2"/>
      <c r="S118" s="2"/>
      <c r="T118" s="2"/>
    </row>
    <row r="119" spans="18:20" x14ac:dyDescent="0.25">
      <c r="R119" s="2"/>
      <c r="S119" s="2"/>
      <c r="T119" s="2"/>
    </row>
    <row r="120" spans="18:20" x14ac:dyDescent="0.25">
      <c r="R120" s="2"/>
      <c r="S120" s="2"/>
      <c r="T120" s="2"/>
    </row>
    <row r="121" spans="18:20" x14ac:dyDescent="0.25">
      <c r="R121" s="2"/>
      <c r="S121" s="2"/>
      <c r="T121" s="2"/>
    </row>
    <row r="122" spans="18:20" x14ac:dyDescent="0.25">
      <c r="R122" s="2"/>
      <c r="S122" s="2"/>
      <c r="T122" s="2"/>
    </row>
    <row r="123" spans="18:20" x14ac:dyDescent="0.25">
      <c r="R123" s="2"/>
      <c r="S123" s="2"/>
      <c r="T123" s="2"/>
    </row>
    <row r="124" spans="18:20" x14ac:dyDescent="0.25">
      <c r="R124" s="2"/>
      <c r="S124" s="2"/>
      <c r="T124" s="2"/>
    </row>
    <row r="125" spans="18:20" x14ac:dyDescent="0.25">
      <c r="R125" s="2"/>
      <c r="S125" s="2"/>
      <c r="T125" s="2"/>
    </row>
    <row r="126" spans="18:20" x14ac:dyDescent="0.25">
      <c r="R126" s="2"/>
      <c r="S126" s="2"/>
      <c r="T126" s="2"/>
    </row>
    <row r="127" spans="18:20" x14ac:dyDescent="0.25">
      <c r="R127" s="2"/>
      <c r="S127" s="2"/>
      <c r="T127" s="2"/>
    </row>
    <row r="128" spans="18:20" x14ac:dyDescent="0.25">
      <c r="R128" s="2"/>
      <c r="S128" s="2"/>
      <c r="T128" s="2"/>
    </row>
    <row r="129" spans="13:28" x14ac:dyDescent="0.25">
      <c r="R129" s="2"/>
      <c r="S129" s="2"/>
      <c r="T129" s="2"/>
    </row>
    <row r="130" spans="13:28" x14ac:dyDescent="0.25">
      <c r="R130" s="2"/>
      <c r="S130" s="2"/>
      <c r="T130" s="2"/>
    </row>
    <row r="131" spans="13:28" x14ac:dyDescent="0.25">
      <c r="R131" s="2"/>
      <c r="S131" s="2"/>
      <c r="T131" s="2"/>
    </row>
    <row r="132" spans="13:28" x14ac:dyDescent="0.25">
      <c r="R132" s="2"/>
      <c r="S132" s="2"/>
      <c r="T132" s="2"/>
    </row>
    <row r="137" spans="13:28" x14ac:dyDescent="0.25">
      <c r="M137" s="2"/>
      <c r="N137" s="2"/>
      <c r="O137" s="2"/>
      <c r="P137" s="2"/>
      <c r="Q137" s="2"/>
      <c r="W137" s="2"/>
      <c r="X137" s="2"/>
      <c r="Y137" s="2"/>
      <c r="AB137" s="2"/>
    </row>
    <row r="138" spans="13:28" x14ac:dyDescent="0.25">
      <c r="M138" s="2"/>
      <c r="N138" s="2"/>
      <c r="O138" s="2"/>
      <c r="P138" s="2"/>
      <c r="Q138" s="2"/>
      <c r="W138" s="2"/>
      <c r="X138" s="2"/>
      <c r="Y138" s="2"/>
      <c r="AB138" s="2"/>
    </row>
    <row r="139" spans="13:28" x14ac:dyDescent="0.25">
      <c r="M139" s="2"/>
      <c r="N139" s="2"/>
      <c r="O139" s="2"/>
      <c r="P139" s="2"/>
      <c r="Q139" s="2"/>
      <c r="W139" s="2"/>
      <c r="X139" s="2"/>
      <c r="Y139" s="2"/>
      <c r="AB139" s="2"/>
    </row>
    <row r="140" spans="13:28" x14ac:dyDescent="0.25">
      <c r="M140" s="2"/>
      <c r="N140" s="2"/>
      <c r="O140" s="2"/>
      <c r="P140" s="2"/>
      <c r="Q140" s="2"/>
      <c r="W140" s="2"/>
      <c r="X140" s="2"/>
      <c r="Y140" s="2"/>
      <c r="AB140" s="2"/>
    </row>
    <row r="141" spans="13:28" x14ac:dyDescent="0.25">
      <c r="M141" s="2"/>
      <c r="N141" s="2"/>
      <c r="O141" s="2"/>
      <c r="P141" s="2"/>
      <c r="Q141" s="2"/>
      <c r="W141" s="2"/>
      <c r="X141" s="2"/>
      <c r="Y141" s="2"/>
      <c r="AB141" s="2"/>
    </row>
    <row r="142" spans="13:28" x14ac:dyDescent="0.25">
      <c r="M142" s="2"/>
      <c r="N142" s="2"/>
      <c r="O142" s="2"/>
      <c r="P142" s="2"/>
      <c r="Q142" s="2"/>
      <c r="W142" s="2"/>
      <c r="X142" s="2"/>
      <c r="Y142" s="2"/>
      <c r="AB142" s="2"/>
    </row>
    <row r="143" spans="13:28" x14ac:dyDescent="0.25">
      <c r="M143" s="2"/>
      <c r="N143" s="2"/>
      <c r="O143" s="2"/>
      <c r="P143" s="2"/>
      <c r="Q143" s="2"/>
      <c r="W143" s="2"/>
      <c r="X143" s="2"/>
      <c r="Y143" s="2"/>
      <c r="AB143" s="2"/>
    </row>
    <row r="144" spans="13:28" x14ac:dyDescent="0.25">
      <c r="M144" s="2"/>
      <c r="N144" s="2"/>
      <c r="O144" s="2"/>
      <c r="P144" s="2"/>
      <c r="Q144" s="2"/>
      <c r="W144" s="2"/>
      <c r="X144" s="2"/>
      <c r="Y144" s="2"/>
      <c r="AB144" s="2"/>
    </row>
    <row r="145" spans="13:28" x14ac:dyDescent="0.25">
      <c r="M145" s="2"/>
      <c r="N145" s="2"/>
      <c r="O145" s="2"/>
      <c r="P145" s="2"/>
      <c r="Q145" s="2"/>
      <c r="W145" s="2"/>
      <c r="X145" s="2"/>
      <c r="Y145" s="2"/>
      <c r="AB145" s="2"/>
    </row>
    <row r="146" spans="13:28" x14ac:dyDescent="0.25">
      <c r="M146" s="2"/>
      <c r="N146" s="2"/>
      <c r="O146" s="2"/>
      <c r="P146" s="2"/>
      <c r="Q146" s="2"/>
      <c r="W146" s="2"/>
      <c r="X146" s="2"/>
      <c r="Y146" s="2"/>
      <c r="AB146" s="2"/>
    </row>
    <row r="147" spans="13:28" x14ac:dyDescent="0.25">
      <c r="M147" s="2"/>
      <c r="N147" s="2"/>
      <c r="O147" s="2"/>
      <c r="P147" s="2"/>
      <c r="Q147" s="2"/>
      <c r="W147" s="2"/>
      <c r="X147" s="2"/>
      <c r="Y147" s="2"/>
      <c r="AB147" s="2"/>
    </row>
    <row r="148" spans="13:28" x14ac:dyDescent="0.25">
      <c r="M148" s="2"/>
      <c r="N148" s="2"/>
      <c r="O148" s="2"/>
      <c r="P148" s="2"/>
      <c r="Q148" s="2"/>
      <c r="W148" s="2"/>
      <c r="X148" s="2"/>
      <c r="Y148" s="2"/>
      <c r="AB148" s="2"/>
    </row>
    <row r="149" spans="13:28" x14ac:dyDescent="0.25">
      <c r="M149" s="2"/>
      <c r="N149" s="2"/>
      <c r="O149" s="2"/>
      <c r="P149" s="2"/>
      <c r="Q149" s="2"/>
      <c r="W149" s="2"/>
      <c r="X149" s="2"/>
      <c r="Y149" s="2"/>
      <c r="AB149" s="2"/>
    </row>
    <row r="150" spans="13:28" x14ac:dyDescent="0.25">
      <c r="M150" s="2"/>
      <c r="N150" s="2"/>
      <c r="O150" s="2"/>
      <c r="P150" s="2"/>
      <c r="Q150" s="2"/>
      <c r="W150" s="2"/>
      <c r="X150" s="2"/>
      <c r="Y150" s="2"/>
      <c r="AB150" s="2"/>
    </row>
    <row r="151" spans="13:28" x14ac:dyDescent="0.25">
      <c r="M151" s="2"/>
      <c r="N151" s="2"/>
      <c r="O151" s="2"/>
      <c r="P151" s="2"/>
      <c r="Q151" s="2"/>
      <c r="W151" s="2"/>
      <c r="X151" s="2"/>
      <c r="Y151" s="2"/>
      <c r="AB151" s="2"/>
    </row>
    <row r="152" spans="13:28" x14ac:dyDescent="0.25">
      <c r="M152" s="2"/>
      <c r="N152" s="2"/>
      <c r="O152" s="2"/>
      <c r="P152" s="2"/>
      <c r="Q152" s="2"/>
      <c r="W152" s="2"/>
      <c r="X152" s="2"/>
      <c r="Y152" s="2"/>
      <c r="AB152" s="2"/>
    </row>
  </sheetData>
  <autoFilter ref="A2:AB35">
    <sortState ref="A4:AB37">
      <sortCondition ref="K2:K35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B1048576"/>
  <sheetViews>
    <sheetView zoomScale="85" zoomScaleNormal="85" workbookViewId="0">
      <pane ySplit="2" topLeftCell="A3" activePane="bottomLeft" state="frozen"/>
      <selection pane="bottomLeft" activeCell="B4" sqref="B4"/>
    </sheetView>
  </sheetViews>
  <sheetFormatPr baseColWidth="10" defaultColWidth="11.42578125" defaultRowHeight="15" x14ac:dyDescent="0.25"/>
  <cols>
    <col min="1" max="1" width="15" customWidth="1"/>
    <col min="2" max="2" width="50.42578125" customWidth="1"/>
    <col min="3" max="3" width="16.7109375" customWidth="1"/>
    <col min="4" max="6" width="12.140625" customWidth="1"/>
    <col min="7" max="7" width="11" customWidth="1"/>
    <col min="8" max="8" width="11.28515625" customWidth="1"/>
    <col min="9" max="9" width="13.42578125" customWidth="1"/>
    <col min="10" max="10" width="13.28515625" customWidth="1"/>
    <col min="11" max="11" width="10.42578125" customWidth="1"/>
    <col min="12" max="12" width="9.85546875" hidden="1" customWidth="1"/>
    <col min="13" max="13" width="14.28515625" customWidth="1"/>
    <col min="14" max="14" width="10.140625" customWidth="1"/>
    <col min="15" max="15" width="8.28515625" customWidth="1"/>
    <col min="16" max="16" width="9.42578125" customWidth="1"/>
    <col min="17" max="17" width="7.42578125" customWidth="1"/>
    <col min="18" max="20" width="12.5703125" customWidth="1"/>
    <col min="21" max="21" width="19.5703125" bestFit="1" customWidth="1"/>
    <col min="22" max="22" width="14.7109375" bestFit="1" customWidth="1"/>
    <col min="23" max="23" width="15.28515625" customWidth="1"/>
    <col min="24" max="24" width="13.28515625" customWidth="1"/>
    <col min="25" max="25" width="16.5703125" customWidth="1"/>
    <col min="26" max="27" width="14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63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5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4" customFormat="1" x14ac:dyDescent="0.25">
      <c r="A3" s="55" t="s">
        <v>120</v>
      </c>
      <c r="B3" s="55" t="s">
        <v>121</v>
      </c>
      <c r="C3" s="55">
        <v>50</v>
      </c>
      <c r="D3" s="55">
        <v>55</v>
      </c>
      <c r="E3" s="55">
        <v>50</v>
      </c>
      <c r="F3" s="55">
        <v>50</v>
      </c>
      <c r="G3" s="430">
        <v>325</v>
      </c>
      <c r="H3" s="419">
        <v>400</v>
      </c>
      <c r="I3" s="55">
        <v>70</v>
      </c>
      <c r="J3" s="55" t="s">
        <v>122</v>
      </c>
      <c r="K3" s="420">
        <v>751030</v>
      </c>
      <c r="L3" s="55"/>
      <c r="M3" s="55" t="s">
        <v>259</v>
      </c>
      <c r="N3" s="93" t="s">
        <v>760</v>
      </c>
      <c r="O3" s="55">
        <v>1</v>
      </c>
      <c r="P3" s="135"/>
      <c r="Q3" s="18"/>
      <c r="R3" s="52">
        <v>200</v>
      </c>
      <c r="S3" s="52"/>
      <c r="T3" s="52"/>
      <c r="U3" s="275"/>
      <c r="V3" s="18"/>
      <c r="W3" s="18">
        <f t="shared" ref="W3:W21" si="0">U3+V3</f>
        <v>0</v>
      </c>
      <c r="X3" s="47">
        <v>7865</v>
      </c>
      <c r="Y3" s="8">
        <v>9225</v>
      </c>
      <c r="Z3" s="8">
        <f t="shared" ref="Z3:Z21" si="1">R3*X3</f>
        <v>1573000</v>
      </c>
      <c r="AA3" s="8">
        <f t="shared" ref="AA3:AA21" si="2">W3*Y3</f>
        <v>0</v>
      </c>
      <c r="AB3" s="69"/>
    </row>
    <row r="4" spans="1:28" s="4" customFormat="1" x14ac:dyDescent="0.25">
      <c r="A4" s="96" t="s">
        <v>761</v>
      </c>
      <c r="B4" s="96" t="s">
        <v>762</v>
      </c>
      <c r="C4" s="96">
        <v>100</v>
      </c>
      <c r="D4" s="66">
        <v>110</v>
      </c>
      <c r="E4" s="66">
        <v>100</v>
      </c>
      <c r="F4" s="66">
        <v>120</v>
      </c>
      <c r="G4" s="171">
        <v>200</v>
      </c>
      <c r="H4" s="318">
        <v>675</v>
      </c>
      <c r="I4" s="66">
        <v>0</v>
      </c>
      <c r="J4" s="18" t="s">
        <v>122</v>
      </c>
      <c r="K4" s="137">
        <v>751030</v>
      </c>
      <c r="L4" s="66"/>
      <c r="M4" s="66" t="s">
        <v>263</v>
      </c>
      <c r="N4" s="13" t="s">
        <v>760</v>
      </c>
      <c r="O4" s="66">
        <v>2</v>
      </c>
      <c r="P4" s="135" t="s">
        <v>763</v>
      </c>
      <c r="Q4" s="18"/>
      <c r="R4" s="186">
        <f>F4*7</f>
        <v>840</v>
      </c>
      <c r="S4" s="52"/>
      <c r="T4" s="52"/>
      <c r="U4" s="18">
        <v>840</v>
      </c>
      <c r="V4" s="18"/>
      <c r="W4" s="18">
        <f t="shared" si="0"/>
        <v>840</v>
      </c>
      <c r="X4" s="47">
        <v>844</v>
      </c>
      <c r="Y4" s="8">
        <v>969.99</v>
      </c>
      <c r="Z4" s="8">
        <f t="shared" si="1"/>
        <v>708960</v>
      </c>
      <c r="AA4" s="8">
        <f t="shared" si="2"/>
        <v>814791.6</v>
      </c>
      <c r="AB4" s="37"/>
    </row>
    <row r="5" spans="1:28" s="116" customFormat="1" x14ac:dyDescent="0.25">
      <c r="A5" s="482" t="s">
        <v>281</v>
      </c>
      <c r="B5" s="55" t="s">
        <v>282</v>
      </c>
      <c r="C5" s="55">
        <v>60</v>
      </c>
      <c r="D5" s="55">
        <v>80</v>
      </c>
      <c r="E5" s="55">
        <v>120</v>
      </c>
      <c r="F5" s="55">
        <v>150</v>
      </c>
      <c r="G5" s="55">
        <v>250</v>
      </c>
      <c r="H5" s="419">
        <v>1345</v>
      </c>
      <c r="I5" s="55">
        <v>80</v>
      </c>
      <c r="J5" s="55" t="s">
        <v>122</v>
      </c>
      <c r="K5" s="420">
        <v>751030</v>
      </c>
      <c r="L5" s="55"/>
      <c r="M5" s="55" t="s">
        <v>283</v>
      </c>
      <c r="N5" s="93" t="s">
        <v>760</v>
      </c>
      <c r="O5" s="55">
        <v>3</v>
      </c>
      <c r="P5" s="273"/>
      <c r="Q5" s="66"/>
      <c r="R5" s="186">
        <v>1000</v>
      </c>
      <c r="S5" s="186"/>
      <c r="T5" s="186"/>
      <c r="U5" s="66"/>
      <c r="V5" s="66"/>
      <c r="W5" s="18">
        <f t="shared" si="0"/>
        <v>0</v>
      </c>
      <c r="X5" s="67">
        <v>3119</v>
      </c>
      <c r="Y5" s="65">
        <v>3895</v>
      </c>
      <c r="Z5" s="8">
        <f t="shared" si="1"/>
        <v>3119000</v>
      </c>
      <c r="AA5" s="8">
        <f t="shared" si="2"/>
        <v>0</v>
      </c>
      <c r="AB5" s="274"/>
    </row>
    <row r="6" spans="1:28" s="116" customFormat="1" x14ac:dyDescent="0.25">
      <c r="A6" s="66" t="s">
        <v>764</v>
      </c>
      <c r="B6" s="66" t="s">
        <v>765</v>
      </c>
      <c r="C6" s="66">
        <v>40</v>
      </c>
      <c r="D6" s="66">
        <v>20</v>
      </c>
      <c r="E6" s="66">
        <v>20</v>
      </c>
      <c r="F6" s="66">
        <v>40</v>
      </c>
      <c r="G6" s="66"/>
      <c r="H6" s="318">
        <v>120</v>
      </c>
      <c r="I6" s="66"/>
      <c r="J6" s="18" t="s">
        <v>122</v>
      </c>
      <c r="K6" s="137">
        <v>751030</v>
      </c>
      <c r="L6" s="66"/>
      <c r="M6" s="66" t="s">
        <v>259</v>
      </c>
      <c r="N6" s="13" t="s">
        <v>760</v>
      </c>
      <c r="O6" s="18">
        <v>4</v>
      </c>
      <c r="P6" s="273"/>
      <c r="Q6" s="66"/>
      <c r="R6" s="186">
        <v>300</v>
      </c>
      <c r="S6" s="186"/>
      <c r="T6" s="186"/>
      <c r="U6" s="66"/>
      <c r="V6" s="66"/>
      <c r="W6" s="18">
        <f t="shared" si="0"/>
        <v>0</v>
      </c>
      <c r="X6" s="67">
        <v>3876</v>
      </c>
      <c r="Y6" s="65">
        <v>4530</v>
      </c>
      <c r="Z6" s="8">
        <f t="shared" si="1"/>
        <v>1162800</v>
      </c>
      <c r="AA6" s="8">
        <f t="shared" si="2"/>
        <v>0</v>
      </c>
      <c r="AB6" s="274"/>
    </row>
    <row r="7" spans="1:28" s="116" customFormat="1" x14ac:dyDescent="0.25">
      <c r="A7" s="55" t="s">
        <v>168</v>
      </c>
      <c r="B7" s="55" t="s">
        <v>169</v>
      </c>
      <c r="C7" s="55"/>
      <c r="D7" s="55">
        <v>0</v>
      </c>
      <c r="E7" s="55">
        <v>20</v>
      </c>
      <c r="F7" s="55">
        <v>0</v>
      </c>
      <c r="G7" s="55"/>
      <c r="H7" s="419">
        <v>0</v>
      </c>
      <c r="I7" s="55"/>
      <c r="J7" s="55" t="s">
        <v>122</v>
      </c>
      <c r="K7" s="420">
        <v>751030</v>
      </c>
      <c r="L7" s="55"/>
      <c r="M7" s="55" t="s">
        <v>285</v>
      </c>
      <c r="N7" s="93" t="s">
        <v>760</v>
      </c>
      <c r="O7" s="55">
        <v>5</v>
      </c>
      <c r="P7" s="273"/>
      <c r="Q7" s="66"/>
      <c r="R7" s="186">
        <v>100</v>
      </c>
      <c r="S7" s="186"/>
      <c r="T7" s="186"/>
      <c r="U7" s="66"/>
      <c r="V7" s="66"/>
      <c r="W7" s="18">
        <f t="shared" si="0"/>
        <v>0</v>
      </c>
      <c r="X7" s="67">
        <v>3849</v>
      </c>
      <c r="Y7" s="65"/>
      <c r="Z7" s="8">
        <f t="shared" si="1"/>
        <v>384900</v>
      </c>
      <c r="AA7" s="8">
        <f t="shared" si="2"/>
        <v>0</v>
      </c>
      <c r="AB7" s="274"/>
    </row>
    <row r="8" spans="1:28" s="116" customFormat="1" x14ac:dyDescent="0.25">
      <c r="A8" s="66" t="s">
        <v>766</v>
      </c>
      <c r="B8" s="66" t="s">
        <v>767</v>
      </c>
      <c r="C8" s="66">
        <v>600</v>
      </c>
      <c r="D8" s="66">
        <v>500</v>
      </c>
      <c r="E8" s="66">
        <v>650</v>
      </c>
      <c r="F8" s="66">
        <v>700</v>
      </c>
      <c r="G8" s="66">
        <v>2200</v>
      </c>
      <c r="H8" s="318">
        <v>8000</v>
      </c>
      <c r="I8" s="66"/>
      <c r="J8" s="18" t="s">
        <v>122</v>
      </c>
      <c r="K8" s="137">
        <v>751030</v>
      </c>
      <c r="L8" s="66"/>
      <c r="M8" s="63" t="s">
        <v>259</v>
      </c>
      <c r="N8" s="13" t="s">
        <v>760</v>
      </c>
      <c r="O8" s="66">
        <v>6</v>
      </c>
      <c r="P8" s="133"/>
      <c r="Q8" s="66"/>
      <c r="R8" s="186">
        <f>F8*7</f>
        <v>4900</v>
      </c>
      <c r="S8" s="186"/>
      <c r="T8" s="186"/>
      <c r="U8" s="66"/>
      <c r="V8" s="63"/>
      <c r="W8" s="18">
        <f t="shared" si="0"/>
        <v>0</v>
      </c>
      <c r="X8" s="67">
        <v>1496</v>
      </c>
      <c r="Y8" s="65">
        <v>1365</v>
      </c>
      <c r="Z8" s="8">
        <f t="shared" si="1"/>
        <v>7330400</v>
      </c>
      <c r="AA8" s="8">
        <f t="shared" si="2"/>
        <v>0</v>
      </c>
      <c r="AB8" s="172"/>
    </row>
    <row r="9" spans="1:28" s="116" customFormat="1" ht="14.25" customHeight="1" x14ac:dyDescent="0.25">
      <c r="A9" s="12" t="s">
        <v>146</v>
      </c>
      <c r="B9" s="66" t="s">
        <v>768</v>
      </c>
      <c r="C9" s="66">
        <v>30</v>
      </c>
      <c r="D9" s="66">
        <v>50</v>
      </c>
      <c r="E9" s="66">
        <v>50</v>
      </c>
      <c r="F9" s="66">
        <v>50</v>
      </c>
      <c r="G9" s="171">
        <v>0</v>
      </c>
      <c r="H9" s="319">
        <v>405</v>
      </c>
      <c r="I9" s="66"/>
      <c r="J9" s="18" t="s">
        <v>122</v>
      </c>
      <c r="K9" s="137">
        <v>751030</v>
      </c>
      <c r="L9" s="66"/>
      <c r="M9" s="66" t="s">
        <v>263</v>
      </c>
      <c r="N9" s="13" t="s">
        <v>760</v>
      </c>
      <c r="O9" s="66">
        <v>7</v>
      </c>
      <c r="P9" s="273" t="s">
        <v>763</v>
      </c>
      <c r="Q9" s="66"/>
      <c r="R9" s="186">
        <v>350</v>
      </c>
      <c r="S9" s="186"/>
      <c r="T9" s="186"/>
      <c r="U9" s="66">
        <v>350</v>
      </c>
      <c r="V9" s="66"/>
      <c r="W9" s="18">
        <f t="shared" si="0"/>
        <v>350</v>
      </c>
      <c r="X9" s="65">
        <v>3750</v>
      </c>
      <c r="Y9" s="65">
        <v>5099</v>
      </c>
      <c r="Z9" s="8">
        <f t="shared" si="1"/>
        <v>1312500</v>
      </c>
      <c r="AA9" s="8">
        <f t="shared" si="2"/>
        <v>1784650</v>
      </c>
      <c r="AB9" s="274"/>
    </row>
    <row r="10" spans="1:28" s="116" customFormat="1" x14ac:dyDescent="0.25">
      <c r="A10" s="421" t="s">
        <v>286</v>
      </c>
      <c r="B10" s="421" t="s">
        <v>287</v>
      </c>
      <c r="C10" s="55">
        <v>300</v>
      </c>
      <c r="D10" s="55">
        <v>80</v>
      </c>
      <c r="E10" s="55">
        <v>100</v>
      </c>
      <c r="F10" s="55">
        <v>150</v>
      </c>
      <c r="G10" s="430">
        <v>500</v>
      </c>
      <c r="H10" s="419">
        <v>1410</v>
      </c>
      <c r="I10" s="55">
        <v>120</v>
      </c>
      <c r="J10" s="55" t="s">
        <v>122</v>
      </c>
      <c r="K10" s="420">
        <v>751030</v>
      </c>
      <c r="L10" s="55"/>
      <c r="M10" s="55" t="s">
        <v>259</v>
      </c>
      <c r="N10" s="93" t="s">
        <v>760</v>
      </c>
      <c r="O10" s="55">
        <v>8</v>
      </c>
      <c r="P10" s="135"/>
      <c r="Q10" s="66"/>
      <c r="R10" s="186">
        <v>900</v>
      </c>
      <c r="S10" s="66"/>
      <c r="T10" s="66"/>
      <c r="U10" s="66"/>
      <c r="V10" s="63"/>
      <c r="W10" s="18">
        <f t="shared" si="0"/>
        <v>0</v>
      </c>
      <c r="X10" s="67">
        <v>4225</v>
      </c>
      <c r="Y10" s="65">
        <v>5625</v>
      </c>
      <c r="Z10" s="8">
        <f t="shared" si="1"/>
        <v>3802500</v>
      </c>
      <c r="AA10" s="8">
        <f t="shared" si="2"/>
        <v>0</v>
      </c>
      <c r="AB10" s="172"/>
    </row>
    <row r="11" spans="1:28" s="116" customFormat="1" x14ac:dyDescent="0.25">
      <c r="A11" s="237" t="s">
        <v>769</v>
      </c>
      <c r="B11" s="66" t="s">
        <v>770</v>
      </c>
      <c r="C11" s="66">
        <v>350</v>
      </c>
      <c r="D11" s="66">
        <v>370</v>
      </c>
      <c r="E11" s="66">
        <v>400</v>
      </c>
      <c r="F11" s="66">
        <v>400</v>
      </c>
      <c r="G11" s="171">
        <v>2600</v>
      </c>
      <c r="H11" s="318">
        <v>3240</v>
      </c>
      <c r="I11" s="66"/>
      <c r="J11" s="18" t="s">
        <v>122</v>
      </c>
      <c r="K11" s="137">
        <v>751030</v>
      </c>
      <c r="L11" s="66"/>
      <c r="M11" s="66" t="s">
        <v>259</v>
      </c>
      <c r="N11" s="13" t="s">
        <v>760</v>
      </c>
      <c r="O11" s="66">
        <v>9</v>
      </c>
      <c r="P11" s="66"/>
      <c r="Q11" s="66"/>
      <c r="R11" s="186">
        <v>2000</v>
      </c>
      <c r="S11" s="66"/>
      <c r="T11" s="66"/>
      <c r="U11" s="66"/>
      <c r="V11" s="63"/>
      <c r="W11" s="18">
        <f t="shared" si="0"/>
        <v>0</v>
      </c>
      <c r="X11" s="67">
        <v>410</v>
      </c>
      <c r="Y11" s="65">
        <v>525</v>
      </c>
      <c r="Z11" s="8">
        <f t="shared" si="1"/>
        <v>820000</v>
      </c>
      <c r="AA11" s="8">
        <f t="shared" si="2"/>
        <v>0</v>
      </c>
      <c r="AB11" s="172"/>
    </row>
    <row r="12" spans="1:28" s="132" customFormat="1" x14ac:dyDescent="0.25">
      <c r="A12" s="485" t="s">
        <v>289</v>
      </c>
      <c r="B12" s="55" t="s">
        <v>290</v>
      </c>
      <c r="C12" s="55">
        <v>600</v>
      </c>
      <c r="D12" s="55">
        <v>570</v>
      </c>
      <c r="E12" s="55">
        <v>600</v>
      </c>
      <c r="F12" s="55">
        <v>800</v>
      </c>
      <c r="G12" s="430">
        <v>1700</v>
      </c>
      <c r="H12" s="419">
        <v>7460</v>
      </c>
      <c r="I12" s="55">
        <v>520</v>
      </c>
      <c r="J12" s="55" t="s">
        <v>122</v>
      </c>
      <c r="K12" s="420">
        <v>751030</v>
      </c>
      <c r="L12" s="55"/>
      <c r="M12" s="55" t="s">
        <v>283</v>
      </c>
      <c r="N12" s="93" t="s">
        <v>760</v>
      </c>
      <c r="O12" s="55">
        <v>10</v>
      </c>
      <c r="P12" s="66"/>
      <c r="Q12" s="66"/>
      <c r="R12" s="186">
        <v>5000</v>
      </c>
      <c r="S12" s="186"/>
      <c r="T12" s="186"/>
      <c r="U12" s="66"/>
      <c r="V12" s="63"/>
      <c r="W12" s="18">
        <f t="shared" si="0"/>
        <v>0</v>
      </c>
      <c r="X12" s="67">
        <v>465</v>
      </c>
      <c r="Y12" s="65">
        <v>590</v>
      </c>
      <c r="Z12" s="8">
        <f t="shared" si="1"/>
        <v>2325000</v>
      </c>
      <c r="AA12" s="8">
        <f t="shared" si="2"/>
        <v>0</v>
      </c>
      <c r="AB12" s="172"/>
    </row>
    <row r="13" spans="1:28" s="132" customFormat="1" x14ac:dyDescent="0.25">
      <c r="A13" s="439" t="s">
        <v>771</v>
      </c>
      <c r="B13" s="66" t="s">
        <v>772</v>
      </c>
      <c r="C13" s="66">
        <v>70</v>
      </c>
      <c r="D13" s="66">
        <v>70</v>
      </c>
      <c r="E13" s="66">
        <v>70</v>
      </c>
      <c r="F13" s="66">
        <v>90</v>
      </c>
      <c r="G13" s="66">
        <v>200</v>
      </c>
      <c r="H13" s="319">
        <v>875</v>
      </c>
      <c r="I13" s="66">
        <v>40</v>
      </c>
      <c r="J13" s="18" t="s">
        <v>122</v>
      </c>
      <c r="K13" s="137">
        <v>751030</v>
      </c>
      <c r="L13" s="66"/>
      <c r="M13" s="66" t="s">
        <v>283</v>
      </c>
      <c r="N13" s="13" t="s">
        <v>760</v>
      </c>
      <c r="O13" s="66">
        <v>11</v>
      </c>
      <c r="P13" s="66" t="s">
        <v>773</v>
      </c>
      <c r="Q13" s="66"/>
      <c r="R13" s="186">
        <v>600</v>
      </c>
      <c r="S13" s="66"/>
      <c r="T13" s="66"/>
      <c r="U13" s="66">
        <v>600</v>
      </c>
      <c r="V13" s="66"/>
      <c r="W13" s="18">
        <f t="shared" si="0"/>
        <v>600</v>
      </c>
      <c r="X13" s="194">
        <v>2985</v>
      </c>
      <c r="Y13" s="65">
        <v>3345</v>
      </c>
      <c r="Z13" s="8">
        <f t="shared" si="1"/>
        <v>1791000</v>
      </c>
      <c r="AA13" s="8">
        <f t="shared" si="2"/>
        <v>2007000</v>
      </c>
      <c r="AB13" s="195"/>
    </row>
    <row r="14" spans="1:28" s="132" customFormat="1" x14ac:dyDescent="0.25">
      <c r="A14" s="55" t="s">
        <v>291</v>
      </c>
      <c r="B14" s="55" t="s">
        <v>292</v>
      </c>
      <c r="C14" s="55">
        <v>200</v>
      </c>
      <c r="D14" s="55">
        <v>200</v>
      </c>
      <c r="E14" s="55">
        <v>200</v>
      </c>
      <c r="F14" s="55">
        <v>300</v>
      </c>
      <c r="G14" s="55">
        <v>500</v>
      </c>
      <c r="H14" s="419">
        <v>2620</v>
      </c>
      <c r="I14" s="55">
        <v>1000</v>
      </c>
      <c r="J14" s="55" t="s">
        <v>122</v>
      </c>
      <c r="K14" s="420">
        <v>751030</v>
      </c>
      <c r="L14" s="55"/>
      <c r="M14" s="243" t="s">
        <v>259</v>
      </c>
      <c r="N14" s="93" t="s">
        <v>760</v>
      </c>
      <c r="O14" s="55">
        <v>12</v>
      </c>
      <c r="P14" s="66"/>
      <c r="Q14" s="66"/>
      <c r="R14" s="186">
        <v>1500</v>
      </c>
      <c r="S14" s="66"/>
      <c r="T14" s="66"/>
      <c r="U14" s="66"/>
      <c r="V14" s="63"/>
      <c r="W14" s="18">
        <f t="shared" si="0"/>
        <v>0</v>
      </c>
      <c r="X14" s="67">
        <v>3123</v>
      </c>
      <c r="Y14" s="65">
        <v>4240.8</v>
      </c>
      <c r="Z14" s="8">
        <f t="shared" si="1"/>
        <v>4684500</v>
      </c>
      <c r="AA14" s="8">
        <f t="shared" si="2"/>
        <v>0</v>
      </c>
      <c r="AB14" s="172"/>
    </row>
    <row r="15" spans="1:28" s="116" customFormat="1" x14ac:dyDescent="0.25">
      <c r="A15" s="66" t="s">
        <v>774</v>
      </c>
      <c r="B15" s="66" t="s">
        <v>775</v>
      </c>
      <c r="C15" s="66">
        <v>13</v>
      </c>
      <c r="D15" s="66">
        <v>0</v>
      </c>
      <c r="E15" s="66">
        <v>10</v>
      </c>
      <c r="F15" s="66">
        <v>20</v>
      </c>
      <c r="G15" s="171">
        <v>25</v>
      </c>
      <c r="H15" s="319">
        <v>120</v>
      </c>
      <c r="I15" s="66">
        <v>12</v>
      </c>
      <c r="J15" s="18" t="s">
        <v>122</v>
      </c>
      <c r="K15" s="137">
        <v>751030</v>
      </c>
      <c r="L15" s="66"/>
      <c r="M15" s="66" t="s">
        <v>263</v>
      </c>
      <c r="N15" s="13" t="s">
        <v>760</v>
      </c>
      <c r="O15" s="66">
        <v>13</v>
      </c>
      <c r="P15" s="135" t="s">
        <v>763</v>
      </c>
      <c r="Q15" s="66"/>
      <c r="R15" s="186">
        <f>F15*7</f>
        <v>140</v>
      </c>
      <c r="S15" s="186"/>
      <c r="T15" s="186"/>
      <c r="U15" s="66">
        <v>140</v>
      </c>
      <c r="V15" s="66"/>
      <c r="W15" s="18">
        <f t="shared" si="0"/>
        <v>140</v>
      </c>
      <c r="X15" s="67">
        <v>8250</v>
      </c>
      <c r="Y15" s="65">
        <v>9899</v>
      </c>
      <c r="Z15" s="8">
        <f t="shared" si="1"/>
        <v>1155000</v>
      </c>
      <c r="AA15" s="8">
        <f t="shared" si="2"/>
        <v>1385860</v>
      </c>
      <c r="AB15" s="70"/>
    </row>
    <row r="16" spans="1:28" s="132" customFormat="1" x14ac:dyDescent="0.25">
      <c r="A16" s="66" t="s">
        <v>776</v>
      </c>
      <c r="B16" s="66" t="s">
        <v>777</v>
      </c>
      <c r="C16" s="66">
        <v>70</v>
      </c>
      <c r="D16" s="66"/>
      <c r="E16" s="66">
        <v>70</v>
      </c>
      <c r="F16" s="66">
        <v>90</v>
      </c>
      <c r="G16" s="66">
        <v>225</v>
      </c>
      <c r="H16" s="319">
        <v>1000</v>
      </c>
      <c r="I16" s="66">
        <v>50</v>
      </c>
      <c r="J16" s="18" t="s">
        <v>122</v>
      </c>
      <c r="K16" s="137">
        <v>751030</v>
      </c>
      <c r="L16" s="66"/>
      <c r="M16" s="66" t="s">
        <v>259</v>
      </c>
      <c r="N16" s="13" t="s">
        <v>760</v>
      </c>
      <c r="O16" s="66">
        <v>14</v>
      </c>
      <c r="P16" s="135"/>
      <c r="Q16" s="66"/>
      <c r="R16" s="186">
        <v>600</v>
      </c>
      <c r="S16" s="186"/>
      <c r="T16" s="186"/>
      <c r="U16" s="66"/>
      <c r="V16" s="66"/>
      <c r="W16" s="18">
        <f t="shared" si="0"/>
        <v>0</v>
      </c>
      <c r="X16" s="67">
        <v>2998</v>
      </c>
      <c r="Y16" s="65">
        <v>3375</v>
      </c>
      <c r="Z16" s="8">
        <f t="shared" si="1"/>
        <v>1798800</v>
      </c>
      <c r="AA16" s="8">
        <f t="shared" si="2"/>
        <v>0</v>
      </c>
      <c r="AB16" s="70"/>
    </row>
    <row r="17" spans="1:28" s="116" customFormat="1" ht="25.5" x14ac:dyDescent="0.25">
      <c r="A17" s="18" t="s">
        <v>778</v>
      </c>
      <c r="B17" s="12" t="s">
        <v>779</v>
      </c>
      <c r="C17" s="18">
        <v>25</v>
      </c>
      <c r="D17" s="18"/>
      <c r="E17" s="18">
        <v>25</v>
      </c>
      <c r="F17" s="18">
        <v>20</v>
      </c>
      <c r="G17" s="18">
        <v>190</v>
      </c>
      <c r="H17" s="318">
        <v>225</v>
      </c>
      <c r="I17" s="18"/>
      <c r="J17" s="18" t="s">
        <v>122</v>
      </c>
      <c r="K17" s="137">
        <v>751030</v>
      </c>
      <c r="L17" s="18"/>
      <c r="M17" s="18" t="s">
        <v>259</v>
      </c>
      <c r="N17" s="13" t="s">
        <v>760</v>
      </c>
      <c r="O17" s="18">
        <v>15</v>
      </c>
      <c r="P17" s="66"/>
      <c r="Q17" s="66"/>
      <c r="R17" s="52">
        <v>85</v>
      </c>
      <c r="S17" s="186"/>
      <c r="T17" s="186"/>
      <c r="U17" s="66"/>
      <c r="V17" s="66"/>
      <c r="W17" s="18">
        <f t="shared" si="0"/>
        <v>0</v>
      </c>
      <c r="X17" s="67">
        <v>259349</v>
      </c>
      <c r="Y17" s="65">
        <v>296599.55</v>
      </c>
      <c r="Z17" s="8">
        <f t="shared" si="1"/>
        <v>22044665</v>
      </c>
      <c r="AA17" s="8">
        <f t="shared" si="2"/>
        <v>0</v>
      </c>
      <c r="AB17" s="278"/>
    </row>
    <row r="18" spans="1:28" s="132" customFormat="1" ht="25.5" x14ac:dyDescent="0.25">
      <c r="A18" s="66" t="s">
        <v>778</v>
      </c>
      <c r="B18" s="54" t="s">
        <v>780</v>
      </c>
      <c r="C18" s="66"/>
      <c r="D18" s="66">
        <v>8</v>
      </c>
      <c r="E18" s="66">
        <v>5</v>
      </c>
      <c r="F18" s="66">
        <v>5</v>
      </c>
      <c r="G18" s="66"/>
      <c r="H18" s="318">
        <v>20</v>
      </c>
      <c r="I18" s="66"/>
      <c r="J18" s="18" t="s">
        <v>122</v>
      </c>
      <c r="K18" s="137">
        <v>751030</v>
      </c>
      <c r="L18" s="66"/>
      <c r="M18" s="66" t="s">
        <v>259</v>
      </c>
      <c r="N18" s="13" t="s">
        <v>760</v>
      </c>
      <c r="O18" s="66">
        <v>16</v>
      </c>
      <c r="P18" s="63"/>
      <c r="Q18" s="66"/>
      <c r="R18" s="52">
        <v>15</v>
      </c>
      <c r="S18" s="186"/>
      <c r="T18" s="186"/>
      <c r="U18" s="66"/>
      <c r="V18" s="66"/>
      <c r="W18" s="18">
        <f t="shared" si="0"/>
        <v>0</v>
      </c>
      <c r="X18" s="67">
        <v>259349</v>
      </c>
      <c r="Y18" s="65">
        <v>296599.55</v>
      </c>
      <c r="Z18" s="8">
        <f t="shared" si="1"/>
        <v>3890235</v>
      </c>
      <c r="AA18" s="8">
        <f t="shared" si="2"/>
        <v>0</v>
      </c>
      <c r="AB18" s="116"/>
    </row>
    <row r="19" spans="1:28" s="116" customFormat="1" x14ac:dyDescent="0.25">
      <c r="A19" s="421" t="s">
        <v>535</v>
      </c>
      <c r="B19" s="421" t="s">
        <v>536</v>
      </c>
      <c r="C19" s="421"/>
      <c r="D19" s="421"/>
      <c r="E19" s="421" t="s">
        <v>781</v>
      </c>
      <c r="F19" s="421" t="s">
        <v>782</v>
      </c>
      <c r="G19" s="421" t="s">
        <v>783</v>
      </c>
      <c r="H19" s="419">
        <v>180</v>
      </c>
      <c r="I19" s="421"/>
      <c r="J19" s="55" t="s">
        <v>122</v>
      </c>
      <c r="K19" s="420">
        <v>751030</v>
      </c>
      <c r="L19" s="55"/>
      <c r="M19" s="243" t="s">
        <v>285</v>
      </c>
      <c r="N19" s="93" t="s">
        <v>760</v>
      </c>
      <c r="O19" s="55">
        <v>17</v>
      </c>
      <c r="P19" s="66"/>
      <c r="Q19" s="66"/>
      <c r="R19" s="52">
        <v>120</v>
      </c>
      <c r="S19" s="186"/>
      <c r="T19" s="186"/>
      <c r="U19" s="66"/>
      <c r="V19" s="63"/>
      <c r="W19" s="18">
        <f t="shared" si="0"/>
        <v>0</v>
      </c>
      <c r="X19" s="67">
        <v>3850</v>
      </c>
      <c r="Y19" s="65"/>
      <c r="Z19" s="8">
        <f t="shared" si="1"/>
        <v>462000</v>
      </c>
      <c r="AA19" s="8">
        <f t="shared" si="2"/>
        <v>0</v>
      </c>
      <c r="AB19" s="172"/>
    </row>
    <row r="20" spans="1:28" s="116" customFormat="1" x14ac:dyDescent="0.25">
      <c r="A20" s="18" t="s">
        <v>784</v>
      </c>
      <c r="B20" s="18" t="s">
        <v>785</v>
      </c>
      <c r="C20" s="18"/>
      <c r="D20" s="18">
        <v>0</v>
      </c>
      <c r="E20" s="18">
        <v>0</v>
      </c>
      <c r="F20" s="18">
        <v>0</v>
      </c>
      <c r="G20" s="18"/>
      <c r="H20" s="318">
        <v>0</v>
      </c>
      <c r="I20" s="18"/>
      <c r="J20" s="18" t="s">
        <v>122</v>
      </c>
      <c r="K20" s="137"/>
      <c r="L20" s="18"/>
      <c r="M20" s="18"/>
      <c r="N20" s="31"/>
      <c r="O20" s="18"/>
      <c r="P20" s="170"/>
      <c r="Q20" s="66"/>
      <c r="R20" s="186">
        <f>F20*7</f>
        <v>0</v>
      </c>
      <c r="S20" s="186"/>
      <c r="T20" s="186"/>
      <c r="U20" s="66"/>
      <c r="V20" s="66"/>
      <c r="W20" s="18">
        <f t="shared" si="0"/>
        <v>0</v>
      </c>
      <c r="X20" s="67">
        <v>0</v>
      </c>
      <c r="Y20" s="65"/>
      <c r="Z20" s="8">
        <f t="shared" si="1"/>
        <v>0</v>
      </c>
      <c r="AA20" s="8">
        <f t="shared" si="2"/>
        <v>0</v>
      </c>
      <c r="AB20" s="274"/>
    </row>
    <row r="21" spans="1:28" s="116" customFormat="1" x14ac:dyDescent="0.25">
      <c r="A21" s="18" t="s">
        <v>786</v>
      </c>
      <c r="B21" s="18" t="s">
        <v>787</v>
      </c>
      <c r="C21" s="18"/>
      <c r="D21" s="18"/>
      <c r="E21" s="18">
        <v>10</v>
      </c>
      <c r="F21" s="18">
        <v>0</v>
      </c>
      <c r="G21" s="18">
        <v>110</v>
      </c>
      <c r="H21" s="318">
        <v>120</v>
      </c>
      <c r="I21" s="18"/>
      <c r="J21" s="18" t="s">
        <v>122</v>
      </c>
      <c r="K21" s="137"/>
      <c r="L21" s="18"/>
      <c r="M21" s="18"/>
      <c r="N21" s="13"/>
      <c r="O21" s="18"/>
      <c r="P21" s="66"/>
      <c r="Q21" s="66"/>
      <c r="R21" s="186">
        <f>F21*7</f>
        <v>0</v>
      </c>
      <c r="S21" s="66"/>
      <c r="T21" s="66"/>
      <c r="U21" s="66"/>
      <c r="V21" s="66"/>
      <c r="W21" s="18">
        <f t="shared" si="0"/>
        <v>0</v>
      </c>
      <c r="X21" s="67">
        <v>0</v>
      </c>
      <c r="Y21" s="65"/>
      <c r="Z21" s="8">
        <f t="shared" si="1"/>
        <v>0</v>
      </c>
      <c r="AA21" s="8">
        <f t="shared" si="2"/>
        <v>0</v>
      </c>
      <c r="AB21" s="274"/>
    </row>
    <row r="22" spans="1:28" s="132" customFormat="1" x14ac:dyDescent="0.25">
      <c r="Z22" s="196">
        <f>SUM(Z3:Z21)</f>
        <v>58365260</v>
      </c>
      <c r="AA22" s="196">
        <f>SUM(AA3:AA21)</f>
        <v>5992301.5999999996</v>
      </c>
    </row>
    <row r="24" spans="1:28" ht="15" customHeight="1" x14ac:dyDescent="0.25"/>
    <row r="26" spans="1:28" ht="15" customHeight="1" x14ac:dyDescent="0.25"/>
    <row r="28" spans="1:28" ht="15" customHeight="1" x14ac:dyDescent="0.25"/>
    <row r="30" spans="1:28" ht="15" customHeight="1" x14ac:dyDescent="0.25"/>
    <row r="32" spans="1:28" ht="15" customHeight="1" x14ac:dyDescent="0.25"/>
    <row r="34" ht="15" customHeight="1" x14ac:dyDescent="0.25"/>
    <row r="36" ht="15" customHeight="1" x14ac:dyDescent="0.25"/>
    <row r="38" ht="15" customHeight="1" x14ac:dyDescent="0.25"/>
    <row r="40" ht="15" customHeight="1" x14ac:dyDescent="0.25"/>
    <row r="42" ht="15" customHeight="1" x14ac:dyDescent="0.25"/>
    <row r="44" ht="15" customHeight="1" x14ac:dyDescent="0.25"/>
    <row r="46" ht="15" customHeight="1" x14ac:dyDescent="0.25"/>
    <row r="48" ht="15" customHeight="1" x14ac:dyDescent="0.25"/>
    <row r="50" ht="15" customHeight="1" x14ac:dyDescent="0.25"/>
    <row r="52" ht="15" customHeight="1" x14ac:dyDescent="0.25"/>
    <row r="54" ht="15" customHeight="1" x14ac:dyDescent="0.25"/>
    <row r="56" ht="15" customHeight="1" x14ac:dyDescent="0.25"/>
    <row r="58" ht="15" customHeight="1" x14ac:dyDescent="0.25"/>
    <row r="60" ht="15" customHeight="1" x14ac:dyDescent="0.25"/>
    <row r="62" ht="15" customHeight="1" x14ac:dyDescent="0.25"/>
    <row r="64" ht="15" customHeight="1" x14ac:dyDescent="0.25"/>
    <row r="66" ht="15" customHeight="1" x14ac:dyDescent="0.25"/>
    <row r="68" ht="15" customHeight="1" x14ac:dyDescent="0.25"/>
    <row r="70" ht="15" customHeight="1" x14ac:dyDescent="0.25"/>
    <row r="72" ht="15" customHeight="1" x14ac:dyDescent="0.25"/>
    <row r="74" ht="15" customHeight="1" x14ac:dyDescent="0.25"/>
    <row r="76" ht="15" customHeight="1" x14ac:dyDescent="0.25"/>
    <row r="78" ht="15" customHeight="1" x14ac:dyDescent="0.25"/>
    <row r="80" ht="15" customHeight="1" x14ac:dyDescent="0.25"/>
    <row r="82" ht="15" customHeight="1" x14ac:dyDescent="0.25"/>
    <row r="84" ht="15" customHeight="1" x14ac:dyDescent="0.25"/>
    <row r="86" ht="15" customHeight="1" x14ac:dyDescent="0.25"/>
    <row r="88" ht="15" customHeight="1" x14ac:dyDescent="0.25"/>
    <row r="90" ht="15" customHeight="1" x14ac:dyDescent="0.25"/>
    <row r="92" ht="15" customHeight="1" x14ac:dyDescent="0.25"/>
    <row r="94" ht="15" customHeight="1" x14ac:dyDescent="0.25"/>
    <row r="96" ht="15" customHeight="1" x14ac:dyDescent="0.25"/>
    <row r="98" ht="15" customHeight="1" x14ac:dyDescent="0.25"/>
    <row r="100" ht="15" customHeight="1" x14ac:dyDescent="0.25"/>
    <row r="102" ht="15" customHeight="1" x14ac:dyDescent="0.25"/>
    <row r="104" ht="15" customHeight="1" x14ac:dyDescent="0.25"/>
    <row r="106" ht="15" customHeight="1" x14ac:dyDescent="0.25"/>
    <row r="108" ht="15" customHeight="1" x14ac:dyDescent="0.25"/>
    <row r="110" ht="15" customHeight="1" x14ac:dyDescent="0.25"/>
    <row r="112" ht="15" customHeight="1" x14ac:dyDescent="0.25"/>
    <row r="114" ht="15" customHeight="1" x14ac:dyDescent="0.25"/>
    <row r="116" ht="15" customHeight="1" x14ac:dyDescent="0.25"/>
    <row r="118" ht="15" customHeight="1" x14ac:dyDescent="0.25"/>
    <row r="120" ht="15" customHeight="1" x14ac:dyDescent="0.25"/>
    <row r="122" ht="15" customHeight="1" x14ac:dyDescent="0.25"/>
    <row r="124" ht="15" customHeight="1" x14ac:dyDescent="0.25"/>
    <row r="126" ht="15" customHeight="1" x14ac:dyDescent="0.25"/>
    <row r="128" ht="15" customHeight="1" x14ac:dyDescent="0.25"/>
    <row r="130" ht="15" customHeight="1" x14ac:dyDescent="0.25"/>
    <row r="132" ht="15" customHeight="1" x14ac:dyDescent="0.25"/>
    <row r="134" ht="15" customHeight="1" x14ac:dyDescent="0.25"/>
    <row r="136" ht="15" customHeight="1" x14ac:dyDescent="0.25"/>
    <row r="138" ht="15" customHeight="1" x14ac:dyDescent="0.25"/>
    <row r="140" ht="15" customHeight="1" x14ac:dyDescent="0.25"/>
    <row r="142" ht="15" customHeight="1" x14ac:dyDescent="0.25"/>
    <row r="144" ht="15" customHeight="1" x14ac:dyDescent="0.25"/>
    <row r="146" ht="15" customHeight="1" x14ac:dyDescent="0.25"/>
    <row r="148" ht="15" customHeight="1" x14ac:dyDescent="0.25"/>
    <row r="150" ht="15" customHeight="1" x14ac:dyDescent="0.25"/>
    <row r="152" ht="15" customHeight="1" x14ac:dyDescent="0.25"/>
    <row r="154" ht="15" customHeight="1" x14ac:dyDescent="0.25"/>
    <row r="156" ht="15" customHeight="1" x14ac:dyDescent="0.25"/>
    <row r="158" ht="15" customHeight="1" x14ac:dyDescent="0.25"/>
    <row r="160" ht="15" customHeight="1" x14ac:dyDescent="0.25"/>
    <row r="162" ht="15" customHeight="1" x14ac:dyDescent="0.25"/>
    <row r="164" ht="15" customHeight="1" x14ac:dyDescent="0.25"/>
    <row r="166" ht="15" customHeight="1" x14ac:dyDescent="0.25"/>
    <row r="168" ht="15" customHeight="1" x14ac:dyDescent="0.25"/>
    <row r="170" ht="15" customHeight="1" x14ac:dyDescent="0.25"/>
    <row r="172" ht="15" customHeight="1" x14ac:dyDescent="0.25"/>
    <row r="174" ht="15" customHeight="1" x14ac:dyDescent="0.25"/>
    <row r="176" ht="15" customHeight="1" x14ac:dyDescent="0.25"/>
    <row r="178" ht="15" customHeight="1" x14ac:dyDescent="0.25"/>
    <row r="180" ht="15" customHeight="1" x14ac:dyDescent="0.25"/>
    <row r="182" ht="15" customHeight="1" x14ac:dyDescent="0.25"/>
    <row r="184" ht="15" customHeight="1" x14ac:dyDescent="0.25"/>
    <row r="186" ht="15" customHeight="1" x14ac:dyDescent="0.25"/>
    <row r="188" ht="15" customHeight="1" x14ac:dyDescent="0.25"/>
    <row r="190" ht="15" customHeight="1" x14ac:dyDescent="0.25"/>
    <row r="192" ht="15" customHeight="1" x14ac:dyDescent="0.25"/>
    <row r="194" ht="15" customHeight="1" x14ac:dyDescent="0.25"/>
    <row r="196" ht="15" customHeight="1" x14ac:dyDescent="0.25"/>
    <row r="198" ht="15" customHeight="1" x14ac:dyDescent="0.25"/>
    <row r="200" ht="15" customHeight="1" x14ac:dyDescent="0.25"/>
    <row r="202" ht="15" customHeight="1" x14ac:dyDescent="0.25"/>
    <row r="204" ht="15" customHeight="1" x14ac:dyDescent="0.25"/>
    <row r="206" ht="15" customHeight="1" x14ac:dyDescent="0.25"/>
    <row r="208" ht="15" customHeight="1" x14ac:dyDescent="0.25"/>
    <row r="210" ht="15" customHeight="1" x14ac:dyDescent="0.25"/>
    <row r="212" ht="15" customHeight="1" x14ac:dyDescent="0.25"/>
    <row r="214" ht="15" customHeight="1" x14ac:dyDescent="0.25"/>
    <row r="216" ht="15" customHeight="1" x14ac:dyDescent="0.25"/>
    <row r="218" ht="15" customHeight="1" x14ac:dyDescent="0.25"/>
    <row r="220" ht="15" customHeight="1" x14ac:dyDescent="0.25"/>
    <row r="222" ht="15" customHeight="1" x14ac:dyDescent="0.25"/>
    <row r="224" ht="15" customHeight="1" x14ac:dyDescent="0.25"/>
    <row r="226" ht="15" customHeight="1" x14ac:dyDescent="0.25"/>
    <row r="228" ht="15" customHeight="1" x14ac:dyDescent="0.25"/>
    <row r="230" ht="15" customHeight="1" x14ac:dyDescent="0.25"/>
    <row r="232" ht="15" customHeight="1" x14ac:dyDescent="0.25"/>
    <row r="234" ht="15" customHeight="1" x14ac:dyDescent="0.25"/>
    <row r="236" ht="15" customHeight="1" x14ac:dyDescent="0.25"/>
    <row r="238" ht="15" customHeight="1" x14ac:dyDescent="0.25"/>
    <row r="240" ht="15" customHeight="1" x14ac:dyDescent="0.25"/>
    <row r="242" ht="15" customHeight="1" x14ac:dyDescent="0.25"/>
    <row r="244" ht="15" customHeight="1" x14ac:dyDescent="0.25"/>
    <row r="246" ht="15" customHeight="1" x14ac:dyDescent="0.25"/>
    <row r="248" ht="15" customHeight="1" x14ac:dyDescent="0.25"/>
    <row r="250" ht="15" customHeight="1" x14ac:dyDescent="0.25"/>
    <row r="252" ht="15" customHeight="1" x14ac:dyDescent="0.25"/>
    <row r="254" ht="15" customHeight="1" x14ac:dyDescent="0.25"/>
    <row r="256" ht="15" customHeight="1" x14ac:dyDescent="0.25"/>
    <row r="258" ht="15" customHeight="1" x14ac:dyDescent="0.25"/>
    <row r="260" ht="15" customHeight="1" x14ac:dyDescent="0.25"/>
    <row r="262" ht="15" customHeight="1" x14ac:dyDescent="0.25"/>
    <row r="264" ht="15" customHeight="1" x14ac:dyDescent="0.25"/>
    <row r="266" ht="15" customHeight="1" x14ac:dyDescent="0.25"/>
    <row r="268" ht="15" customHeight="1" x14ac:dyDescent="0.25"/>
    <row r="270" ht="15" customHeight="1" x14ac:dyDescent="0.25"/>
    <row r="272" ht="15" customHeight="1" x14ac:dyDescent="0.25"/>
    <row r="274" ht="15" customHeight="1" x14ac:dyDescent="0.25"/>
    <row r="276" ht="15" customHeight="1" x14ac:dyDescent="0.25"/>
    <row r="278" ht="15" customHeight="1" x14ac:dyDescent="0.25"/>
    <row r="280" ht="15" customHeight="1" x14ac:dyDescent="0.25"/>
    <row r="282" ht="15" customHeight="1" x14ac:dyDescent="0.25"/>
    <row r="284" ht="15" customHeight="1" x14ac:dyDescent="0.25"/>
    <row r="286" ht="15" customHeight="1" x14ac:dyDescent="0.25"/>
    <row r="288" ht="15" customHeight="1" x14ac:dyDescent="0.25"/>
    <row r="290" ht="15" customHeight="1" x14ac:dyDescent="0.25"/>
    <row r="292" ht="15" customHeight="1" x14ac:dyDescent="0.25"/>
    <row r="294" ht="15" customHeight="1" x14ac:dyDescent="0.25"/>
    <row r="296" ht="15" customHeight="1" x14ac:dyDescent="0.25"/>
    <row r="298" ht="15" customHeight="1" x14ac:dyDescent="0.25"/>
    <row r="300" ht="15" customHeight="1" x14ac:dyDescent="0.25"/>
    <row r="302" ht="15" customHeight="1" x14ac:dyDescent="0.25"/>
    <row r="304" ht="15" customHeight="1" x14ac:dyDescent="0.25"/>
    <row r="306" ht="15" customHeight="1" x14ac:dyDescent="0.25"/>
    <row r="308" ht="15" customHeight="1" x14ac:dyDescent="0.25"/>
    <row r="310" ht="15" customHeight="1" x14ac:dyDescent="0.25"/>
    <row r="312" ht="15" customHeight="1" x14ac:dyDescent="0.25"/>
    <row r="314" ht="15" customHeight="1" x14ac:dyDescent="0.25"/>
    <row r="316" ht="15" customHeight="1" x14ac:dyDescent="0.25"/>
    <row r="318" ht="15" customHeight="1" x14ac:dyDescent="0.25"/>
    <row r="320" ht="15" customHeight="1" x14ac:dyDescent="0.25"/>
    <row r="322" ht="15" customHeight="1" x14ac:dyDescent="0.25"/>
    <row r="324" ht="15" customHeight="1" x14ac:dyDescent="0.25"/>
    <row r="326" ht="15" customHeight="1" x14ac:dyDescent="0.25"/>
    <row r="328" ht="15" customHeight="1" x14ac:dyDescent="0.25"/>
    <row r="330" ht="15" customHeight="1" x14ac:dyDescent="0.25"/>
    <row r="332" ht="15" customHeight="1" x14ac:dyDescent="0.25"/>
    <row r="334" ht="15" customHeight="1" x14ac:dyDescent="0.25"/>
    <row r="336" ht="15" customHeight="1" x14ac:dyDescent="0.25"/>
    <row r="338" ht="15" customHeight="1" x14ac:dyDescent="0.25"/>
    <row r="340" ht="15" customHeight="1" x14ac:dyDescent="0.25"/>
    <row r="342" ht="15" customHeight="1" x14ac:dyDescent="0.25"/>
    <row r="344" ht="15" customHeight="1" x14ac:dyDescent="0.25"/>
    <row r="346" ht="15" customHeight="1" x14ac:dyDescent="0.25"/>
    <row r="348" ht="15" customHeight="1" x14ac:dyDescent="0.25"/>
    <row r="350" ht="15" customHeight="1" x14ac:dyDescent="0.25"/>
    <row r="352" ht="15" customHeight="1" x14ac:dyDescent="0.25"/>
    <row r="354" ht="15" customHeight="1" x14ac:dyDescent="0.25"/>
    <row r="356" ht="15" customHeight="1" x14ac:dyDescent="0.25"/>
    <row r="358" ht="15" customHeight="1" x14ac:dyDescent="0.25"/>
    <row r="360" ht="15" customHeight="1" x14ac:dyDescent="0.25"/>
    <row r="362" ht="15" customHeight="1" x14ac:dyDescent="0.25"/>
    <row r="364" ht="15" customHeight="1" x14ac:dyDescent="0.25"/>
    <row r="366" ht="15" customHeight="1" x14ac:dyDescent="0.25"/>
    <row r="368" ht="15" customHeight="1" x14ac:dyDescent="0.25"/>
    <row r="370" ht="15" customHeight="1" x14ac:dyDescent="0.25"/>
    <row r="372" ht="15" customHeight="1" x14ac:dyDescent="0.25"/>
    <row r="374" ht="15" customHeight="1" x14ac:dyDescent="0.25"/>
    <row r="376" ht="15" customHeight="1" x14ac:dyDescent="0.25"/>
    <row r="378" ht="15" customHeight="1" x14ac:dyDescent="0.25"/>
    <row r="380" ht="15" customHeight="1" x14ac:dyDescent="0.25"/>
    <row r="382" ht="15" customHeight="1" x14ac:dyDescent="0.25"/>
    <row r="384" ht="15" customHeight="1" x14ac:dyDescent="0.25"/>
    <row r="386" ht="15" customHeight="1" x14ac:dyDescent="0.25"/>
    <row r="388" ht="15" customHeight="1" x14ac:dyDescent="0.25"/>
    <row r="390" ht="15" customHeight="1" x14ac:dyDescent="0.25"/>
    <row r="392" ht="15" customHeight="1" x14ac:dyDescent="0.25"/>
    <row r="394" ht="15" customHeight="1" x14ac:dyDescent="0.25"/>
    <row r="396" ht="15" customHeight="1" x14ac:dyDescent="0.25"/>
    <row r="398" ht="15" customHeight="1" x14ac:dyDescent="0.25"/>
    <row r="400" ht="15" customHeight="1" x14ac:dyDescent="0.25"/>
    <row r="402" ht="15" customHeight="1" x14ac:dyDescent="0.25"/>
    <row r="404" ht="15" customHeight="1" x14ac:dyDescent="0.25"/>
    <row r="406" ht="15" customHeight="1" x14ac:dyDescent="0.25"/>
    <row r="408" ht="15" customHeight="1" x14ac:dyDescent="0.25"/>
    <row r="410" ht="15" customHeight="1" x14ac:dyDescent="0.25"/>
    <row r="412" ht="15" customHeight="1" x14ac:dyDescent="0.25"/>
    <row r="414" ht="15" customHeight="1" x14ac:dyDescent="0.25"/>
    <row r="416" ht="15" customHeight="1" x14ac:dyDescent="0.25"/>
    <row r="418" ht="15" customHeight="1" x14ac:dyDescent="0.25"/>
    <row r="420" ht="15" customHeight="1" x14ac:dyDescent="0.25"/>
    <row r="422" ht="15" customHeight="1" x14ac:dyDescent="0.25"/>
    <row r="424" ht="15" customHeight="1" x14ac:dyDescent="0.25"/>
    <row r="426" ht="15" customHeight="1" x14ac:dyDescent="0.25"/>
    <row r="428" ht="15" customHeight="1" x14ac:dyDescent="0.25"/>
    <row r="430" ht="15" customHeight="1" x14ac:dyDescent="0.25"/>
    <row r="432" ht="15" customHeight="1" x14ac:dyDescent="0.25"/>
    <row r="434" ht="15" customHeight="1" x14ac:dyDescent="0.25"/>
    <row r="436" ht="15" customHeight="1" x14ac:dyDescent="0.25"/>
    <row r="438" ht="15" customHeight="1" x14ac:dyDescent="0.25"/>
    <row r="440" ht="15" customHeight="1" x14ac:dyDescent="0.25"/>
    <row r="442" ht="15" customHeight="1" x14ac:dyDescent="0.25"/>
    <row r="444" ht="15" customHeight="1" x14ac:dyDescent="0.25"/>
    <row r="446" ht="15" customHeight="1" x14ac:dyDescent="0.25"/>
    <row r="448" ht="15" customHeight="1" x14ac:dyDescent="0.25"/>
    <row r="450" ht="15" customHeight="1" x14ac:dyDescent="0.25"/>
    <row r="452" ht="15" customHeight="1" x14ac:dyDescent="0.25"/>
    <row r="454" ht="15" customHeight="1" x14ac:dyDescent="0.25"/>
    <row r="456" ht="15" customHeight="1" x14ac:dyDescent="0.25"/>
    <row r="458" ht="15" customHeight="1" x14ac:dyDescent="0.25"/>
    <row r="460" ht="15" customHeight="1" x14ac:dyDescent="0.25"/>
    <row r="462" ht="15" customHeight="1" x14ac:dyDescent="0.25"/>
    <row r="464" ht="15" customHeight="1" x14ac:dyDescent="0.25"/>
    <row r="466" ht="15" customHeight="1" x14ac:dyDescent="0.25"/>
    <row r="468" ht="15" customHeight="1" x14ac:dyDescent="0.25"/>
    <row r="470" ht="15" customHeight="1" x14ac:dyDescent="0.25"/>
    <row r="472" ht="15" customHeight="1" x14ac:dyDescent="0.25"/>
    <row r="474" ht="15" customHeight="1" x14ac:dyDescent="0.25"/>
    <row r="476" ht="15" customHeight="1" x14ac:dyDescent="0.25"/>
    <row r="478" ht="15" customHeight="1" x14ac:dyDescent="0.25"/>
    <row r="480" ht="15" customHeight="1" x14ac:dyDescent="0.25"/>
    <row r="482" ht="15" customHeight="1" x14ac:dyDescent="0.25"/>
    <row r="484" ht="15" customHeight="1" x14ac:dyDescent="0.25"/>
    <row r="486" ht="15" customHeight="1" x14ac:dyDescent="0.25"/>
    <row r="488" ht="15" customHeight="1" x14ac:dyDescent="0.25"/>
    <row r="490" ht="15" customHeight="1" x14ac:dyDescent="0.25"/>
    <row r="492" ht="15" customHeight="1" x14ac:dyDescent="0.25"/>
    <row r="494" ht="15" customHeight="1" x14ac:dyDescent="0.25"/>
    <row r="496" ht="15" customHeight="1" x14ac:dyDescent="0.25"/>
    <row r="498" ht="15" customHeight="1" x14ac:dyDescent="0.25"/>
    <row r="500" ht="15" customHeight="1" x14ac:dyDescent="0.25"/>
    <row r="502" ht="15" customHeight="1" x14ac:dyDescent="0.25"/>
    <row r="504" ht="15" customHeight="1" x14ac:dyDescent="0.25"/>
    <row r="506" ht="15" customHeight="1" x14ac:dyDescent="0.25"/>
    <row r="508" ht="15" customHeight="1" x14ac:dyDescent="0.25"/>
    <row r="510" ht="15" customHeight="1" x14ac:dyDescent="0.25"/>
    <row r="512" ht="15" customHeight="1" x14ac:dyDescent="0.25"/>
    <row r="514" ht="15" customHeight="1" x14ac:dyDescent="0.25"/>
    <row r="516" ht="15" customHeight="1" x14ac:dyDescent="0.25"/>
    <row r="518" ht="15" customHeight="1" x14ac:dyDescent="0.25"/>
    <row r="520" ht="15" customHeight="1" x14ac:dyDescent="0.25"/>
    <row r="522" ht="15" customHeight="1" x14ac:dyDescent="0.25"/>
    <row r="524" ht="15" customHeight="1" x14ac:dyDescent="0.25"/>
    <row r="526" ht="15" customHeight="1" x14ac:dyDescent="0.25"/>
    <row r="528" ht="15" customHeight="1" x14ac:dyDescent="0.25"/>
    <row r="530" ht="15" customHeight="1" x14ac:dyDescent="0.25"/>
    <row r="532" ht="15" customHeight="1" x14ac:dyDescent="0.25"/>
    <row r="534" ht="15" customHeight="1" x14ac:dyDescent="0.25"/>
    <row r="536" ht="15" customHeight="1" x14ac:dyDescent="0.25"/>
    <row r="538" ht="15" customHeight="1" x14ac:dyDescent="0.25"/>
    <row r="540" ht="15" customHeight="1" x14ac:dyDescent="0.25"/>
    <row r="542" ht="15" customHeight="1" x14ac:dyDescent="0.25"/>
    <row r="544" ht="15" customHeight="1" x14ac:dyDescent="0.25"/>
    <row r="546" ht="15" customHeight="1" x14ac:dyDescent="0.25"/>
    <row r="548" ht="15" customHeight="1" x14ac:dyDescent="0.25"/>
    <row r="550" ht="15" customHeight="1" x14ac:dyDescent="0.25"/>
    <row r="552" ht="15" customHeight="1" x14ac:dyDescent="0.25"/>
    <row r="554" ht="15" customHeight="1" x14ac:dyDescent="0.25"/>
    <row r="556" ht="15" customHeight="1" x14ac:dyDescent="0.25"/>
    <row r="558" ht="15" customHeight="1" x14ac:dyDescent="0.25"/>
    <row r="560" ht="15" customHeight="1" x14ac:dyDescent="0.25"/>
    <row r="562" ht="15" customHeight="1" x14ac:dyDescent="0.25"/>
    <row r="564" ht="15" customHeight="1" x14ac:dyDescent="0.25"/>
    <row r="566" ht="15" customHeight="1" x14ac:dyDescent="0.25"/>
    <row r="568" ht="15" customHeight="1" x14ac:dyDescent="0.25"/>
    <row r="570" ht="15" customHeight="1" x14ac:dyDescent="0.25"/>
    <row r="572" ht="15" customHeight="1" x14ac:dyDescent="0.25"/>
    <row r="574" ht="15" customHeight="1" x14ac:dyDescent="0.25"/>
    <row r="576" ht="15" customHeight="1" x14ac:dyDescent="0.25"/>
    <row r="578" ht="15" customHeight="1" x14ac:dyDescent="0.25"/>
    <row r="580" ht="15" customHeight="1" x14ac:dyDescent="0.25"/>
    <row r="582" ht="15" customHeight="1" x14ac:dyDescent="0.25"/>
    <row r="584" ht="15" customHeight="1" x14ac:dyDescent="0.25"/>
    <row r="586" ht="15" customHeight="1" x14ac:dyDescent="0.25"/>
    <row r="588" ht="15" customHeight="1" x14ac:dyDescent="0.25"/>
    <row r="590" ht="15" customHeight="1" x14ac:dyDescent="0.25"/>
    <row r="592" ht="15" customHeight="1" x14ac:dyDescent="0.25"/>
    <row r="594" ht="15" customHeight="1" x14ac:dyDescent="0.25"/>
    <row r="596" ht="15" customHeight="1" x14ac:dyDescent="0.25"/>
    <row r="598" ht="15" customHeight="1" x14ac:dyDescent="0.25"/>
    <row r="600" ht="15" customHeight="1" x14ac:dyDescent="0.25"/>
    <row r="602" ht="15" customHeight="1" x14ac:dyDescent="0.25"/>
    <row r="604" ht="15" customHeight="1" x14ac:dyDescent="0.25"/>
    <row r="606" ht="15" customHeight="1" x14ac:dyDescent="0.25"/>
    <row r="608" ht="15" customHeight="1" x14ac:dyDescent="0.25"/>
    <row r="610" ht="15" customHeight="1" x14ac:dyDescent="0.25"/>
    <row r="612" ht="15" customHeight="1" x14ac:dyDescent="0.25"/>
    <row r="614" ht="15" customHeight="1" x14ac:dyDescent="0.25"/>
    <row r="616" ht="15" customHeight="1" x14ac:dyDescent="0.25"/>
    <row r="618" ht="15" customHeight="1" x14ac:dyDescent="0.25"/>
    <row r="620" ht="15" customHeight="1" x14ac:dyDescent="0.25"/>
    <row r="622" ht="15" customHeight="1" x14ac:dyDescent="0.25"/>
    <row r="624" ht="15" customHeight="1" x14ac:dyDescent="0.25"/>
    <row r="626" ht="15" customHeight="1" x14ac:dyDescent="0.25"/>
    <row r="628" ht="15" customHeight="1" x14ac:dyDescent="0.25"/>
    <row r="630" ht="15" customHeight="1" x14ac:dyDescent="0.25"/>
    <row r="632" ht="15" customHeight="1" x14ac:dyDescent="0.25"/>
    <row r="634" ht="15" customHeight="1" x14ac:dyDescent="0.25"/>
    <row r="636" ht="15" customHeight="1" x14ac:dyDescent="0.25"/>
    <row r="638" ht="15" customHeight="1" x14ac:dyDescent="0.25"/>
    <row r="640" ht="15" customHeight="1" x14ac:dyDescent="0.25"/>
    <row r="642" ht="15" customHeight="1" x14ac:dyDescent="0.25"/>
    <row r="644" ht="15" customHeight="1" x14ac:dyDescent="0.25"/>
    <row r="646" ht="15" customHeight="1" x14ac:dyDescent="0.25"/>
    <row r="648" ht="15" customHeight="1" x14ac:dyDescent="0.25"/>
    <row r="650" ht="15" customHeight="1" x14ac:dyDescent="0.25"/>
    <row r="652" ht="15" customHeight="1" x14ac:dyDescent="0.25"/>
    <row r="654" ht="15" customHeight="1" x14ac:dyDescent="0.25"/>
    <row r="656" ht="15" customHeight="1" x14ac:dyDescent="0.25"/>
    <row r="658" ht="15" customHeight="1" x14ac:dyDescent="0.25"/>
    <row r="660" ht="15" customHeight="1" x14ac:dyDescent="0.25"/>
    <row r="662" ht="15" customHeight="1" x14ac:dyDescent="0.25"/>
    <row r="664" ht="15" customHeight="1" x14ac:dyDescent="0.25"/>
    <row r="666" ht="15" customHeight="1" x14ac:dyDescent="0.25"/>
    <row r="668" ht="15" customHeight="1" x14ac:dyDescent="0.25"/>
    <row r="670" ht="15" customHeight="1" x14ac:dyDescent="0.25"/>
    <row r="672" ht="15" customHeight="1" x14ac:dyDescent="0.25"/>
    <row r="674" ht="15" customHeight="1" x14ac:dyDescent="0.25"/>
    <row r="676" ht="15" customHeight="1" x14ac:dyDescent="0.25"/>
    <row r="678" ht="15" customHeight="1" x14ac:dyDescent="0.25"/>
    <row r="680" ht="15" customHeight="1" x14ac:dyDescent="0.25"/>
    <row r="682" ht="15" customHeight="1" x14ac:dyDescent="0.25"/>
    <row r="684" ht="15" customHeight="1" x14ac:dyDescent="0.25"/>
    <row r="686" ht="15" customHeight="1" x14ac:dyDescent="0.25"/>
    <row r="688" ht="15" customHeight="1" x14ac:dyDescent="0.25"/>
    <row r="690" ht="15" customHeight="1" x14ac:dyDescent="0.25"/>
    <row r="692" ht="15" customHeight="1" x14ac:dyDescent="0.25"/>
    <row r="694" ht="15" customHeight="1" x14ac:dyDescent="0.25"/>
    <row r="696" ht="15" customHeight="1" x14ac:dyDescent="0.25"/>
    <row r="698" ht="15" customHeight="1" x14ac:dyDescent="0.25"/>
    <row r="700" ht="15" customHeight="1" x14ac:dyDescent="0.25"/>
    <row r="702" ht="15" customHeight="1" x14ac:dyDescent="0.25"/>
    <row r="704" ht="15" customHeight="1" x14ac:dyDescent="0.25"/>
    <row r="706" ht="15" customHeight="1" x14ac:dyDescent="0.25"/>
    <row r="708" ht="15" customHeight="1" x14ac:dyDescent="0.25"/>
    <row r="710" ht="15" customHeight="1" x14ac:dyDescent="0.25"/>
    <row r="712" ht="15" customHeight="1" x14ac:dyDescent="0.25"/>
    <row r="714" ht="15" customHeight="1" x14ac:dyDescent="0.25"/>
    <row r="716" ht="15" customHeight="1" x14ac:dyDescent="0.25"/>
    <row r="718" ht="15" customHeight="1" x14ac:dyDescent="0.25"/>
    <row r="720" ht="15" customHeight="1" x14ac:dyDescent="0.25"/>
    <row r="722" ht="15" customHeight="1" x14ac:dyDescent="0.25"/>
    <row r="724" ht="15" customHeight="1" x14ac:dyDescent="0.25"/>
    <row r="726" ht="15" customHeight="1" x14ac:dyDescent="0.25"/>
    <row r="728" ht="15" customHeight="1" x14ac:dyDescent="0.25"/>
    <row r="730" ht="15" customHeight="1" x14ac:dyDescent="0.25"/>
    <row r="732" ht="15" customHeight="1" x14ac:dyDescent="0.25"/>
    <row r="734" ht="15" customHeight="1" x14ac:dyDescent="0.25"/>
    <row r="736" ht="15" customHeight="1" x14ac:dyDescent="0.25"/>
    <row r="738" ht="15" customHeight="1" x14ac:dyDescent="0.25"/>
    <row r="740" ht="15" customHeight="1" x14ac:dyDescent="0.25"/>
    <row r="742" ht="15" customHeight="1" x14ac:dyDescent="0.25"/>
    <row r="744" ht="15" customHeight="1" x14ac:dyDescent="0.25"/>
    <row r="746" ht="15" customHeight="1" x14ac:dyDescent="0.25"/>
    <row r="748" ht="15" customHeight="1" x14ac:dyDescent="0.25"/>
    <row r="750" ht="15" customHeight="1" x14ac:dyDescent="0.25"/>
    <row r="752" ht="15" customHeight="1" x14ac:dyDescent="0.25"/>
    <row r="754" ht="15" customHeight="1" x14ac:dyDescent="0.25"/>
    <row r="756" ht="15" customHeight="1" x14ac:dyDescent="0.25"/>
    <row r="758" ht="15" customHeight="1" x14ac:dyDescent="0.25"/>
    <row r="760" ht="15" customHeight="1" x14ac:dyDescent="0.25"/>
    <row r="762" ht="15" customHeight="1" x14ac:dyDescent="0.25"/>
    <row r="764" ht="15" customHeight="1" x14ac:dyDescent="0.25"/>
    <row r="766" ht="15" customHeight="1" x14ac:dyDescent="0.25"/>
    <row r="768" ht="15" customHeight="1" x14ac:dyDescent="0.25"/>
    <row r="770" ht="15" customHeight="1" x14ac:dyDescent="0.25"/>
    <row r="772" ht="15" customHeight="1" x14ac:dyDescent="0.25"/>
    <row r="774" ht="15" customHeight="1" x14ac:dyDescent="0.25"/>
    <row r="776" ht="15" customHeight="1" x14ac:dyDescent="0.25"/>
    <row r="778" ht="15" customHeight="1" x14ac:dyDescent="0.25"/>
    <row r="780" ht="15" customHeight="1" x14ac:dyDescent="0.25"/>
    <row r="782" ht="15" customHeight="1" x14ac:dyDescent="0.25"/>
    <row r="784" ht="15" customHeight="1" x14ac:dyDescent="0.25"/>
    <row r="786" ht="15" customHeight="1" x14ac:dyDescent="0.25"/>
    <row r="788" ht="15" customHeight="1" x14ac:dyDescent="0.25"/>
    <row r="790" ht="15" customHeight="1" x14ac:dyDescent="0.25"/>
    <row r="792" ht="15" customHeight="1" x14ac:dyDescent="0.25"/>
    <row r="794" ht="15" customHeight="1" x14ac:dyDescent="0.25"/>
    <row r="796" ht="15" customHeight="1" x14ac:dyDescent="0.25"/>
    <row r="798" ht="15" customHeight="1" x14ac:dyDescent="0.25"/>
    <row r="800" ht="15" customHeight="1" x14ac:dyDescent="0.25"/>
    <row r="802" ht="15" customHeight="1" x14ac:dyDescent="0.25"/>
    <row r="804" ht="15" customHeight="1" x14ac:dyDescent="0.25"/>
    <row r="806" ht="15" customHeight="1" x14ac:dyDescent="0.25"/>
    <row r="808" ht="15" customHeight="1" x14ac:dyDescent="0.25"/>
    <row r="810" ht="15" customHeight="1" x14ac:dyDescent="0.25"/>
    <row r="812" ht="15" customHeight="1" x14ac:dyDescent="0.25"/>
    <row r="814" ht="15" customHeight="1" x14ac:dyDescent="0.25"/>
    <row r="816" ht="15" customHeight="1" x14ac:dyDescent="0.25"/>
    <row r="818" ht="15" customHeight="1" x14ac:dyDescent="0.25"/>
    <row r="820" ht="15" customHeight="1" x14ac:dyDescent="0.25"/>
    <row r="822" ht="15" customHeight="1" x14ac:dyDescent="0.25"/>
    <row r="824" ht="15" customHeight="1" x14ac:dyDescent="0.25"/>
    <row r="826" ht="15" customHeight="1" x14ac:dyDescent="0.25"/>
    <row r="828" ht="15" customHeight="1" x14ac:dyDescent="0.25"/>
    <row r="830" ht="15" customHeight="1" x14ac:dyDescent="0.25"/>
    <row r="832" ht="15" customHeight="1" x14ac:dyDescent="0.25"/>
    <row r="834" ht="15" customHeight="1" x14ac:dyDescent="0.25"/>
    <row r="836" ht="15" customHeight="1" x14ac:dyDescent="0.25"/>
    <row r="838" ht="15" customHeight="1" x14ac:dyDescent="0.25"/>
    <row r="840" ht="15" customHeight="1" x14ac:dyDescent="0.25"/>
    <row r="842" ht="15" customHeight="1" x14ac:dyDescent="0.25"/>
    <row r="844" ht="15" customHeight="1" x14ac:dyDescent="0.25"/>
    <row r="846" ht="15" customHeight="1" x14ac:dyDescent="0.25"/>
    <row r="848" ht="15" customHeight="1" x14ac:dyDescent="0.25"/>
    <row r="850" ht="15" customHeight="1" x14ac:dyDescent="0.25"/>
    <row r="852" ht="15" customHeight="1" x14ac:dyDescent="0.25"/>
    <row r="854" ht="15" customHeight="1" x14ac:dyDescent="0.25"/>
    <row r="856" ht="15" customHeight="1" x14ac:dyDescent="0.25"/>
    <row r="858" ht="15" customHeight="1" x14ac:dyDescent="0.25"/>
    <row r="860" ht="15" customHeight="1" x14ac:dyDescent="0.25"/>
    <row r="862" ht="15" customHeight="1" x14ac:dyDescent="0.25"/>
    <row r="864" ht="15" customHeight="1" x14ac:dyDescent="0.25"/>
    <row r="866" ht="15" customHeight="1" x14ac:dyDescent="0.25"/>
    <row r="868" ht="15" customHeight="1" x14ac:dyDescent="0.25"/>
    <row r="870" ht="15" customHeight="1" x14ac:dyDescent="0.25"/>
    <row r="872" ht="15" customHeight="1" x14ac:dyDescent="0.25"/>
    <row r="874" ht="15" customHeight="1" x14ac:dyDescent="0.25"/>
    <row r="876" ht="15" customHeight="1" x14ac:dyDescent="0.25"/>
    <row r="878" ht="15" customHeight="1" x14ac:dyDescent="0.25"/>
    <row r="880" ht="15" customHeight="1" x14ac:dyDescent="0.25"/>
    <row r="882" ht="15" customHeight="1" x14ac:dyDescent="0.25"/>
    <row r="884" ht="15" customHeight="1" x14ac:dyDescent="0.25"/>
    <row r="886" ht="15" customHeight="1" x14ac:dyDescent="0.25"/>
    <row r="888" ht="15" customHeight="1" x14ac:dyDescent="0.25"/>
    <row r="890" ht="15" customHeight="1" x14ac:dyDescent="0.25"/>
    <row r="892" ht="15" customHeight="1" x14ac:dyDescent="0.25"/>
    <row r="894" ht="15" customHeight="1" x14ac:dyDescent="0.25"/>
    <row r="896" ht="15" customHeight="1" x14ac:dyDescent="0.25"/>
    <row r="898" ht="15" customHeight="1" x14ac:dyDescent="0.25"/>
    <row r="900" ht="15" customHeight="1" x14ac:dyDescent="0.25"/>
    <row r="902" ht="15" customHeight="1" x14ac:dyDescent="0.25"/>
    <row r="904" ht="15" customHeight="1" x14ac:dyDescent="0.25"/>
    <row r="906" ht="15" customHeight="1" x14ac:dyDescent="0.25"/>
    <row r="908" ht="15" customHeight="1" x14ac:dyDescent="0.25"/>
    <row r="910" ht="15" customHeight="1" x14ac:dyDescent="0.25"/>
    <row r="912" ht="15" customHeight="1" x14ac:dyDescent="0.25"/>
    <row r="914" ht="15" customHeight="1" x14ac:dyDescent="0.25"/>
    <row r="916" ht="15" customHeight="1" x14ac:dyDescent="0.25"/>
    <row r="918" ht="15" customHeight="1" x14ac:dyDescent="0.25"/>
    <row r="920" ht="15" customHeight="1" x14ac:dyDescent="0.25"/>
    <row r="922" ht="15" customHeight="1" x14ac:dyDescent="0.25"/>
    <row r="924" ht="15" customHeight="1" x14ac:dyDescent="0.25"/>
    <row r="926" ht="15" customHeight="1" x14ac:dyDescent="0.25"/>
    <row r="928" ht="15" customHeight="1" x14ac:dyDescent="0.25"/>
    <row r="930" ht="15" customHeight="1" x14ac:dyDescent="0.25"/>
    <row r="932" ht="15" customHeight="1" x14ac:dyDescent="0.25"/>
    <row r="934" ht="15" customHeight="1" x14ac:dyDescent="0.25"/>
    <row r="936" ht="15" customHeight="1" x14ac:dyDescent="0.25"/>
    <row r="938" ht="15" customHeight="1" x14ac:dyDescent="0.25"/>
    <row r="940" ht="15" customHeight="1" x14ac:dyDescent="0.25"/>
    <row r="942" ht="15" customHeight="1" x14ac:dyDescent="0.25"/>
    <row r="944" ht="15" customHeight="1" x14ac:dyDescent="0.25"/>
    <row r="946" ht="15" customHeight="1" x14ac:dyDescent="0.25"/>
    <row r="948" ht="15" customHeight="1" x14ac:dyDescent="0.25"/>
    <row r="950" ht="15" customHeight="1" x14ac:dyDescent="0.25"/>
    <row r="952" ht="15" customHeight="1" x14ac:dyDescent="0.25"/>
    <row r="954" ht="15" customHeight="1" x14ac:dyDescent="0.25"/>
    <row r="956" ht="15" customHeight="1" x14ac:dyDescent="0.25"/>
    <row r="958" ht="15" customHeight="1" x14ac:dyDescent="0.25"/>
    <row r="960" ht="15" customHeight="1" x14ac:dyDescent="0.25"/>
    <row r="962" ht="15" customHeight="1" x14ac:dyDescent="0.25"/>
    <row r="964" ht="15" customHeight="1" x14ac:dyDescent="0.25"/>
    <row r="966" ht="15" customHeight="1" x14ac:dyDescent="0.25"/>
    <row r="968" ht="15" customHeight="1" x14ac:dyDescent="0.25"/>
    <row r="970" ht="15" customHeight="1" x14ac:dyDescent="0.25"/>
    <row r="972" ht="15" customHeight="1" x14ac:dyDescent="0.25"/>
    <row r="974" ht="15" customHeight="1" x14ac:dyDescent="0.25"/>
    <row r="976" ht="15" customHeight="1" x14ac:dyDescent="0.25"/>
    <row r="978" ht="15" customHeight="1" x14ac:dyDescent="0.25"/>
    <row r="980" ht="15" customHeight="1" x14ac:dyDescent="0.25"/>
    <row r="982" ht="15" customHeight="1" x14ac:dyDescent="0.25"/>
    <row r="984" ht="15" customHeight="1" x14ac:dyDescent="0.25"/>
    <row r="986" ht="15" customHeight="1" x14ac:dyDescent="0.25"/>
    <row r="988" ht="15" customHeight="1" x14ac:dyDescent="0.25"/>
    <row r="990" ht="15" customHeight="1" x14ac:dyDescent="0.25"/>
    <row r="992" ht="15" customHeight="1" x14ac:dyDescent="0.25"/>
    <row r="994" ht="15" customHeight="1" x14ac:dyDescent="0.25"/>
    <row r="996" ht="15" customHeight="1" x14ac:dyDescent="0.25"/>
    <row r="998" ht="15" customHeight="1" x14ac:dyDescent="0.25"/>
    <row r="1000" ht="15" customHeight="1" x14ac:dyDescent="0.25"/>
    <row r="1002" ht="15" customHeight="1" x14ac:dyDescent="0.25"/>
    <row r="1004" ht="15" customHeight="1" x14ac:dyDescent="0.25"/>
    <row r="1006" ht="15" customHeight="1" x14ac:dyDescent="0.25"/>
    <row r="1008" ht="15" customHeight="1" x14ac:dyDescent="0.25"/>
    <row r="1010" ht="15" customHeight="1" x14ac:dyDescent="0.25"/>
    <row r="1012" ht="15" customHeight="1" x14ac:dyDescent="0.25"/>
    <row r="1014" ht="15" customHeight="1" x14ac:dyDescent="0.25"/>
    <row r="1016" ht="15" customHeight="1" x14ac:dyDescent="0.25"/>
    <row r="1018" ht="15" customHeight="1" x14ac:dyDescent="0.25"/>
    <row r="1020" ht="15" customHeight="1" x14ac:dyDescent="0.25"/>
    <row r="1022" ht="15" customHeight="1" x14ac:dyDescent="0.25"/>
    <row r="1024" ht="15" customHeight="1" x14ac:dyDescent="0.25"/>
    <row r="1026" ht="15" customHeight="1" x14ac:dyDescent="0.25"/>
    <row r="1028" ht="15" customHeight="1" x14ac:dyDescent="0.25"/>
    <row r="1030" ht="15" customHeight="1" x14ac:dyDescent="0.25"/>
    <row r="1032" ht="15" customHeight="1" x14ac:dyDescent="0.25"/>
    <row r="1034" ht="15" customHeight="1" x14ac:dyDescent="0.25"/>
    <row r="1036" ht="15" customHeight="1" x14ac:dyDescent="0.25"/>
    <row r="1038" ht="15" customHeight="1" x14ac:dyDescent="0.25"/>
    <row r="1040" ht="15" customHeight="1" x14ac:dyDescent="0.25"/>
    <row r="1042" ht="15" customHeight="1" x14ac:dyDescent="0.25"/>
    <row r="1044" ht="15" customHeight="1" x14ac:dyDescent="0.25"/>
    <row r="1046" ht="15" customHeight="1" x14ac:dyDescent="0.25"/>
    <row r="1048" ht="15" customHeight="1" x14ac:dyDescent="0.25"/>
    <row r="1050" ht="15" customHeight="1" x14ac:dyDescent="0.25"/>
    <row r="1052" ht="15" customHeight="1" x14ac:dyDescent="0.25"/>
    <row r="1054" ht="15" customHeight="1" x14ac:dyDescent="0.25"/>
    <row r="1056" ht="15" customHeight="1" x14ac:dyDescent="0.25"/>
    <row r="1058" ht="15" customHeight="1" x14ac:dyDescent="0.25"/>
    <row r="1060" ht="15" customHeight="1" x14ac:dyDescent="0.25"/>
    <row r="1062" ht="15" customHeight="1" x14ac:dyDescent="0.25"/>
    <row r="1064" ht="15" customHeight="1" x14ac:dyDescent="0.25"/>
    <row r="1066" ht="15" customHeight="1" x14ac:dyDescent="0.25"/>
    <row r="1068" ht="15" customHeight="1" x14ac:dyDescent="0.25"/>
    <row r="1070" ht="15" customHeight="1" x14ac:dyDescent="0.25"/>
    <row r="1072" ht="15" customHeight="1" x14ac:dyDescent="0.25"/>
    <row r="1074" ht="15" customHeight="1" x14ac:dyDescent="0.25"/>
    <row r="1076" ht="15" customHeight="1" x14ac:dyDescent="0.25"/>
    <row r="1078" ht="15" customHeight="1" x14ac:dyDescent="0.25"/>
    <row r="1080" ht="15" customHeight="1" x14ac:dyDescent="0.25"/>
    <row r="1082" ht="15" customHeight="1" x14ac:dyDescent="0.25"/>
    <row r="1084" ht="15" customHeight="1" x14ac:dyDescent="0.25"/>
    <row r="1086" ht="15" customHeight="1" x14ac:dyDescent="0.25"/>
    <row r="1088" ht="15" customHeight="1" x14ac:dyDescent="0.25"/>
    <row r="1090" ht="15" customHeight="1" x14ac:dyDescent="0.25"/>
    <row r="1092" ht="15" customHeight="1" x14ac:dyDescent="0.25"/>
    <row r="1094" ht="15" customHeight="1" x14ac:dyDescent="0.25"/>
    <row r="1096" ht="15" customHeight="1" x14ac:dyDescent="0.25"/>
    <row r="1098" ht="15" customHeight="1" x14ac:dyDescent="0.25"/>
    <row r="1100" ht="15" customHeight="1" x14ac:dyDescent="0.25"/>
    <row r="1102" ht="15" customHeight="1" x14ac:dyDescent="0.25"/>
    <row r="1104" ht="15" customHeight="1" x14ac:dyDescent="0.25"/>
    <row r="1106" ht="15" customHeight="1" x14ac:dyDescent="0.25"/>
    <row r="1108" ht="15" customHeight="1" x14ac:dyDescent="0.25"/>
    <row r="1110" ht="15" customHeight="1" x14ac:dyDescent="0.25"/>
    <row r="1112" ht="15" customHeight="1" x14ac:dyDescent="0.25"/>
    <row r="1114" ht="15" customHeight="1" x14ac:dyDescent="0.25"/>
    <row r="1116" ht="15" customHeight="1" x14ac:dyDescent="0.25"/>
    <row r="1118" ht="15" customHeight="1" x14ac:dyDescent="0.25"/>
    <row r="1120" ht="15" customHeight="1" x14ac:dyDescent="0.25"/>
    <row r="1122" ht="15" customHeight="1" x14ac:dyDescent="0.25"/>
    <row r="1124" ht="15" customHeight="1" x14ac:dyDescent="0.25"/>
    <row r="1126" ht="15" customHeight="1" x14ac:dyDescent="0.25"/>
    <row r="1128" ht="15" customHeight="1" x14ac:dyDescent="0.25"/>
    <row r="1130" ht="15" customHeight="1" x14ac:dyDescent="0.25"/>
    <row r="1132" ht="15" customHeight="1" x14ac:dyDescent="0.25"/>
    <row r="1134" ht="15" customHeight="1" x14ac:dyDescent="0.25"/>
    <row r="1136" ht="15" customHeight="1" x14ac:dyDescent="0.25"/>
    <row r="1138" ht="15" customHeight="1" x14ac:dyDescent="0.25"/>
    <row r="1140" ht="15" customHeight="1" x14ac:dyDescent="0.25"/>
    <row r="1142" ht="15" customHeight="1" x14ac:dyDescent="0.25"/>
    <row r="1144" ht="15" customHeight="1" x14ac:dyDescent="0.25"/>
    <row r="1146" ht="15" customHeight="1" x14ac:dyDescent="0.25"/>
    <row r="1148" ht="15" customHeight="1" x14ac:dyDescent="0.25"/>
    <row r="1150" ht="15" customHeight="1" x14ac:dyDescent="0.25"/>
    <row r="1152" ht="15" customHeight="1" x14ac:dyDescent="0.25"/>
    <row r="1154" ht="15" customHeight="1" x14ac:dyDescent="0.25"/>
    <row r="1156" ht="15" customHeight="1" x14ac:dyDescent="0.25"/>
    <row r="1158" ht="15" customHeight="1" x14ac:dyDescent="0.25"/>
    <row r="1160" ht="15" customHeight="1" x14ac:dyDescent="0.25"/>
    <row r="1162" ht="15" customHeight="1" x14ac:dyDescent="0.25"/>
    <row r="1164" ht="15" customHeight="1" x14ac:dyDescent="0.25"/>
    <row r="1166" ht="15" customHeight="1" x14ac:dyDescent="0.25"/>
    <row r="1168" ht="15" customHeight="1" x14ac:dyDescent="0.25"/>
    <row r="1170" ht="15" customHeight="1" x14ac:dyDescent="0.25"/>
    <row r="1172" ht="15" customHeight="1" x14ac:dyDescent="0.25"/>
    <row r="1174" ht="15" customHeight="1" x14ac:dyDescent="0.25"/>
    <row r="1176" ht="15" customHeight="1" x14ac:dyDescent="0.25"/>
    <row r="1178" ht="15" customHeight="1" x14ac:dyDescent="0.25"/>
    <row r="1180" ht="15" customHeight="1" x14ac:dyDescent="0.25"/>
    <row r="1182" ht="15" customHeight="1" x14ac:dyDescent="0.25"/>
    <row r="1184" ht="15" customHeight="1" x14ac:dyDescent="0.25"/>
    <row r="1186" ht="15" customHeight="1" x14ac:dyDescent="0.25"/>
    <row r="1188" ht="15" customHeight="1" x14ac:dyDescent="0.25"/>
    <row r="1190" ht="15" customHeight="1" x14ac:dyDescent="0.25"/>
    <row r="1192" ht="15" customHeight="1" x14ac:dyDescent="0.25"/>
    <row r="1194" ht="15" customHeight="1" x14ac:dyDescent="0.25"/>
    <row r="1196" ht="15" customHeight="1" x14ac:dyDescent="0.25"/>
    <row r="1198" ht="15" customHeight="1" x14ac:dyDescent="0.25"/>
    <row r="1200" ht="15" customHeight="1" x14ac:dyDescent="0.25"/>
    <row r="1202" ht="15" customHeight="1" x14ac:dyDescent="0.25"/>
    <row r="1204" ht="15" customHeight="1" x14ac:dyDescent="0.25"/>
    <row r="1206" ht="15" customHeight="1" x14ac:dyDescent="0.25"/>
    <row r="1208" ht="15" customHeight="1" x14ac:dyDescent="0.25"/>
    <row r="1210" ht="15" customHeight="1" x14ac:dyDescent="0.25"/>
    <row r="1212" ht="15" customHeight="1" x14ac:dyDescent="0.25"/>
    <row r="1214" ht="15" customHeight="1" x14ac:dyDescent="0.25"/>
    <row r="1216" ht="15" customHeight="1" x14ac:dyDescent="0.25"/>
    <row r="1218" ht="15" customHeight="1" x14ac:dyDescent="0.25"/>
    <row r="1220" ht="15" customHeight="1" x14ac:dyDescent="0.25"/>
    <row r="1222" ht="15" customHeight="1" x14ac:dyDescent="0.25"/>
    <row r="1224" ht="15" customHeight="1" x14ac:dyDescent="0.25"/>
    <row r="1226" ht="15" customHeight="1" x14ac:dyDescent="0.25"/>
    <row r="1228" ht="15" customHeight="1" x14ac:dyDescent="0.25"/>
    <row r="1230" ht="15" customHeight="1" x14ac:dyDescent="0.25"/>
    <row r="1232" ht="15" customHeight="1" x14ac:dyDescent="0.25"/>
    <row r="1234" ht="15" customHeight="1" x14ac:dyDescent="0.25"/>
    <row r="1236" ht="15" customHeight="1" x14ac:dyDescent="0.25"/>
    <row r="1238" ht="15" customHeight="1" x14ac:dyDescent="0.25"/>
    <row r="1240" ht="15" customHeight="1" x14ac:dyDescent="0.25"/>
    <row r="1242" ht="15" customHeight="1" x14ac:dyDescent="0.25"/>
    <row r="1244" ht="15" customHeight="1" x14ac:dyDescent="0.25"/>
    <row r="1246" ht="15" customHeight="1" x14ac:dyDescent="0.25"/>
    <row r="1248" ht="15" customHeight="1" x14ac:dyDescent="0.25"/>
    <row r="1250" ht="15" customHeight="1" x14ac:dyDescent="0.25"/>
    <row r="1252" ht="15" customHeight="1" x14ac:dyDescent="0.25"/>
    <row r="1254" ht="15" customHeight="1" x14ac:dyDescent="0.25"/>
    <row r="1256" ht="15" customHeight="1" x14ac:dyDescent="0.25"/>
    <row r="1258" ht="15" customHeight="1" x14ac:dyDescent="0.25"/>
    <row r="1260" ht="15" customHeight="1" x14ac:dyDescent="0.25"/>
    <row r="1262" ht="15" customHeight="1" x14ac:dyDescent="0.25"/>
    <row r="1264" ht="15" customHeight="1" x14ac:dyDescent="0.25"/>
    <row r="1266" ht="15" customHeight="1" x14ac:dyDescent="0.25"/>
    <row r="1268" ht="15" customHeight="1" x14ac:dyDescent="0.25"/>
    <row r="1270" ht="15" customHeight="1" x14ac:dyDescent="0.25"/>
    <row r="1272" ht="15" customHeight="1" x14ac:dyDescent="0.25"/>
    <row r="1274" ht="15" customHeight="1" x14ac:dyDescent="0.25"/>
    <row r="1276" ht="15" customHeight="1" x14ac:dyDescent="0.25"/>
    <row r="1278" ht="15" customHeight="1" x14ac:dyDescent="0.25"/>
    <row r="1280" ht="15" customHeight="1" x14ac:dyDescent="0.25"/>
    <row r="1282" ht="15" customHeight="1" x14ac:dyDescent="0.25"/>
    <row r="1284" ht="15" customHeight="1" x14ac:dyDescent="0.25"/>
    <row r="1286" ht="15" customHeight="1" x14ac:dyDescent="0.25"/>
    <row r="1288" ht="15" customHeight="1" x14ac:dyDescent="0.25"/>
    <row r="1290" ht="15" customHeight="1" x14ac:dyDescent="0.25"/>
    <row r="1292" ht="15" customHeight="1" x14ac:dyDescent="0.25"/>
    <row r="1294" ht="15" customHeight="1" x14ac:dyDescent="0.25"/>
    <row r="1296" ht="15" customHeight="1" x14ac:dyDescent="0.25"/>
    <row r="1298" ht="15" customHeight="1" x14ac:dyDescent="0.25"/>
    <row r="1300" ht="15" customHeight="1" x14ac:dyDescent="0.25"/>
    <row r="1302" ht="15" customHeight="1" x14ac:dyDescent="0.25"/>
    <row r="1304" ht="15" customHeight="1" x14ac:dyDescent="0.25"/>
    <row r="1306" ht="15" customHeight="1" x14ac:dyDescent="0.25"/>
    <row r="1308" ht="15" customHeight="1" x14ac:dyDescent="0.25"/>
    <row r="1310" ht="15" customHeight="1" x14ac:dyDescent="0.25"/>
    <row r="1312" ht="15" customHeight="1" x14ac:dyDescent="0.25"/>
    <row r="1314" ht="15" customHeight="1" x14ac:dyDescent="0.25"/>
    <row r="1316" ht="15" customHeight="1" x14ac:dyDescent="0.25"/>
    <row r="1318" ht="15" customHeight="1" x14ac:dyDescent="0.25"/>
    <row r="1320" ht="15" customHeight="1" x14ac:dyDescent="0.25"/>
    <row r="1322" ht="15" customHeight="1" x14ac:dyDescent="0.25"/>
    <row r="1324" ht="15" customHeight="1" x14ac:dyDescent="0.25"/>
    <row r="1326" ht="15" customHeight="1" x14ac:dyDescent="0.25"/>
    <row r="1328" ht="15" customHeight="1" x14ac:dyDescent="0.25"/>
    <row r="1330" ht="15" customHeight="1" x14ac:dyDescent="0.25"/>
    <row r="1332" ht="15" customHeight="1" x14ac:dyDescent="0.25"/>
    <row r="1334" ht="15" customHeight="1" x14ac:dyDescent="0.25"/>
    <row r="1336" ht="15" customHeight="1" x14ac:dyDescent="0.25"/>
    <row r="1338" ht="15" customHeight="1" x14ac:dyDescent="0.25"/>
    <row r="1340" ht="15" customHeight="1" x14ac:dyDescent="0.25"/>
    <row r="1342" ht="15" customHeight="1" x14ac:dyDescent="0.25"/>
    <row r="1344" ht="15" customHeight="1" x14ac:dyDescent="0.25"/>
    <row r="1346" ht="15" customHeight="1" x14ac:dyDescent="0.25"/>
    <row r="1348" ht="15" customHeight="1" x14ac:dyDescent="0.25"/>
    <row r="1350" ht="15" customHeight="1" x14ac:dyDescent="0.25"/>
    <row r="1352" ht="15" customHeight="1" x14ac:dyDescent="0.25"/>
    <row r="1354" ht="15" customHeight="1" x14ac:dyDescent="0.25"/>
    <row r="1356" ht="15" customHeight="1" x14ac:dyDescent="0.25"/>
    <row r="1358" ht="15" customHeight="1" x14ac:dyDescent="0.25"/>
    <row r="1360" ht="15" customHeight="1" x14ac:dyDescent="0.25"/>
    <row r="1362" ht="15" customHeight="1" x14ac:dyDescent="0.25"/>
    <row r="1364" ht="15" customHeight="1" x14ac:dyDescent="0.25"/>
    <row r="1366" ht="15" customHeight="1" x14ac:dyDescent="0.25"/>
    <row r="1368" ht="15" customHeight="1" x14ac:dyDescent="0.25"/>
    <row r="1370" ht="15" customHeight="1" x14ac:dyDescent="0.25"/>
    <row r="1372" ht="15" customHeight="1" x14ac:dyDescent="0.25"/>
    <row r="1374" ht="15" customHeight="1" x14ac:dyDescent="0.25"/>
    <row r="1376" ht="15" customHeight="1" x14ac:dyDescent="0.25"/>
    <row r="1378" ht="15" customHeight="1" x14ac:dyDescent="0.25"/>
    <row r="1380" ht="15" customHeight="1" x14ac:dyDescent="0.25"/>
    <row r="1382" ht="15" customHeight="1" x14ac:dyDescent="0.25"/>
    <row r="1384" ht="15" customHeight="1" x14ac:dyDescent="0.25"/>
    <row r="1386" ht="15" customHeight="1" x14ac:dyDescent="0.25"/>
    <row r="1388" ht="15" customHeight="1" x14ac:dyDescent="0.25"/>
    <row r="1390" ht="15" customHeight="1" x14ac:dyDescent="0.25"/>
    <row r="1392" ht="15" customHeight="1" x14ac:dyDescent="0.25"/>
    <row r="1394" ht="15" customHeight="1" x14ac:dyDescent="0.25"/>
    <row r="1396" ht="15" customHeight="1" x14ac:dyDescent="0.25"/>
    <row r="1398" ht="15" customHeight="1" x14ac:dyDescent="0.25"/>
    <row r="1400" ht="15" customHeight="1" x14ac:dyDescent="0.25"/>
    <row r="1402" ht="15" customHeight="1" x14ac:dyDescent="0.25"/>
    <row r="1404" ht="15" customHeight="1" x14ac:dyDescent="0.25"/>
    <row r="1406" ht="15" customHeight="1" x14ac:dyDescent="0.25"/>
    <row r="1408" ht="15" customHeight="1" x14ac:dyDescent="0.25"/>
    <row r="1410" ht="15" customHeight="1" x14ac:dyDescent="0.25"/>
    <row r="1412" ht="15" customHeight="1" x14ac:dyDescent="0.25"/>
    <row r="1414" ht="15" customHeight="1" x14ac:dyDescent="0.25"/>
    <row r="1416" ht="15" customHeight="1" x14ac:dyDescent="0.25"/>
    <row r="1418" ht="15" customHeight="1" x14ac:dyDescent="0.25"/>
    <row r="1420" ht="15" customHeight="1" x14ac:dyDescent="0.25"/>
    <row r="1422" ht="15" customHeight="1" x14ac:dyDescent="0.25"/>
    <row r="1424" ht="15" customHeight="1" x14ac:dyDescent="0.25"/>
    <row r="1426" ht="15" customHeight="1" x14ac:dyDescent="0.25"/>
    <row r="1428" ht="15" customHeight="1" x14ac:dyDescent="0.25"/>
    <row r="1430" ht="15" customHeight="1" x14ac:dyDescent="0.25"/>
    <row r="1432" ht="15" customHeight="1" x14ac:dyDescent="0.25"/>
    <row r="1434" ht="15" customHeight="1" x14ac:dyDescent="0.25"/>
    <row r="1436" ht="15" customHeight="1" x14ac:dyDescent="0.25"/>
    <row r="1438" ht="15" customHeight="1" x14ac:dyDescent="0.25"/>
    <row r="1440" ht="15" customHeight="1" x14ac:dyDescent="0.25"/>
    <row r="1442" ht="15" customHeight="1" x14ac:dyDescent="0.25"/>
    <row r="1444" ht="15" customHeight="1" x14ac:dyDescent="0.25"/>
    <row r="1446" ht="15" customHeight="1" x14ac:dyDescent="0.25"/>
    <row r="1448" ht="15" customHeight="1" x14ac:dyDescent="0.25"/>
    <row r="1450" ht="15" customHeight="1" x14ac:dyDescent="0.25"/>
    <row r="1452" ht="15" customHeight="1" x14ac:dyDescent="0.25"/>
    <row r="1454" ht="15" customHeight="1" x14ac:dyDescent="0.25"/>
    <row r="1456" ht="15" customHeight="1" x14ac:dyDescent="0.25"/>
    <row r="1458" ht="15" customHeight="1" x14ac:dyDescent="0.25"/>
    <row r="1460" ht="15" customHeight="1" x14ac:dyDescent="0.25"/>
    <row r="1462" ht="15" customHeight="1" x14ac:dyDescent="0.25"/>
    <row r="1464" ht="15" customHeight="1" x14ac:dyDescent="0.25"/>
    <row r="1466" ht="15" customHeight="1" x14ac:dyDescent="0.25"/>
    <row r="1468" ht="15" customHeight="1" x14ac:dyDescent="0.25"/>
    <row r="1470" ht="15" customHeight="1" x14ac:dyDescent="0.25"/>
    <row r="1472" ht="15" customHeight="1" x14ac:dyDescent="0.25"/>
    <row r="1474" ht="15" customHeight="1" x14ac:dyDescent="0.25"/>
    <row r="1476" ht="15" customHeight="1" x14ac:dyDescent="0.25"/>
    <row r="1478" ht="15" customHeight="1" x14ac:dyDescent="0.25"/>
    <row r="1480" ht="15" customHeight="1" x14ac:dyDescent="0.25"/>
    <row r="1482" ht="15" customHeight="1" x14ac:dyDescent="0.25"/>
    <row r="1484" ht="15" customHeight="1" x14ac:dyDescent="0.25"/>
    <row r="1486" ht="15" customHeight="1" x14ac:dyDescent="0.25"/>
    <row r="1488" ht="15" customHeight="1" x14ac:dyDescent="0.25"/>
    <row r="1490" ht="15" customHeight="1" x14ac:dyDescent="0.25"/>
    <row r="1492" ht="15" customHeight="1" x14ac:dyDescent="0.25"/>
    <row r="1494" ht="15" customHeight="1" x14ac:dyDescent="0.25"/>
    <row r="1496" ht="15" customHeight="1" x14ac:dyDescent="0.25"/>
    <row r="1498" ht="15" customHeight="1" x14ac:dyDescent="0.25"/>
    <row r="1500" ht="15" customHeight="1" x14ac:dyDescent="0.25"/>
    <row r="1502" ht="15" customHeight="1" x14ac:dyDescent="0.25"/>
    <row r="1504" ht="15" customHeight="1" x14ac:dyDescent="0.25"/>
    <row r="1506" ht="15" customHeight="1" x14ac:dyDescent="0.25"/>
    <row r="1508" ht="15" customHeight="1" x14ac:dyDescent="0.25"/>
    <row r="1510" ht="15" customHeight="1" x14ac:dyDescent="0.25"/>
    <row r="1512" ht="15" customHeight="1" x14ac:dyDescent="0.25"/>
    <row r="1514" ht="15" customHeight="1" x14ac:dyDescent="0.25"/>
    <row r="1516" ht="15" customHeight="1" x14ac:dyDescent="0.25"/>
    <row r="1518" ht="15" customHeight="1" x14ac:dyDescent="0.25"/>
    <row r="1520" ht="15" customHeight="1" x14ac:dyDescent="0.25"/>
    <row r="1522" ht="15" customHeight="1" x14ac:dyDescent="0.25"/>
    <row r="1524" ht="15" customHeight="1" x14ac:dyDescent="0.25"/>
    <row r="1526" ht="15" customHeight="1" x14ac:dyDescent="0.25"/>
    <row r="1528" ht="15" customHeight="1" x14ac:dyDescent="0.25"/>
    <row r="1530" ht="15" customHeight="1" x14ac:dyDescent="0.25"/>
    <row r="1532" ht="15" customHeight="1" x14ac:dyDescent="0.25"/>
    <row r="1534" ht="15" customHeight="1" x14ac:dyDescent="0.25"/>
    <row r="1536" ht="15" customHeight="1" x14ac:dyDescent="0.25"/>
    <row r="1538" ht="15" customHeight="1" x14ac:dyDescent="0.25"/>
    <row r="1540" ht="15" customHeight="1" x14ac:dyDescent="0.25"/>
    <row r="1542" ht="15" customHeight="1" x14ac:dyDescent="0.25"/>
    <row r="1544" ht="15" customHeight="1" x14ac:dyDescent="0.25"/>
    <row r="1546" ht="15" customHeight="1" x14ac:dyDescent="0.25"/>
    <row r="1548" ht="15" customHeight="1" x14ac:dyDescent="0.25"/>
    <row r="1550" ht="15" customHeight="1" x14ac:dyDescent="0.25"/>
    <row r="1552" ht="15" customHeight="1" x14ac:dyDescent="0.25"/>
    <row r="1554" ht="15" customHeight="1" x14ac:dyDescent="0.25"/>
    <row r="1556" ht="15" customHeight="1" x14ac:dyDescent="0.25"/>
    <row r="1558" ht="15" customHeight="1" x14ac:dyDescent="0.25"/>
    <row r="1560" ht="15" customHeight="1" x14ac:dyDescent="0.25"/>
    <row r="1562" ht="15" customHeight="1" x14ac:dyDescent="0.25"/>
    <row r="1564" ht="15" customHeight="1" x14ac:dyDescent="0.25"/>
    <row r="1566" ht="15" customHeight="1" x14ac:dyDescent="0.25"/>
    <row r="1568" ht="15" customHeight="1" x14ac:dyDescent="0.25"/>
    <row r="1570" ht="15" customHeight="1" x14ac:dyDescent="0.25"/>
    <row r="1572" ht="15" customHeight="1" x14ac:dyDescent="0.25"/>
    <row r="1574" ht="15" customHeight="1" x14ac:dyDescent="0.25"/>
    <row r="1576" ht="15" customHeight="1" x14ac:dyDescent="0.25"/>
    <row r="1578" ht="15" customHeight="1" x14ac:dyDescent="0.25"/>
    <row r="1580" ht="15" customHeight="1" x14ac:dyDescent="0.25"/>
    <row r="1582" ht="15" customHeight="1" x14ac:dyDescent="0.25"/>
    <row r="1584" ht="15" customHeight="1" x14ac:dyDescent="0.25"/>
    <row r="1586" ht="15" customHeight="1" x14ac:dyDescent="0.25"/>
    <row r="1588" ht="15" customHeight="1" x14ac:dyDescent="0.25"/>
    <row r="1590" ht="15" customHeight="1" x14ac:dyDescent="0.25"/>
    <row r="1592" ht="15" customHeight="1" x14ac:dyDescent="0.25"/>
    <row r="1594" ht="15" customHeight="1" x14ac:dyDescent="0.25"/>
    <row r="1596" ht="15" customHeight="1" x14ac:dyDescent="0.25"/>
    <row r="1598" ht="15" customHeight="1" x14ac:dyDescent="0.25"/>
    <row r="1600" ht="15" customHeight="1" x14ac:dyDescent="0.25"/>
    <row r="1602" ht="15" customHeight="1" x14ac:dyDescent="0.25"/>
    <row r="1604" ht="15" customHeight="1" x14ac:dyDescent="0.25"/>
    <row r="1606" ht="15" customHeight="1" x14ac:dyDescent="0.25"/>
    <row r="1608" ht="15" customHeight="1" x14ac:dyDescent="0.25"/>
    <row r="1610" ht="15" customHeight="1" x14ac:dyDescent="0.25"/>
    <row r="1612" ht="15" customHeight="1" x14ac:dyDescent="0.25"/>
    <row r="1614" ht="15" customHeight="1" x14ac:dyDescent="0.25"/>
    <row r="1616" ht="15" customHeight="1" x14ac:dyDescent="0.25"/>
    <row r="1618" ht="15" customHeight="1" x14ac:dyDescent="0.25"/>
    <row r="1620" ht="15" customHeight="1" x14ac:dyDescent="0.25"/>
    <row r="1622" ht="15" customHeight="1" x14ac:dyDescent="0.25"/>
    <row r="1624" ht="15" customHeight="1" x14ac:dyDescent="0.25"/>
    <row r="1626" ht="15" customHeight="1" x14ac:dyDescent="0.25"/>
    <row r="1628" ht="15" customHeight="1" x14ac:dyDescent="0.25"/>
    <row r="1630" ht="15" customHeight="1" x14ac:dyDescent="0.25"/>
    <row r="1632" ht="15" customHeight="1" x14ac:dyDescent="0.25"/>
    <row r="1634" ht="15" customHeight="1" x14ac:dyDescent="0.25"/>
    <row r="1636" ht="15" customHeight="1" x14ac:dyDescent="0.25"/>
    <row r="1638" ht="15" customHeight="1" x14ac:dyDescent="0.25"/>
    <row r="1640" ht="15" customHeight="1" x14ac:dyDescent="0.25"/>
    <row r="1642" ht="15" customHeight="1" x14ac:dyDescent="0.25"/>
    <row r="1644" ht="15" customHeight="1" x14ac:dyDescent="0.25"/>
    <row r="1646" ht="15" customHeight="1" x14ac:dyDescent="0.25"/>
    <row r="1648" ht="15" customHeight="1" x14ac:dyDescent="0.25"/>
    <row r="1650" ht="15" customHeight="1" x14ac:dyDescent="0.25"/>
    <row r="1652" ht="15" customHeight="1" x14ac:dyDescent="0.25"/>
    <row r="1654" ht="15" customHeight="1" x14ac:dyDescent="0.25"/>
    <row r="1656" ht="15" customHeight="1" x14ac:dyDescent="0.25"/>
    <row r="1658" ht="15" customHeight="1" x14ac:dyDescent="0.25"/>
    <row r="1660" ht="15" customHeight="1" x14ac:dyDescent="0.25"/>
    <row r="1662" ht="15" customHeight="1" x14ac:dyDescent="0.25"/>
    <row r="1664" ht="15" customHeight="1" x14ac:dyDescent="0.25"/>
    <row r="1666" ht="15" customHeight="1" x14ac:dyDescent="0.25"/>
    <row r="1668" ht="15" customHeight="1" x14ac:dyDescent="0.25"/>
    <row r="1670" ht="15" customHeight="1" x14ac:dyDescent="0.25"/>
    <row r="1672" ht="15" customHeight="1" x14ac:dyDescent="0.25"/>
    <row r="1674" ht="15" customHeight="1" x14ac:dyDescent="0.25"/>
    <row r="1676" ht="15" customHeight="1" x14ac:dyDescent="0.25"/>
    <row r="1678" ht="15" customHeight="1" x14ac:dyDescent="0.25"/>
    <row r="1680" ht="15" customHeight="1" x14ac:dyDescent="0.25"/>
    <row r="1682" ht="15" customHeight="1" x14ac:dyDescent="0.25"/>
    <row r="1684" ht="15" customHeight="1" x14ac:dyDescent="0.25"/>
    <row r="1686" ht="15" customHeight="1" x14ac:dyDescent="0.25"/>
    <row r="1688" ht="15" customHeight="1" x14ac:dyDescent="0.25"/>
    <row r="1690" ht="15" customHeight="1" x14ac:dyDescent="0.25"/>
    <row r="1692" ht="15" customHeight="1" x14ac:dyDescent="0.25"/>
    <row r="1694" ht="15" customHeight="1" x14ac:dyDescent="0.25"/>
    <row r="1696" ht="15" customHeight="1" x14ac:dyDescent="0.25"/>
    <row r="1698" ht="15" customHeight="1" x14ac:dyDescent="0.25"/>
    <row r="1700" ht="15" customHeight="1" x14ac:dyDescent="0.25"/>
    <row r="1702" ht="15" customHeight="1" x14ac:dyDescent="0.25"/>
    <row r="1704" ht="15" customHeight="1" x14ac:dyDescent="0.25"/>
    <row r="1706" ht="15" customHeight="1" x14ac:dyDescent="0.25"/>
    <row r="1708" ht="15" customHeight="1" x14ac:dyDescent="0.25"/>
    <row r="1710" ht="15" customHeight="1" x14ac:dyDescent="0.25"/>
    <row r="1712" ht="15" customHeight="1" x14ac:dyDescent="0.25"/>
    <row r="1714" ht="15" customHeight="1" x14ac:dyDescent="0.25"/>
    <row r="1716" ht="15" customHeight="1" x14ac:dyDescent="0.25"/>
    <row r="1718" ht="15" customHeight="1" x14ac:dyDescent="0.25"/>
    <row r="1720" ht="15" customHeight="1" x14ac:dyDescent="0.25"/>
    <row r="1722" ht="15" customHeight="1" x14ac:dyDescent="0.25"/>
    <row r="1724" ht="15" customHeight="1" x14ac:dyDescent="0.25"/>
    <row r="1726" ht="15" customHeight="1" x14ac:dyDescent="0.25"/>
    <row r="1728" ht="15" customHeight="1" x14ac:dyDescent="0.25"/>
    <row r="1730" ht="15" customHeight="1" x14ac:dyDescent="0.25"/>
    <row r="1732" ht="15" customHeight="1" x14ac:dyDescent="0.25"/>
    <row r="1734" ht="15" customHeight="1" x14ac:dyDescent="0.25"/>
    <row r="1736" ht="15" customHeight="1" x14ac:dyDescent="0.25"/>
    <row r="1738" ht="15" customHeight="1" x14ac:dyDescent="0.25"/>
    <row r="1740" ht="15" customHeight="1" x14ac:dyDescent="0.25"/>
    <row r="1742" ht="15" customHeight="1" x14ac:dyDescent="0.25"/>
    <row r="1744" ht="15" customHeight="1" x14ac:dyDescent="0.25"/>
    <row r="1746" ht="15" customHeight="1" x14ac:dyDescent="0.25"/>
    <row r="1748" ht="15" customHeight="1" x14ac:dyDescent="0.25"/>
    <row r="1750" ht="15" customHeight="1" x14ac:dyDescent="0.25"/>
    <row r="1752" ht="15" customHeight="1" x14ac:dyDescent="0.25"/>
    <row r="1754" ht="15" customHeight="1" x14ac:dyDescent="0.25"/>
    <row r="1756" ht="15" customHeight="1" x14ac:dyDescent="0.25"/>
    <row r="1758" ht="15" customHeight="1" x14ac:dyDescent="0.25"/>
    <row r="1760" ht="15" customHeight="1" x14ac:dyDescent="0.25"/>
    <row r="1762" ht="15" customHeight="1" x14ac:dyDescent="0.25"/>
    <row r="1764" ht="15" customHeight="1" x14ac:dyDescent="0.25"/>
    <row r="1766" ht="15" customHeight="1" x14ac:dyDescent="0.25"/>
    <row r="1768" ht="15" customHeight="1" x14ac:dyDescent="0.25"/>
    <row r="1770" ht="15" customHeight="1" x14ac:dyDescent="0.25"/>
    <row r="1772" ht="15" customHeight="1" x14ac:dyDescent="0.25"/>
    <row r="1774" ht="15" customHeight="1" x14ac:dyDescent="0.25"/>
    <row r="1776" ht="15" customHeight="1" x14ac:dyDescent="0.25"/>
    <row r="1778" ht="15" customHeight="1" x14ac:dyDescent="0.25"/>
    <row r="1780" ht="15" customHeight="1" x14ac:dyDescent="0.25"/>
    <row r="1782" ht="15" customHeight="1" x14ac:dyDescent="0.25"/>
    <row r="1784" ht="15" customHeight="1" x14ac:dyDescent="0.25"/>
    <row r="1786" ht="15" customHeight="1" x14ac:dyDescent="0.25"/>
    <row r="1788" ht="15" customHeight="1" x14ac:dyDescent="0.25"/>
    <row r="1790" ht="15" customHeight="1" x14ac:dyDescent="0.25"/>
    <row r="1792" ht="15" customHeight="1" x14ac:dyDescent="0.25"/>
    <row r="1794" ht="15" customHeight="1" x14ac:dyDescent="0.25"/>
    <row r="1796" ht="15" customHeight="1" x14ac:dyDescent="0.25"/>
    <row r="1798" ht="15" customHeight="1" x14ac:dyDescent="0.25"/>
    <row r="1800" ht="15" customHeight="1" x14ac:dyDescent="0.25"/>
    <row r="1802" ht="15" customHeight="1" x14ac:dyDescent="0.25"/>
    <row r="1804" ht="15" customHeight="1" x14ac:dyDescent="0.25"/>
    <row r="1806" ht="15" customHeight="1" x14ac:dyDescent="0.25"/>
    <row r="1808" ht="15" customHeight="1" x14ac:dyDescent="0.25"/>
    <row r="1810" ht="15" customHeight="1" x14ac:dyDescent="0.25"/>
    <row r="1812" ht="15" customHeight="1" x14ac:dyDescent="0.25"/>
    <row r="1814" ht="15" customHeight="1" x14ac:dyDescent="0.25"/>
    <row r="1816" ht="15" customHeight="1" x14ac:dyDescent="0.25"/>
    <row r="1818" ht="15" customHeight="1" x14ac:dyDescent="0.25"/>
    <row r="1820" ht="15" customHeight="1" x14ac:dyDescent="0.25"/>
    <row r="1822" ht="15" customHeight="1" x14ac:dyDescent="0.25"/>
    <row r="1824" ht="15" customHeight="1" x14ac:dyDescent="0.25"/>
    <row r="1826" ht="15" customHeight="1" x14ac:dyDescent="0.25"/>
    <row r="1828" ht="15" customHeight="1" x14ac:dyDescent="0.25"/>
    <row r="1830" ht="15" customHeight="1" x14ac:dyDescent="0.25"/>
    <row r="1832" ht="15" customHeight="1" x14ac:dyDescent="0.25"/>
    <row r="1834" ht="15" customHeight="1" x14ac:dyDescent="0.25"/>
    <row r="1836" ht="15" customHeight="1" x14ac:dyDescent="0.25"/>
    <row r="1838" ht="15" customHeight="1" x14ac:dyDescent="0.25"/>
    <row r="1840" ht="15" customHeight="1" x14ac:dyDescent="0.25"/>
    <row r="1842" ht="15" customHeight="1" x14ac:dyDescent="0.25"/>
    <row r="1844" ht="15" customHeight="1" x14ac:dyDescent="0.25"/>
    <row r="1846" ht="15" customHeight="1" x14ac:dyDescent="0.25"/>
    <row r="1848" ht="15" customHeight="1" x14ac:dyDescent="0.25"/>
    <row r="1850" ht="15" customHeight="1" x14ac:dyDescent="0.25"/>
    <row r="1852" ht="15" customHeight="1" x14ac:dyDescent="0.25"/>
    <row r="1854" ht="15" customHeight="1" x14ac:dyDescent="0.25"/>
    <row r="1856" ht="15" customHeight="1" x14ac:dyDescent="0.25"/>
    <row r="1858" ht="15" customHeight="1" x14ac:dyDescent="0.25"/>
    <row r="1860" ht="15" customHeight="1" x14ac:dyDescent="0.25"/>
    <row r="1862" ht="15" customHeight="1" x14ac:dyDescent="0.25"/>
    <row r="1864" ht="15" customHeight="1" x14ac:dyDescent="0.25"/>
    <row r="1866" ht="15" customHeight="1" x14ac:dyDescent="0.25"/>
    <row r="1868" ht="15" customHeight="1" x14ac:dyDescent="0.25"/>
    <row r="1870" ht="15" customHeight="1" x14ac:dyDescent="0.25"/>
    <row r="1872" ht="15" customHeight="1" x14ac:dyDescent="0.25"/>
    <row r="1874" ht="15" customHeight="1" x14ac:dyDescent="0.25"/>
    <row r="1876" ht="15" customHeight="1" x14ac:dyDescent="0.25"/>
    <row r="1878" ht="15" customHeight="1" x14ac:dyDescent="0.25"/>
    <row r="1880" ht="15" customHeight="1" x14ac:dyDescent="0.25"/>
    <row r="1882" ht="15" customHeight="1" x14ac:dyDescent="0.25"/>
    <row r="1884" ht="15" customHeight="1" x14ac:dyDescent="0.25"/>
    <row r="1886" ht="15" customHeight="1" x14ac:dyDescent="0.25"/>
    <row r="1888" ht="15" customHeight="1" x14ac:dyDescent="0.25"/>
    <row r="1890" ht="15" customHeight="1" x14ac:dyDescent="0.25"/>
    <row r="1892" ht="15" customHeight="1" x14ac:dyDescent="0.25"/>
    <row r="1894" ht="15" customHeight="1" x14ac:dyDescent="0.25"/>
    <row r="1896" ht="15" customHeight="1" x14ac:dyDescent="0.25"/>
    <row r="1898" ht="15" customHeight="1" x14ac:dyDescent="0.25"/>
    <row r="1900" ht="15" customHeight="1" x14ac:dyDescent="0.25"/>
    <row r="1902" ht="15" customHeight="1" x14ac:dyDescent="0.25"/>
    <row r="1904" ht="15" customHeight="1" x14ac:dyDescent="0.25"/>
    <row r="1906" ht="15" customHeight="1" x14ac:dyDescent="0.25"/>
    <row r="1908" ht="15" customHeight="1" x14ac:dyDescent="0.25"/>
    <row r="1910" ht="15" customHeight="1" x14ac:dyDescent="0.25"/>
    <row r="1912" ht="15" customHeight="1" x14ac:dyDescent="0.25"/>
    <row r="1914" ht="15" customHeight="1" x14ac:dyDescent="0.25"/>
    <row r="1916" ht="15" customHeight="1" x14ac:dyDescent="0.25"/>
    <row r="1918" ht="15" customHeight="1" x14ac:dyDescent="0.25"/>
    <row r="1920" ht="15" customHeight="1" x14ac:dyDescent="0.25"/>
    <row r="1922" ht="15" customHeight="1" x14ac:dyDescent="0.25"/>
    <row r="1924" ht="15" customHeight="1" x14ac:dyDescent="0.25"/>
    <row r="1926" ht="15" customHeight="1" x14ac:dyDescent="0.25"/>
    <row r="1928" ht="15" customHeight="1" x14ac:dyDescent="0.25"/>
    <row r="1930" ht="15" customHeight="1" x14ac:dyDescent="0.25"/>
    <row r="1932" ht="15" customHeight="1" x14ac:dyDescent="0.25"/>
    <row r="1934" ht="15" customHeight="1" x14ac:dyDescent="0.25"/>
    <row r="1936" ht="15" customHeight="1" x14ac:dyDescent="0.25"/>
    <row r="1938" ht="15" customHeight="1" x14ac:dyDescent="0.25"/>
    <row r="1940" ht="15" customHeight="1" x14ac:dyDescent="0.25"/>
    <row r="1942" ht="15" customHeight="1" x14ac:dyDescent="0.25"/>
    <row r="1944" ht="15" customHeight="1" x14ac:dyDescent="0.25"/>
    <row r="1946" ht="15" customHeight="1" x14ac:dyDescent="0.25"/>
    <row r="1948" ht="15" customHeight="1" x14ac:dyDescent="0.25"/>
    <row r="1950" ht="15" customHeight="1" x14ac:dyDescent="0.25"/>
    <row r="1952" ht="15" customHeight="1" x14ac:dyDescent="0.25"/>
    <row r="1954" ht="15" customHeight="1" x14ac:dyDescent="0.25"/>
    <row r="1956" ht="15" customHeight="1" x14ac:dyDescent="0.25"/>
    <row r="1958" ht="15" customHeight="1" x14ac:dyDescent="0.25"/>
    <row r="1960" ht="15" customHeight="1" x14ac:dyDescent="0.25"/>
    <row r="1962" ht="15" customHeight="1" x14ac:dyDescent="0.25"/>
    <row r="1964" ht="15" customHeight="1" x14ac:dyDescent="0.25"/>
    <row r="1966" ht="15" customHeight="1" x14ac:dyDescent="0.25"/>
    <row r="1968" ht="15" customHeight="1" x14ac:dyDescent="0.25"/>
    <row r="1970" ht="15" customHeight="1" x14ac:dyDescent="0.25"/>
    <row r="1972" ht="15" customHeight="1" x14ac:dyDescent="0.25"/>
    <row r="1974" ht="15" customHeight="1" x14ac:dyDescent="0.25"/>
    <row r="1976" ht="15" customHeight="1" x14ac:dyDescent="0.25"/>
    <row r="1978" ht="15" customHeight="1" x14ac:dyDescent="0.25"/>
    <row r="1980" ht="15" customHeight="1" x14ac:dyDescent="0.25"/>
    <row r="1982" ht="15" customHeight="1" x14ac:dyDescent="0.25"/>
    <row r="1984" ht="15" customHeight="1" x14ac:dyDescent="0.25"/>
    <row r="1986" ht="15" customHeight="1" x14ac:dyDescent="0.25"/>
    <row r="1988" ht="15" customHeight="1" x14ac:dyDescent="0.25"/>
    <row r="1990" ht="15" customHeight="1" x14ac:dyDescent="0.25"/>
    <row r="1992" ht="15" customHeight="1" x14ac:dyDescent="0.25"/>
    <row r="1994" ht="15" customHeight="1" x14ac:dyDescent="0.25"/>
    <row r="1996" ht="15" customHeight="1" x14ac:dyDescent="0.25"/>
    <row r="1998" ht="15" customHeight="1" x14ac:dyDescent="0.25"/>
    <row r="2000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10" ht="15" customHeight="1" x14ac:dyDescent="0.25"/>
    <row r="2012" ht="15" customHeight="1" x14ac:dyDescent="0.25"/>
    <row r="2014" ht="15" customHeight="1" x14ac:dyDescent="0.25"/>
    <row r="2016" ht="15" customHeight="1" x14ac:dyDescent="0.25"/>
    <row r="2018" ht="15" customHeight="1" x14ac:dyDescent="0.25"/>
    <row r="2020" ht="15" customHeight="1" x14ac:dyDescent="0.25"/>
    <row r="2022" ht="15" customHeight="1" x14ac:dyDescent="0.25"/>
    <row r="2024" ht="15" customHeight="1" x14ac:dyDescent="0.25"/>
    <row r="2026" ht="15" customHeight="1" x14ac:dyDescent="0.25"/>
    <row r="2028" ht="15" customHeight="1" x14ac:dyDescent="0.25"/>
    <row r="2030" ht="15" customHeight="1" x14ac:dyDescent="0.25"/>
    <row r="2032" ht="15" customHeight="1" x14ac:dyDescent="0.25"/>
    <row r="2034" ht="15" customHeight="1" x14ac:dyDescent="0.25"/>
    <row r="2036" ht="15" customHeight="1" x14ac:dyDescent="0.25"/>
    <row r="2038" ht="15" customHeight="1" x14ac:dyDescent="0.25"/>
    <row r="2040" ht="15" customHeight="1" x14ac:dyDescent="0.25"/>
    <row r="2042" ht="15" customHeight="1" x14ac:dyDescent="0.25"/>
    <row r="2044" ht="15" customHeight="1" x14ac:dyDescent="0.25"/>
    <row r="2046" ht="15" customHeight="1" x14ac:dyDescent="0.25"/>
    <row r="2048" ht="15" customHeight="1" x14ac:dyDescent="0.25"/>
    <row r="2050" ht="15" customHeight="1" x14ac:dyDescent="0.25"/>
    <row r="2052" ht="15" customHeight="1" x14ac:dyDescent="0.25"/>
    <row r="2054" ht="15" customHeight="1" x14ac:dyDescent="0.25"/>
    <row r="2056" ht="15" customHeight="1" x14ac:dyDescent="0.25"/>
    <row r="2058" ht="15" customHeight="1" x14ac:dyDescent="0.25"/>
    <row r="2060" ht="15" customHeight="1" x14ac:dyDescent="0.25"/>
    <row r="2062" ht="15" customHeight="1" x14ac:dyDescent="0.25"/>
    <row r="2064" ht="15" customHeight="1" x14ac:dyDescent="0.25"/>
    <row r="2066" ht="15" customHeight="1" x14ac:dyDescent="0.25"/>
    <row r="2068" ht="15" customHeight="1" x14ac:dyDescent="0.25"/>
    <row r="2070" ht="15" customHeight="1" x14ac:dyDescent="0.25"/>
    <row r="2072" ht="15" customHeight="1" x14ac:dyDescent="0.25"/>
    <row r="2074" ht="15" customHeight="1" x14ac:dyDescent="0.25"/>
    <row r="2076" ht="15" customHeight="1" x14ac:dyDescent="0.25"/>
    <row r="2078" ht="15" customHeight="1" x14ac:dyDescent="0.25"/>
    <row r="2080" ht="15" customHeight="1" x14ac:dyDescent="0.25"/>
    <row r="2082" ht="15" customHeight="1" x14ac:dyDescent="0.25"/>
    <row r="2084" ht="15" customHeight="1" x14ac:dyDescent="0.25"/>
    <row r="2086" ht="15" customHeight="1" x14ac:dyDescent="0.25"/>
    <row r="2088" ht="15" customHeight="1" x14ac:dyDescent="0.25"/>
    <row r="2090" ht="15" customHeight="1" x14ac:dyDescent="0.25"/>
    <row r="2092" ht="15" customHeight="1" x14ac:dyDescent="0.25"/>
    <row r="2094" ht="15" customHeight="1" x14ac:dyDescent="0.25"/>
    <row r="2096" ht="15" customHeight="1" x14ac:dyDescent="0.25"/>
    <row r="2098" ht="15" customHeight="1" x14ac:dyDescent="0.25"/>
    <row r="2100" ht="15" customHeight="1" x14ac:dyDescent="0.25"/>
    <row r="2102" ht="15" customHeight="1" x14ac:dyDescent="0.25"/>
    <row r="2104" ht="15" customHeight="1" x14ac:dyDescent="0.25"/>
    <row r="2106" ht="15" customHeight="1" x14ac:dyDescent="0.25"/>
    <row r="2108" ht="15" customHeight="1" x14ac:dyDescent="0.25"/>
    <row r="2110" ht="15" customHeight="1" x14ac:dyDescent="0.25"/>
    <row r="2112" ht="15" customHeight="1" x14ac:dyDescent="0.25"/>
    <row r="2114" ht="15" customHeight="1" x14ac:dyDescent="0.25"/>
    <row r="2116" ht="15" customHeight="1" x14ac:dyDescent="0.25"/>
    <row r="2118" ht="15" customHeight="1" x14ac:dyDescent="0.25"/>
    <row r="2120" ht="15" customHeight="1" x14ac:dyDescent="0.25"/>
    <row r="2122" ht="15" customHeight="1" x14ac:dyDescent="0.25"/>
    <row r="2124" ht="15" customHeight="1" x14ac:dyDescent="0.25"/>
    <row r="2126" ht="15" customHeight="1" x14ac:dyDescent="0.25"/>
    <row r="2128" ht="15" customHeight="1" x14ac:dyDescent="0.25"/>
    <row r="2130" ht="15" customHeight="1" x14ac:dyDescent="0.25"/>
    <row r="2132" ht="15" customHeight="1" x14ac:dyDescent="0.25"/>
    <row r="2134" ht="15" customHeight="1" x14ac:dyDescent="0.25"/>
    <row r="2136" ht="15" customHeight="1" x14ac:dyDescent="0.25"/>
    <row r="2138" ht="15" customHeight="1" x14ac:dyDescent="0.25"/>
    <row r="2140" ht="15" customHeight="1" x14ac:dyDescent="0.25"/>
    <row r="2142" ht="15" customHeight="1" x14ac:dyDescent="0.25"/>
    <row r="2144" ht="15" customHeight="1" x14ac:dyDescent="0.25"/>
    <row r="2146" ht="15" customHeight="1" x14ac:dyDescent="0.25"/>
    <row r="2148" ht="15" customHeight="1" x14ac:dyDescent="0.25"/>
    <row r="2150" ht="15" customHeight="1" x14ac:dyDescent="0.25"/>
    <row r="2152" ht="15" customHeight="1" x14ac:dyDescent="0.25"/>
    <row r="2154" ht="15" customHeight="1" x14ac:dyDescent="0.25"/>
    <row r="2156" ht="15" customHeight="1" x14ac:dyDescent="0.25"/>
    <row r="2158" ht="15" customHeight="1" x14ac:dyDescent="0.25"/>
    <row r="2160" ht="15" customHeight="1" x14ac:dyDescent="0.25"/>
    <row r="2162" ht="15" customHeight="1" x14ac:dyDescent="0.25"/>
    <row r="2164" ht="15" customHeight="1" x14ac:dyDescent="0.25"/>
    <row r="2166" ht="15" customHeight="1" x14ac:dyDescent="0.25"/>
    <row r="2168" ht="15" customHeight="1" x14ac:dyDescent="0.25"/>
    <row r="2170" ht="15" customHeight="1" x14ac:dyDescent="0.25"/>
    <row r="2172" ht="15" customHeight="1" x14ac:dyDescent="0.25"/>
    <row r="2174" ht="15" customHeight="1" x14ac:dyDescent="0.25"/>
    <row r="2176" ht="15" customHeight="1" x14ac:dyDescent="0.25"/>
    <row r="2178" ht="15" customHeight="1" x14ac:dyDescent="0.25"/>
    <row r="2180" ht="15" customHeight="1" x14ac:dyDescent="0.25"/>
    <row r="2182" ht="15" customHeight="1" x14ac:dyDescent="0.25"/>
    <row r="2184" ht="15" customHeight="1" x14ac:dyDescent="0.25"/>
    <row r="2186" ht="15" customHeight="1" x14ac:dyDescent="0.25"/>
    <row r="2188" ht="15" customHeight="1" x14ac:dyDescent="0.25"/>
    <row r="2190" ht="15" customHeight="1" x14ac:dyDescent="0.25"/>
    <row r="2192" ht="15" customHeight="1" x14ac:dyDescent="0.25"/>
    <row r="2194" ht="15" customHeight="1" x14ac:dyDescent="0.25"/>
    <row r="2196" ht="15" customHeight="1" x14ac:dyDescent="0.25"/>
    <row r="2198" ht="15" customHeight="1" x14ac:dyDescent="0.25"/>
    <row r="2200" ht="15" customHeight="1" x14ac:dyDescent="0.25"/>
    <row r="2202" ht="15" customHeight="1" x14ac:dyDescent="0.25"/>
    <row r="2204" ht="15" customHeight="1" x14ac:dyDescent="0.25"/>
    <row r="2206" ht="15" customHeight="1" x14ac:dyDescent="0.25"/>
    <row r="2208" ht="15" customHeight="1" x14ac:dyDescent="0.25"/>
    <row r="2210" ht="15" customHeight="1" x14ac:dyDescent="0.25"/>
    <row r="2212" ht="15" customHeight="1" x14ac:dyDescent="0.25"/>
    <row r="2214" ht="15" customHeight="1" x14ac:dyDescent="0.25"/>
    <row r="2216" ht="15" customHeight="1" x14ac:dyDescent="0.25"/>
    <row r="2218" ht="15" customHeight="1" x14ac:dyDescent="0.25"/>
    <row r="2220" ht="15" customHeight="1" x14ac:dyDescent="0.25"/>
    <row r="2222" ht="15" customHeight="1" x14ac:dyDescent="0.25"/>
    <row r="2224" ht="15" customHeight="1" x14ac:dyDescent="0.25"/>
    <row r="2226" ht="15" customHeight="1" x14ac:dyDescent="0.25"/>
    <row r="2228" ht="15" customHeight="1" x14ac:dyDescent="0.25"/>
    <row r="2230" ht="15" customHeight="1" x14ac:dyDescent="0.25"/>
    <row r="2232" ht="15" customHeight="1" x14ac:dyDescent="0.25"/>
    <row r="2234" ht="15" customHeight="1" x14ac:dyDescent="0.25"/>
    <row r="2236" ht="15" customHeight="1" x14ac:dyDescent="0.25"/>
    <row r="2238" ht="15" customHeight="1" x14ac:dyDescent="0.25"/>
    <row r="2240" ht="15" customHeight="1" x14ac:dyDescent="0.25"/>
    <row r="2242" ht="15" customHeight="1" x14ac:dyDescent="0.25"/>
    <row r="2244" ht="15" customHeight="1" x14ac:dyDescent="0.25"/>
    <row r="2246" ht="15" customHeight="1" x14ac:dyDescent="0.25"/>
    <row r="2248" ht="15" customHeight="1" x14ac:dyDescent="0.25"/>
    <row r="2250" ht="15" customHeight="1" x14ac:dyDescent="0.25"/>
    <row r="2252" ht="15" customHeight="1" x14ac:dyDescent="0.25"/>
    <row r="2254" ht="15" customHeight="1" x14ac:dyDescent="0.25"/>
    <row r="2256" ht="15" customHeight="1" x14ac:dyDescent="0.25"/>
    <row r="2258" ht="15" customHeight="1" x14ac:dyDescent="0.25"/>
    <row r="2260" ht="15" customHeight="1" x14ac:dyDescent="0.25"/>
    <row r="2262" ht="15" customHeight="1" x14ac:dyDescent="0.25"/>
    <row r="2264" ht="15" customHeight="1" x14ac:dyDescent="0.25"/>
    <row r="2266" ht="15" customHeight="1" x14ac:dyDescent="0.25"/>
    <row r="2268" ht="15" customHeight="1" x14ac:dyDescent="0.25"/>
    <row r="2270" ht="15" customHeight="1" x14ac:dyDescent="0.25"/>
    <row r="2272" ht="15" customHeight="1" x14ac:dyDescent="0.25"/>
    <row r="2274" ht="15" customHeight="1" x14ac:dyDescent="0.25"/>
    <row r="2276" ht="15" customHeight="1" x14ac:dyDescent="0.25"/>
    <row r="2278" ht="15" customHeight="1" x14ac:dyDescent="0.25"/>
    <row r="2280" ht="15" customHeight="1" x14ac:dyDescent="0.25"/>
    <row r="2282" ht="15" customHeight="1" x14ac:dyDescent="0.25"/>
    <row r="2284" ht="15" customHeight="1" x14ac:dyDescent="0.25"/>
    <row r="2286" ht="15" customHeight="1" x14ac:dyDescent="0.25"/>
    <row r="2288" ht="15" customHeight="1" x14ac:dyDescent="0.25"/>
    <row r="2290" ht="15" customHeight="1" x14ac:dyDescent="0.25"/>
    <row r="2292" ht="15" customHeight="1" x14ac:dyDescent="0.25"/>
    <row r="2294" ht="15" customHeight="1" x14ac:dyDescent="0.25"/>
    <row r="2296" ht="15" customHeight="1" x14ac:dyDescent="0.25"/>
    <row r="2298" ht="15" customHeight="1" x14ac:dyDescent="0.25"/>
    <row r="2300" ht="15" customHeight="1" x14ac:dyDescent="0.25"/>
    <row r="2302" ht="15" customHeight="1" x14ac:dyDescent="0.25"/>
    <row r="2304" ht="15" customHeight="1" x14ac:dyDescent="0.25"/>
    <row r="2306" ht="15" customHeight="1" x14ac:dyDescent="0.25"/>
    <row r="2308" ht="15" customHeight="1" x14ac:dyDescent="0.25"/>
    <row r="2310" ht="15" customHeight="1" x14ac:dyDescent="0.25"/>
    <row r="2312" ht="15" customHeight="1" x14ac:dyDescent="0.25"/>
    <row r="2314" ht="15" customHeight="1" x14ac:dyDescent="0.25"/>
    <row r="2316" ht="15" customHeight="1" x14ac:dyDescent="0.25"/>
    <row r="2318" ht="15" customHeight="1" x14ac:dyDescent="0.25"/>
    <row r="2320" ht="15" customHeight="1" x14ac:dyDescent="0.25"/>
    <row r="2322" ht="15" customHeight="1" x14ac:dyDescent="0.25"/>
    <row r="2324" ht="15" customHeight="1" x14ac:dyDescent="0.25"/>
    <row r="2326" ht="15" customHeight="1" x14ac:dyDescent="0.25"/>
    <row r="2328" ht="15" customHeight="1" x14ac:dyDescent="0.25"/>
    <row r="2330" ht="15" customHeight="1" x14ac:dyDescent="0.25"/>
    <row r="2332" ht="15" customHeight="1" x14ac:dyDescent="0.25"/>
    <row r="2334" ht="15" customHeight="1" x14ac:dyDescent="0.25"/>
    <row r="2336" ht="15" customHeight="1" x14ac:dyDescent="0.25"/>
    <row r="2338" ht="15" customHeight="1" x14ac:dyDescent="0.25"/>
    <row r="2340" ht="15" customHeight="1" x14ac:dyDescent="0.25"/>
    <row r="2342" ht="15" customHeight="1" x14ac:dyDescent="0.25"/>
    <row r="2344" ht="15" customHeight="1" x14ac:dyDescent="0.25"/>
    <row r="2346" ht="15" customHeight="1" x14ac:dyDescent="0.25"/>
    <row r="2348" ht="15" customHeight="1" x14ac:dyDescent="0.25"/>
    <row r="2350" ht="15" customHeight="1" x14ac:dyDescent="0.25"/>
    <row r="2352" ht="15" customHeight="1" x14ac:dyDescent="0.25"/>
    <row r="2354" ht="15" customHeight="1" x14ac:dyDescent="0.25"/>
    <row r="2356" ht="15" customHeight="1" x14ac:dyDescent="0.25"/>
    <row r="2358" ht="15" customHeight="1" x14ac:dyDescent="0.25"/>
    <row r="2360" ht="15" customHeight="1" x14ac:dyDescent="0.25"/>
    <row r="2362" ht="15" customHeight="1" x14ac:dyDescent="0.25"/>
    <row r="2364" ht="15" customHeight="1" x14ac:dyDescent="0.25"/>
    <row r="2366" ht="15" customHeight="1" x14ac:dyDescent="0.25"/>
    <row r="2368" ht="15" customHeight="1" x14ac:dyDescent="0.25"/>
    <row r="2370" ht="15" customHeight="1" x14ac:dyDescent="0.25"/>
    <row r="2372" ht="15" customHeight="1" x14ac:dyDescent="0.25"/>
    <row r="2374" ht="15" customHeight="1" x14ac:dyDescent="0.25"/>
    <row r="2376" ht="15" customHeight="1" x14ac:dyDescent="0.25"/>
    <row r="2378" ht="15" customHeight="1" x14ac:dyDescent="0.25"/>
    <row r="2380" ht="15" customHeight="1" x14ac:dyDescent="0.25"/>
    <row r="2382" ht="15" customHeight="1" x14ac:dyDescent="0.25"/>
    <row r="2384" ht="15" customHeight="1" x14ac:dyDescent="0.25"/>
    <row r="2386" ht="15" customHeight="1" x14ac:dyDescent="0.25"/>
    <row r="2388" ht="15" customHeight="1" x14ac:dyDescent="0.25"/>
    <row r="2390" ht="15" customHeight="1" x14ac:dyDescent="0.25"/>
    <row r="2392" ht="15" customHeight="1" x14ac:dyDescent="0.25"/>
    <row r="2394" ht="15" customHeight="1" x14ac:dyDescent="0.25"/>
    <row r="2396" ht="15" customHeight="1" x14ac:dyDescent="0.25"/>
    <row r="2398" ht="15" customHeight="1" x14ac:dyDescent="0.25"/>
    <row r="2400" ht="15" customHeight="1" x14ac:dyDescent="0.25"/>
    <row r="2402" ht="15" customHeight="1" x14ac:dyDescent="0.25"/>
    <row r="2404" ht="15" customHeight="1" x14ac:dyDescent="0.25"/>
    <row r="2406" ht="15" customHeight="1" x14ac:dyDescent="0.25"/>
    <row r="2408" ht="15" customHeight="1" x14ac:dyDescent="0.25"/>
    <row r="2410" ht="15" customHeight="1" x14ac:dyDescent="0.25"/>
    <row r="2412" ht="15" customHeight="1" x14ac:dyDescent="0.25"/>
    <row r="2414" ht="15" customHeight="1" x14ac:dyDescent="0.25"/>
    <row r="2416" ht="15" customHeight="1" x14ac:dyDescent="0.25"/>
    <row r="2418" ht="15" customHeight="1" x14ac:dyDescent="0.25"/>
    <row r="2420" ht="15" customHeight="1" x14ac:dyDescent="0.25"/>
    <row r="2422" ht="15" customHeight="1" x14ac:dyDescent="0.25"/>
    <row r="2424" ht="15" customHeight="1" x14ac:dyDescent="0.25"/>
    <row r="2426" ht="15" customHeight="1" x14ac:dyDescent="0.25"/>
    <row r="2428" ht="15" customHeight="1" x14ac:dyDescent="0.25"/>
    <row r="2430" ht="15" customHeight="1" x14ac:dyDescent="0.25"/>
    <row r="2432" ht="15" customHeight="1" x14ac:dyDescent="0.25"/>
    <row r="2434" ht="15" customHeight="1" x14ac:dyDescent="0.25"/>
    <row r="2436" ht="15" customHeight="1" x14ac:dyDescent="0.25"/>
    <row r="2438" ht="15" customHeight="1" x14ac:dyDescent="0.25"/>
    <row r="2440" ht="15" customHeight="1" x14ac:dyDescent="0.25"/>
    <row r="2442" ht="15" customHeight="1" x14ac:dyDescent="0.25"/>
    <row r="2444" ht="15" customHeight="1" x14ac:dyDescent="0.25"/>
    <row r="2446" ht="15" customHeight="1" x14ac:dyDescent="0.25"/>
    <row r="2448" ht="15" customHeight="1" x14ac:dyDescent="0.25"/>
    <row r="2450" ht="15" customHeight="1" x14ac:dyDescent="0.25"/>
    <row r="2452" ht="15" customHeight="1" x14ac:dyDescent="0.25"/>
    <row r="2454" ht="15" customHeight="1" x14ac:dyDescent="0.25"/>
    <row r="2456" ht="15" customHeight="1" x14ac:dyDescent="0.25"/>
    <row r="2458" ht="15" customHeight="1" x14ac:dyDescent="0.25"/>
    <row r="2460" ht="15" customHeight="1" x14ac:dyDescent="0.25"/>
    <row r="2462" ht="15" customHeight="1" x14ac:dyDescent="0.25"/>
    <row r="2464" ht="15" customHeight="1" x14ac:dyDescent="0.25"/>
    <row r="2466" ht="15" customHeight="1" x14ac:dyDescent="0.25"/>
    <row r="2468" ht="15" customHeight="1" x14ac:dyDescent="0.25"/>
    <row r="2470" ht="15" customHeight="1" x14ac:dyDescent="0.25"/>
    <row r="2472" ht="15" customHeight="1" x14ac:dyDescent="0.25"/>
    <row r="2474" ht="15" customHeight="1" x14ac:dyDescent="0.25"/>
    <row r="2476" ht="15" customHeight="1" x14ac:dyDescent="0.25"/>
    <row r="2478" ht="15" customHeight="1" x14ac:dyDescent="0.25"/>
    <row r="2480" ht="15" customHeight="1" x14ac:dyDescent="0.25"/>
    <row r="2482" ht="15" customHeight="1" x14ac:dyDescent="0.25"/>
    <row r="2484" ht="15" customHeight="1" x14ac:dyDescent="0.25"/>
    <row r="2486" ht="15" customHeight="1" x14ac:dyDescent="0.25"/>
    <row r="2488" ht="15" customHeight="1" x14ac:dyDescent="0.25"/>
    <row r="2490" ht="15" customHeight="1" x14ac:dyDescent="0.25"/>
    <row r="2492" ht="15" customHeight="1" x14ac:dyDescent="0.25"/>
    <row r="2494" ht="15" customHeight="1" x14ac:dyDescent="0.25"/>
    <row r="2496" ht="15" customHeight="1" x14ac:dyDescent="0.25"/>
    <row r="2498" ht="15" customHeight="1" x14ac:dyDescent="0.25"/>
    <row r="2500" ht="15" customHeight="1" x14ac:dyDescent="0.25"/>
    <row r="2502" ht="15" customHeight="1" x14ac:dyDescent="0.25"/>
    <row r="2504" ht="15" customHeight="1" x14ac:dyDescent="0.25"/>
    <row r="2506" ht="15" customHeight="1" x14ac:dyDescent="0.25"/>
    <row r="2508" ht="15" customHeight="1" x14ac:dyDescent="0.25"/>
    <row r="2510" ht="15" customHeight="1" x14ac:dyDescent="0.25"/>
    <row r="2512" ht="15" customHeight="1" x14ac:dyDescent="0.25"/>
    <row r="2514" ht="15" customHeight="1" x14ac:dyDescent="0.25"/>
    <row r="2516" ht="15" customHeight="1" x14ac:dyDescent="0.25"/>
    <row r="2518" ht="15" customHeight="1" x14ac:dyDescent="0.25"/>
    <row r="2520" ht="15" customHeight="1" x14ac:dyDescent="0.25"/>
    <row r="2522" ht="15" customHeight="1" x14ac:dyDescent="0.25"/>
    <row r="2524" ht="15" customHeight="1" x14ac:dyDescent="0.25"/>
    <row r="2526" ht="15" customHeight="1" x14ac:dyDescent="0.25"/>
    <row r="2528" ht="15" customHeight="1" x14ac:dyDescent="0.25"/>
    <row r="2530" ht="15" customHeight="1" x14ac:dyDescent="0.25"/>
    <row r="2532" ht="15" customHeight="1" x14ac:dyDescent="0.25"/>
    <row r="2534" ht="15" customHeight="1" x14ac:dyDescent="0.25"/>
    <row r="2536" ht="15" customHeight="1" x14ac:dyDescent="0.25"/>
    <row r="2538" ht="15" customHeight="1" x14ac:dyDescent="0.25"/>
    <row r="2540" ht="15" customHeight="1" x14ac:dyDescent="0.25"/>
    <row r="2542" ht="15" customHeight="1" x14ac:dyDescent="0.25"/>
    <row r="2544" ht="15" customHeight="1" x14ac:dyDescent="0.25"/>
    <row r="2546" ht="15" customHeight="1" x14ac:dyDescent="0.25"/>
    <row r="2548" ht="15" customHeight="1" x14ac:dyDescent="0.25"/>
    <row r="2550" ht="15" customHeight="1" x14ac:dyDescent="0.25"/>
    <row r="2552" ht="15" customHeight="1" x14ac:dyDescent="0.25"/>
    <row r="2554" ht="15" customHeight="1" x14ac:dyDescent="0.25"/>
    <row r="2556" ht="15" customHeight="1" x14ac:dyDescent="0.25"/>
    <row r="2558" ht="15" customHeight="1" x14ac:dyDescent="0.25"/>
    <row r="2560" ht="15" customHeight="1" x14ac:dyDescent="0.25"/>
    <row r="2562" ht="15" customHeight="1" x14ac:dyDescent="0.25"/>
    <row r="2564" ht="15" customHeight="1" x14ac:dyDescent="0.25"/>
    <row r="2566" ht="15" customHeight="1" x14ac:dyDescent="0.25"/>
    <row r="2568" ht="15" customHeight="1" x14ac:dyDescent="0.25"/>
    <row r="2570" ht="15" customHeight="1" x14ac:dyDescent="0.25"/>
    <row r="2572" ht="15" customHeight="1" x14ac:dyDescent="0.25"/>
    <row r="2574" ht="15" customHeight="1" x14ac:dyDescent="0.25"/>
    <row r="2576" ht="15" customHeight="1" x14ac:dyDescent="0.25"/>
    <row r="2578" ht="15" customHeight="1" x14ac:dyDescent="0.25"/>
    <row r="2580" ht="15" customHeight="1" x14ac:dyDescent="0.25"/>
    <row r="2582" ht="15" customHeight="1" x14ac:dyDescent="0.25"/>
    <row r="2584" ht="15" customHeight="1" x14ac:dyDescent="0.25"/>
    <row r="2586" ht="15" customHeight="1" x14ac:dyDescent="0.25"/>
    <row r="2588" ht="15" customHeight="1" x14ac:dyDescent="0.25"/>
    <row r="2590" ht="15" customHeight="1" x14ac:dyDescent="0.25"/>
    <row r="2592" ht="15" customHeight="1" x14ac:dyDescent="0.25"/>
    <row r="2594" ht="15" customHeight="1" x14ac:dyDescent="0.25"/>
    <row r="2596" ht="15" customHeight="1" x14ac:dyDescent="0.25"/>
    <row r="2598" ht="15" customHeight="1" x14ac:dyDescent="0.25"/>
    <row r="2600" ht="15" customHeight="1" x14ac:dyDescent="0.25"/>
    <row r="2602" ht="15" customHeight="1" x14ac:dyDescent="0.25"/>
    <row r="2604" ht="15" customHeight="1" x14ac:dyDescent="0.25"/>
    <row r="2606" ht="15" customHeight="1" x14ac:dyDescent="0.25"/>
    <row r="2608" ht="15" customHeight="1" x14ac:dyDescent="0.25"/>
    <row r="2610" ht="15" customHeight="1" x14ac:dyDescent="0.25"/>
    <row r="2612" ht="15" customHeight="1" x14ac:dyDescent="0.25"/>
    <row r="2614" ht="15" customHeight="1" x14ac:dyDescent="0.25"/>
    <row r="2616" ht="15" customHeight="1" x14ac:dyDescent="0.25"/>
    <row r="2618" ht="15" customHeight="1" x14ac:dyDescent="0.25"/>
    <row r="2620" ht="15" customHeight="1" x14ac:dyDescent="0.25"/>
    <row r="2622" ht="15" customHeight="1" x14ac:dyDescent="0.25"/>
    <row r="2624" ht="15" customHeight="1" x14ac:dyDescent="0.25"/>
    <row r="2626" ht="15" customHeight="1" x14ac:dyDescent="0.25"/>
    <row r="2628" ht="15" customHeight="1" x14ac:dyDescent="0.25"/>
    <row r="2630" ht="15" customHeight="1" x14ac:dyDescent="0.25"/>
    <row r="2632" ht="15" customHeight="1" x14ac:dyDescent="0.25"/>
    <row r="2634" ht="15" customHeight="1" x14ac:dyDescent="0.25"/>
    <row r="2636" ht="15" customHeight="1" x14ac:dyDescent="0.25"/>
    <row r="2638" ht="15" customHeight="1" x14ac:dyDescent="0.25"/>
    <row r="2640" ht="15" customHeight="1" x14ac:dyDescent="0.25"/>
    <row r="2642" ht="15" customHeight="1" x14ac:dyDescent="0.25"/>
    <row r="2644" ht="15" customHeight="1" x14ac:dyDescent="0.25"/>
    <row r="2646" ht="15" customHeight="1" x14ac:dyDescent="0.25"/>
    <row r="2648" ht="15" customHeight="1" x14ac:dyDescent="0.25"/>
    <row r="2650" ht="15" customHeight="1" x14ac:dyDescent="0.25"/>
    <row r="2652" ht="15" customHeight="1" x14ac:dyDescent="0.25"/>
    <row r="2654" ht="15" customHeight="1" x14ac:dyDescent="0.25"/>
    <row r="2656" ht="15" customHeight="1" x14ac:dyDescent="0.25"/>
    <row r="2658" ht="15" customHeight="1" x14ac:dyDescent="0.25"/>
    <row r="2660" ht="15" customHeight="1" x14ac:dyDescent="0.25"/>
    <row r="2662" ht="15" customHeight="1" x14ac:dyDescent="0.25"/>
    <row r="2664" ht="15" customHeight="1" x14ac:dyDescent="0.25"/>
    <row r="2666" ht="15" customHeight="1" x14ac:dyDescent="0.25"/>
    <row r="2668" ht="15" customHeight="1" x14ac:dyDescent="0.25"/>
    <row r="2670" ht="15" customHeight="1" x14ac:dyDescent="0.25"/>
    <row r="2672" ht="15" customHeight="1" x14ac:dyDescent="0.25"/>
    <row r="2674" ht="15" customHeight="1" x14ac:dyDescent="0.25"/>
    <row r="2676" ht="15" customHeight="1" x14ac:dyDescent="0.25"/>
    <row r="2678" ht="15" customHeight="1" x14ac:dyDescent="0.25"/>
    <row r="2680" ht="15" customHeight="1" x14ac:dyDescent="0.25"/>
    <row r="2682" ht="15" customHeight="1" x14ac:dyDescent="0.25"/>
    <row r="2684" ht="15" customHeight="1" x14ac:dyDescent="0.25"/>
    <row r="2686" ht="15" customHeight="1" x14ac:dyDescent="0.25"/>
    <row r="2688" ht="15" customHeight="1" x14ac:dyDescent="0.25"/>
    <row r="2690" ht="15" customHeight="1" x14ac:dyDescent="0.25"/>
    <row r="2692" ht="15" customHeight="1" x14ac:dyDescent="0.25"/>
    <row r="2694" ht="15" customHeight="1" x14ac:dyDescent="0.25"/>
    <row r="2696" ht="15" customHeight="1" x14ac:dyDescent="0.25"/>
    <row r="2698" ht="15" customHeight="1" x14ac:dyDescent="0.25"/>
    <row r="2700" ht="15" customHeight="1" x14ac:dyDescent="0.25"/>
    <row r="2702" ht="15" customHeight="1" x14ac:dyDescent="0.25"/>
    <row r="2704" ht="15" customHeight="1" x14ac:dyDescent="0.25"/>
    <row r="2706" ht="15" customHeight="1" x14ac:dyDescent="0.25"/>
    <row r="2708" ht="15" customHeight="1" x14ac:dyDescent="0.25"/>
    <row r="2710" ht="15" customHeight="1" x14ac:dyDescent="0.25"/>
    <row r="2712" ht="15" customHeight="1" x14ac:dyDescent="0.25"/>
    <row r="2714" ht="15" customHeight="1" x14ac:dyDescent="0.25"/>
    <row r="2716" ht="15" customHeight="1" x14ac:dyDescent="0.25"/>
    <row r="2718" ht="15" customHeight="1" x14ac:dyDescent="0.25"/>
    <row r="2720" ht="15" customHeight="1" x14ac:dyDescent="0.25"/>
    <row r="2722" ht="15" customHeight="1" x14ac:dyDescent="0.25"/>
    <row r="2724" ht="15" customHeight="1" x14ac:dyDescent="0.25"/>
    <row r="2726" ht="15" customHeight="1" x14ac:dyDescent="0.25"/>
    <row r="2728" ht="15" customHeight="1" x14ac:dyDescent="0.25"/>
    <row r="2730" ht="15" customHeight="1" x14ac:dyDescent="0.25"/>
    <row r="2732" ht="15" customHeight="1" x14ac:dyDescent="0.25"/>
    <row r="2734" ht="15" customHeight="1" x14ac:dyDescent="0.25"/>
    <row r="2736" ht="15" customHeight="1" x14ac:dyDescent="0.25"/>
    <row r="2738" ht="15" customHeight="1" x14ac:dyDescent="0.25"/>
    <row r="2740" ht="15" customHeight="1" x14ac:dyDescent="0.25"/>
    <row r="2742" ht="15" customHeight="1" x14ac:dyDescent="0.25"/>
    <row r="2744" ht="15" customHeight="1" x14ac:dyDescent="0.25"/>
    <row r="2746" ht="15" customHeight="1" x14ac:dyDescent="0.25"/>
    <row r="2748" ht="15" customHeight="1" x14ac:dyDescent="0.25"/>
    <row r="2750" ht="15" customHeight="1" x14ac:dyDescent="0.25"/>
    <row r="2752" ht="15" customHeight="1" x14ac:dyDescent="0.25"/>
    <row r="2754" ht="15" customHeight="1" x14ac:dyDescent="0.25"/>
    <row r="2756" ht="15" customHeight="1" x14ac:dyDescent="0.25"/>
    <row r="2758" ht="15" customHeight="1" x14ac:dyDescent="0.25"/>
    <row r="2760" ht="15" customHeight="1" x14ac:dyDescent="0.25"/>
    <row r="2762" ht="15" customHeight="1" x14ac:dyDescent="0.25"/>
    <row r="2764" ht="15" customHeight="1" x14ac:dyDescent="0.25"/>
    <row r="2766" ht="15" customHeight="1" x14ac:dyDescent="0.25"/>
    <row r="2768" ht="15" customHeight="1" x14ac:dyDescent="0.25"/>
    <row r="2770" ht="15" customHeight="1" x14ac:dyDescent="0.25"/>
    <row r="2772" ht="15" customHeight="1" x14ac:dyDescent="0.25"/>
    <row r="2774" ht="15" customHeight="1" x14ac:dyDescent="0.25"/>
    <row r="2776" ht="15" customHeight="1" x14ac:dyDescent="0.25"/>
    <row r="2778" ht="15" customHeight="1" x14ac:dyDescent="0.25"/>
    <row r="2780" ht="15" customHeight="1" x14ac:dyDescent="0.25"/>
    <row r="2782" ht="15" customHeight="1" x14ac:dyDescent="0.25"/>
    <row r="2784" ht="15" customHeight="1" x14ac:dyDescent="0.25"/>
    <row r="2786" ht="15" customHeight="1" x14ac:dyDescent="0.25"/>
    <row r="2788" ht="15" customHeight="1" x14ac:dyDescent="0.25"/>
    <row r="2790" ht="15" customHeight="1" x14ac:dyDescent="0.25"/>
    <row r="2792" ht="15" customHeight="1" x14ac:dyDescent="0.25"/>
    <row r="2794" ht="15" customHeight="1" x14ac:dyDescent="0.25"/>
    <row r="2796" ht="15" customHeight="1" x14ac:dyDescent="0.25"/>
    <row r="2798" ht="15" customHeight="1" x14ac:dyDescent="0.25"/>
    <row r="2800" ht="15" customHeight="1" x14ac:dyDescent="0.25"/>
    <row r="2802" ht="15" customHeight="1" x14ac:dyDescent="0.25"/>
    <row r="2804" ht="15" customHeight="1" x14ac:dyDescent="0.25"/>
    <row r="2806" ht="15" customHeight="1" x14ac:dyDescent="0.25"/>
    <row r="2808" ht="15" customHeight="1" x14ac:dyDescent="0.25"/>
    <row r="2810" ht="15" customHeight="1" x14ac:dyDescent="0.25"/>
    <row r="2812" ht="15" customHeight="1" x14ac:dyDescent="0.25"/>
    <row r="2814" ht="15" customHeight="1" x14ac:dyDescent="0.25"/>
    <row r="2816" ht="15" customHeight="1" x14ac:dyDescent="0.25"/>
    <row r="2818" ht="15" customHeight="1" x14ac:dyDescent="0.25"/>
    <row r="2820" ht="15" customHeight="1" x14ac:dyDescent="0.25"/>
    <row r="2822" ht="15" customHeight="1" x14ac:dyDescent="0.25"/>
    <row r="2824" ht="15" customHeight="1" x14ac:dyDescent="0.25"/>
    <row r="2826" ht="15" customHeight="1" x14ac:dyDescent="0.25"/>
    <row r="2828" ht="15" customHeight="1" x14ac:dyDescent="0.25"/>
    <row r="2830" ht="15" customHeight="1" x14ac:dyDescent="0.25"/>
    <row r="2832" ht="15" customHeight="1" x14ac:dyDescent="0.25"/>
    <row r="2834" ht="15" customHeight="1" x14ac:dyDescent="0.25"/>
    <row r="2836" ht="15" customHeight="1" x14ac:dyDescent="0.25"/>
    <row r="2838" ht="15" customHeight="1" x14ac:dyDescent="0.25"/>
    <row r="2840" ht="15" customHeight="1" x14ac:dyDescent="0.25"/>
    <row r="2842" ht="15" customHeight="1" x14ac:dyDescent="0.25"/>
    <row r="2844" ht="15" customHeight="1" x14ac:dyDescent="0.25"/>
    <row r="2846" ht="15" customHeight="1" x14ac:dyDescent="0.25"/>
    <row r="2848" ht="15" customHeight="1" x14ac:dyDescent="0.25"/>
    <row r="2850" ht="15" customHeight="1" x14ac:dyDescent="0.25"/>
    <row r="2852" ht="15" customHeight="1" x14ac:dyDescent="0.25"/>
    <row r="2854" ht="15" customHeight="1" x14ac:dyDescent="0.25"/>
    <row r="2856" ht="15" customHeight="1" x14ac:dyDescent="0.25"/>
    <row r="2858" ht="15" customHeight="1" x14ac:dyDescent="0.25"/>
    <row r="2860" ht="15" customHeight="1" x14ac:dyDescent="0.25"/>
    <row r="2862" ht="15" customHeight="1" x14ac:dyDescent="0.25"/>
    <row r="2864" ht="15" customHeight="1" x14ac:dyDescent="0.25"/>
    <row r="2866" ht="15" customHeight="1" x14ac:dyDescent="0.25"/>
    <row r="2868" ht="15" customHeight="1" x14ac:dyDescent="0.25"/>
    <row r="2870" ht="15" customHeight="1" x14ac:dyDescent="0.25"/>
    <row r="2872" ht="15" customHeight="1" x14ac:dyDescent="0.25"/>
    <row r="2874" ht="15" customHeight="1" x14ac:dyDescent="0.25"/>
    <row r="2876" ht="15" customHeight="1" x14ac:dyDescent="0.25"/>
    <row r="2878" ht="15" customHeight="1" x14ac:dyDescent="0.25"/>
    <row r="2880" ht="15" customHeight="1" x14ac:dyDescent="0.25"/>
    <row r="2882" ht="15" customHeight="1" x14ac:dyDescent="0.25"/>
    <row r="2884" ht="15" customHeight="1" x14ac:dyDescent="0.25"/>
    <row r="2886" ht="15" customHeight="1" x14ac:dyDescent="0.25"/>
    <row r="2888" ht="15" customHeight="1" x14ac:dyDescent="0.25"/>
    <row r="2890" ht="15" customHeight="1" x14ac:dyDescent="0.25"/>
    <row r="2892" ht="15" customHeight="1" x14ac:dyDescent="0.25"/>
    <row r="2894" ht="15" customHeight="1" x14ac:dyDescent="0.25"/>
    <row r="2896" ht="15" customHeight="1" x14ac:dyDescent="0.25"/>
    <row r="2898" ht="15" customHeight="1" x14ac:dyDescent="0.25"/>
    <row r="2900" ht="15" customHeight="1" x14ac:dyDescent="0.25"/>
    <row r="2902" ht="15" customHeight="1" x14ac:dyDescent="0.25"/>
    <row r="2904" ht="15" customHeight="1" x14ac:dyDescent="0.25"/>
    <row r="2906" ht="15" customHeight="1" x14ac:dyDescent="0.25"/>
    <row r="2908" ht="15" customHeight="1" x14ac:dyDescent="0.25"/>
    <row r="2910" ht="15" customHeight="1" x14ac:dyDescent="0.25"/>
    <row r="2912" ht="15" customHeight="1" x14ac:dyDescent="0.25"/>
    <row r="2914" ht="15" customHeight="1" x14ac:dyDescent="0.25"/>
    <row r="2916" ht="15" customHeight="1" x14ac:dyDescent="0.25"/>
    <row r="2918" ht="15" customHeight="1" x14ac:dyDescent="0.25"/>
    <row r="2920" ht="15" customHeight="1" x14ac:dyDescent="0.25"/>
    <row r="2922" ht="15" customHeight="1" x14ac:dyDescent="0.25"/>
    <row r="2924" ht="15" customHeight="1" x14ac:dyDescent="0.25"/>
    <row r="2926" ht="15" customHeight="1" x14ac:dyDescent="0.25"/>
    <row r="2928" ht="15" customHeight="1" x14ac:dyDescent="0.25"/>
    <row r="2930" ht="15" customHeight="1" x14ac:dyDescent="0.25"/>
    <row r="2932" ht="15" customHeight="1" x14ac:dyDescent="0.25"/>
    <row r="2934" ht="15" customHeight="1" x14ac:dyDescent="0.25"/>
    <row r="2936" ht="15" customHeight="1" x14ac:dyDescent="0.25"/>
    <row r="2938" ht="15" customHeight="1" x14ac:dyDescent="0.25"/>
    <row r="2940" ht="15" customHeight="1" x14ac:dyDescent="0.25"/>
    <row r="2942" ht="15" customHeight="1" x14ac:dyDescent="0.25"/>
    <row r="2944" ht="15" customHeight="1" x14ac:dyDescent="0.25"/>
    <row r="2946" ht="15" customHeight="1" x14ac:dyDescent="0.25"/>
    <row r="2948" ht="15" customHeight="1" x14ac:dyDescent="0.25"/>
    <row r="2950" ht="15" customHeight="1" x14ac:dyDescent="0.25"/>
    <row r="2952" ht="15" customHeight="1" x14ac:dyDescent="0.25"/>
    <row r="2954" ht="15" customHeight="1" x14ac:dyDescent="0.25"/>
    <row r="2956" ht="15" customHeight="1" x14ac:dyDescent="0.25"/>
    <row r="2958" ht="15" customHeight="1" x14ac:dyDescent="0.25"/>
    <row r="2960" ht="15" customHeight="1" x14ac:dyDescent="0.25"/>
    <row r="2962" ht="15" customHeight="1" x14ac:dyDescent="0.25"/>
    <row r="2964" ht="15" customHeight="1" x14ac:dyDescent="0.25"/>
    <row r="2966" ht="15" customHeight="1" x14ac:dyDescent="0.25"/>
    <row r="2968" ht="15" customHeight="1" x14ac:dyDescent="0.25"/>
    <row r="2970" ht="15" customHeight="1" x14ac:dyDescent="0.25"/>
    <row r="2972" ht="15" customHeight="1" x14ac:dyDescent="0.25"/>
    <row r="2974" ht="15" customHeight="1" x14ac:dyDescent="0.25"/>
    <row r="2976" ht="15" customHeight="1" x14ac:dyDescent="0.25"/>
    <row r="2978" ht="15" customHeight="1" x14ac:dyDescent="0.25"/>
    <row r="2980" ht="15" customHeight="1" x14ac:dyDescent="0.25"/>
    <row r="2982" ht="15" customHeight="1" x14ac:dyDescent="0.25"/>
    <row r="2984" ht="15" customHeight="1" x14ac:dyDescent="0.25"/>
    <row r="2986" ht="15" customHeight="1" x14ac:dyDescent="0.25"/>
    <row r="2988" ht="15" customHeight="1" x14ac:dyDescent="0.25"/>
    <row r="2990" ht="15" customHeight="1" x14ac:dyDescent="0.25"/>
    <row r="2992" ht="15" customHeight="1" x14ac:dyDescent="0.25"/>
    <row r="2994" ht="15" customHeight="1" x14ac:dyDescent="0.25"/>
    <row r="2996" ht="15" customHeight="1" x14ac:dyDescent="0.25"/>
    <row r="2998" ht="15" customHeight="1" x14ac:dyDescent="0.25"/>
    <row r="3000" ht="15" customHeight="1" x14ac:dyDescent="0.25"/>
    <row r="3002" ht="15" customHeight="1" x14ac:dyDescent="0.25"/>
    <row r="3004" ht="15" customHeight="1" x14ac:dyDescent="0.25"/>
    <row r="3006" ht="15" customHeight="1" x14ac:dyDescent="0.25"/>
    <row r="3008" ht="15" customHeight="1" x14ac:dyDescent="0.25"/>
    <row r="3010" ht="15" customHeight="1" x14ac:dyDescent="0.25"/>
    <row r="3012" ht="15" customHeight="1" x14ac:dyDescent="0.25"/>
    <row r="3014" ht="15" customHeight="1" x14ac:dyDescent="0.25"/>
    <row r="3016" ht="15" customHeight="1" x14ac:dyDescent="0.25"/>
    <row r="3018" ht="15" customHeight="1" x14ac:dyDescent="0.25"/>
    <row r="3020" ht="15" customHeight="1" x14ac:dyDescent="0.25"/>
    <row r="3022" ht="15" customHeight="1" x14ac:dyDescent="0.25"/>
    <row r="3024" ht="15" customHeight="1" x14ac:dyDescent="0.25"/>
    <row r="3026" ht="15" customHeight="1" x14ac:dyDescent="0.25"/>
    <row r="3028" ht="15" customHeight="1" x14ac:dyDescent="0.25"/>
    <row r="3030" ht="15" customHeight="1" x14ac:dyDescent="0.25"/>
    <row r="3032" ht="15" customHeight="1" x14ac:dyDescent="0.25"/>
    <row r="3034" ht="15" customHeight="1" x14ac:dyDescent="0.25"/>
    <row r="3036" ht="15" customHeight="1" x14ac:dyDescent="0.25"/>
    <row r="3038" ht="15" customHeight="1" x14ac:dyDescent="0.25"/>
    <row r="3040" ht="15" customHeight="1" x14ac:dyDescent="0.25"/>
    <row r="3042" ht="15" customHeight="1" x14ac:dyDescent="0.25"/>
    <row r="3044" ht="15" customHeight="1" x14ac:dyDescent="0.25"/>
    <row r="3046" ht="15" customHeight="1" x14ac:dyDescent="0.25"/>
    <row r="3048" ht="15" customHeight="1" x14ac:dyDescent="0.25"/>
    <row r="3050" ht="15" customHeight="1" x14ac:dyDescent="0.25"/>
    <row r="3052" ht="15" customHeight="1" x14ac:dyDescent="0.25"/>
    <row r="3054" ht="15" customHeight="1" x14ac:dyDescent="0.25"/>
    <row r="3056" ht="15" customHeight="1" x14ac:dyDescent="0.25"/>
    <row r="3058" ht="15" customHeight="1" x14ac:dyDescent="0.25"/>
    <row r="3060" ht="15" customHeight="1" x14ac:dyDescent="0.25"/>
    <row r="3062" ht="15" customHeight="1" x14ac:dyDescent="0.25"/>
    <row r="3064" ht="15" customHeight="1" x14ac:dyDescent="0.25"/>
    <row r="3066" ht="15" customHeight="1" x14ac:dyDescent="0.25"/>
    <row r="3068" ht="15" customHeight="1" x14ac:dyDescent="0.25"/>
    <row r="3070" ht="15" customHeight="1" x14ac:dyDescent="0.25"/>
    <row r="3072" ht="15" customHeight="1" x14ac:dyDescent="0.25"/>
    <row r="3074" ht="15" customHeight="1" x14ac:dyDescent="0.25"/>
    <row r="3076" ht="15" customHeight="1" x14ac:dyDescent="0.25"/>
    <row r="3078" ht="15" customHeight="1" x14ac:dyDescent="0.25"/>
    <row r="3080" ht="15" customHeight="1" x14ac:dyDescent="0.25"/>
    <row r="3082" ht="15" customHeight="1" x14ac:dyDescent="0.25"/>
    <row r="3084" ht="15" customHeight="1" x14ac:dyDescent="0.25"/>
    <row r="3086" ht="15" customHeight="1" x14ac:dyDescent="0.25"/>
    <row r="3088" ht="15" customHeight="1" x14ac:dyDescent="0.25"/>
    <row r="3090" ht="15" customHeight="1" x14ac:dyDescent="0.25"/>
    <row r="3092" ht="15" customHeight="1" x14ac:dyDescent="0.25"/>
    <row r="3094" ht="15" customHeight="1" x14ac:dyDescent="0.25"/>
    <row r="3096" ht="15" customHeight="1" x14ac:dyDescent="0.25"/>
    <row r="3098" ht="15" customHeight="1" x14ac:dyDescent="0.25"/>
    <row r="3100" ht="15" customHeight="1" x14ac:dyDescent="0.25"/>
    <row r="3102" ht="15" customHeight="1" x14ac:dyDescent="0.25"/>
    <row r="3104" ht="15" customHeight="1" x14ac:dyDescent="0.25"/>
    <row r="3106" ht="15" customHeight="1" x14ac:dyDescent="0.25"/>
    <row r="3108" ht="15" customHeight="1" x14ac:dyDescent="0.25"/>
    <row r="3110" ht="15" customHeight="1" x14ac:dyDescent="0.25"/>
    <row r="3112" ht="15" customHeight="1" x14ac:dyDescent="0.25"/>
    <row r="3114" ht="15" customHeight="1" x14ac:dyDescent="0.25"/>
    <row r="3116" ht="15" customHeight="1" x14ac:dyDescent="0.25"/>
    <row r="3118" ht="15" customHeight="1" x14ac:dyDescent="0.25"/>
    <row r="3120" ht="15" customHeight="1" x14ac:dyDescent="0.25"/>
    <row r="3122" ht="15" customHeight="1" x14ac:dyDescent="0.25"/>
    <row r="3124" ht="15" customHeight="1" x14ac:dyDescent="0.25"/>
    <row r="3126" ht="15" customHeight="1" x14ac:dyDescent="0.25"/>
    <row r="3128" ht="15" customHeight="1" x14ac:dyDescent="0.25"/>
    <row r="3130" ht="15" customHeight="1" x14ac:dyDescent="0.25"/>
    <row r="3132" ht="15" customHeight="1" x14ac:dyDescent="0.25"/>
    <row r="3134" ht="15" customHeight="1" x14ac:dyDescent="0.25"/>
    <row r="3136" ht="15" customHeight="1" x14ac:dyDescent="0.25"/>
    <row r="3138" ht="15" customHeight="1" x14ac:dyDescent="0.25"/>
    <row r="3140" ht="15" customHeight="1" x14ac:dyDescent="0.25"/>
    <row r="3142" ht="15" customHeight="1" x14ac:dyDescent="0.25"/>
    <row r="3144" ht="15" customHeight="1" x14ac:dyDescent="0.25"/>
    <row r="3146" ht="15" customHeight="1" x14ac:dyDescent="0.25"/>
    <row r="3148" ht="15" customHeight="1" x14ac:dyDescent="0.25"/>
    <row r="3150" ht="15" customHeight="1" x14ac:dyDescent="0.25"/>
    <row r="3152" ht="15" customHeight="1" x14ac:dyDescent="0.25"/>
    <row r="3154" ht="15" customHeight="1" x14ac:dyDescent="0.25"/>
    <row r="3156" ht="15" customHeight="1" x14ac:dyDescent="0.25"/>
    <row r="3158" ht="15" customHeight="1" x14ac:dyDescent="0.25"/>
    <row r="3160" ht="15" customHeight="1" x14ac:dyDescent="0.25"/>
    <row r="3162" ht="15" customHeight="1" x14ac:dyDescent="0.25"/>
    <row r="3164" ht="15" customHeight="1" x14ac:dyDescent="0.25"/>
    <row r="3166" ht="15" customHeight="1" x14ac:dyDescent="0.25"/>
    <row r="3168" ht="15" customHeight="1" x14ac:dyDescent="0.25"/>
    <row r="3170" ht="15" customHeight="1" x14ac:dyDescent="0.25"/>
    <row r="3172" ht="15" customHeight="1" x14ac:dyDescent="0.25"/>
    <row r="3174" ht="15" customHeight="1" x14ac:dyDescent="0.25"/>
    <row r="3176" ht="15" customHeight="1" x14ac:dyDescent="0.25"/>
    <row r="3178" ht="15" customHeight="1" x14ac:dyDescent="0.25"/>
    <row r="3180" ht="15" customHeight="1" x14ac:dyDescent="0.25"/>
    <row r="3182" ht="15" customHeight="1" x14ac:dyDescent="0.25"/>
    <row r="3184" ht="15" customHeight="1" x14ac:dyDescent="0.25"/>
    <row r="3186" ht="15" customHeight="1" x14ac:dyDescent="0.25"/>
    <row r="3188" ht="15" customHeight="1" x14ac:dyDescent="0.25"/>
    <row r="3190" ht="15" customHeight="1" x14ac:dyDescent="0.25"/>
    <row r="3192" ht="15" customHeight="1" x14ac:dyDescent="0.25"/>
    <row r="3194" ht="15" customHeight="1" x14ac:dyDescent="0.25"/>
    <row r="3196" ht="15" customHeight="1" x14ac:dyDescent="0.25"/>
    <row r="3198" ht="15" customHeight="1" x14ac:dyDescent="0.25"/>
    <row r="3200" ht="15" customHeight="1" x14ac:dyDescent="0.25"/>
    <row r="3202" ht="15" customHeight="1" x14ac:dyDescent="0.25"/>
    <row r="3204" ht="15" customHeight="1" x14ac:dyDescent="0.25"/>
    <row r="3206" ht="15" customHeight="1" x14ac:dyDescent="0.25"/>
    <row r="3208" ht="15" customHeight="1" x14ac:dyDescent="0.25"/>
    <row r="3210" ht="15" customHeight="1" x14ac:dyDescent="0.25"/>
    <row r="3212" ht="15" customHeight="1" x14ac:dyDescent="0.25"/>
    <row r="3214" ht="15" customHeight="1" x14ac:dyDescent="0.25"/>
    <row r="3216" ht="15" customHeight="1" x14ac:dyDescent="0.25"/>
    <row r="3218" ht="15" customHeight="1" x14ac:dyDescent="0.25"/>
    <row r="3220" ht="15" customHeight="1" x14ac:dyDescent="0.25"/>
    <row r="3222" ht="15" customHeight="1" x14ac:dyDescent="0.25"/>
    <row r="3224" ht="15" customHeight="1" x14ac:dyDescent="0.25"/>
    <row r="3226" ht="15" customHeight="1" x14ac:dyDescent="0.25"/>
    <row r="3228" ht="15" customHeight="1" x14ac:dyDescent="0.25"/>
    <row r="3230" ht="15" customHeight="1" x14ac:dyDescent="0.25"/>
    <row r="3232" ht="15" customHeight="1" x14ac:dyDescent="0.25"/>
    <row r="3234" ht="15" customHeight="1" x14ac:dyDescent="0.25"/>
    <row r="3236" ht="15" customHeight="1" x14ac:dyDescent="0.25"/>
    <row r="3238" ht="15" customHeight="1" x14ac:dyDescent="0.25"/>
    <row r="3240" ht="15" customHeight="1" x14ac:dyDescent="0.25"/>
    <row r="3242" ht="15" customHeight="1" x14ac:dyDescent="0.25"/>
    <row r="3244" ht="15" customHeight="1" x14ac:dyDescent="0.25"/>
    <row r="3246" ht="15" customHeight="1" x14ac:dyDescent="0.25"/>
    <row r="3248" ht="15" customHeight="1" x14ac:dyDescent="0.25"/>
    <row r="3250" ht="15" customHeight="1" x14ac:dyDescent="0.25"/>
    <row r="3252" ht="15" customHeight="1" x14ac:dyDescent="0.25"/>
    <row r="3254" ht="15" customHeight="1" x14ac:dyDescent="0.25"/>
    <row r="3256" ht="15" customHeight="1" x14ac:dyDescent="0.25"/>
    <row r="3258" ht="15" customHeight="1" x14ac:dyDescent="0.25"/>
    <row r="3260" ht="15" customHeight="1" x14ac:dyDescent="0.25"/>
    <row r="3262" ht="15" customHeight="1" x14ac:dyDescent="0.25"/>
    <row r="3264" ht="15" customHeight="1" x14ac:dyDescent="0.25"/>
    <row r="3266" ht="15" customHeight="1" x14ac:dyDescent="0.25"/>
    <row r="3268" ht="15" customHeight="1" x14ac:dyDescent="0.25"/>
    <row r="3270" ht="15" customHeight="1" x14ac:dyDescent="0.25"/>
    <row r="3272" ht="15" customHeight="1" x14ac:dyDescent="0.25"/>
    <row r="3274" ht="15" customHeight="1" x14ac:dyDescent="0.25"/>
    <row r="3276" ht="15" customHeight="1" x14ac:dyDescent="0.25"/>
    <row r="3278" ht="15" customHeight="1" x14ac:dyDescent="0.25"/>
    <row r="3280" ht="15" customHeight="1" x14ac:dyDescent="0.25"/>
    <row r="3282" ht="15" customHeight="1" x14ac:dyDescent="0.25"/>
    <row r="3284" ht="15" customHeight="1" x14ac:dyDescent="0.25"/>
    <row r="3286" ht="15" customHeight="1" x14ac:dyDescent="0.25"/>
    <row r="3288" ht="15" customHeight="1" x14ac:dyDescent="0.25"/>
    <row r="3290" ht="15" customHeight="1" x14ac:dyDescent="0.25"/>
    <row r="3292" ht="15" customHeight="1" x14ac:dyDescent="0.25"/>
    <row r="3294" ht="15" customHeight="1" x14ac:dyDescent="0.25"/>
    <row r="3296" ht="15" customHeight="1" x14ac:dyDescent="0.25"/>
    <row r="3298" ht="15" customHeight="1" x14ac:dyDescent="0.25"/>
    <row r="3300" ht="15" customHeight="1" x14ac:dyDescent="0.25"/>
    <row r="3302" ht="15" customHeight="1" x14ac:dyDescent="0.25"/>
    <row r="3304" ht="15" customHeight="1" x14ac:dyDescent="0.25"/>
    <row r="3306" ht="15" customHeight="1" x14ac:dyDescent="0.25"/>
    <row r="3308" ht="15" customHeight="1" x14ac:dyDescent="0.25"/>
    <row r="3310" ht="15" customHeight="1" x14ac:dyDescent="0.25"/>
    <row r="3312" ht="15" customHeight="1" x14ac:dyDescent="0.25"/>
    <row r="3314" ht="15" customHeight="1" x14ac:dyDescent="0.25"/>
    <row r="3316" ht="15" customHeight="1" x14ac:dyDescent="0.25"/>
    <row r="3318" ht="15" customHeight="1" x14ac:dyDescent="0.25"/>
    <row r="3320" ht="15" customHeight="1" x14ac:dyDescent="0.25"/>
    <row r="3322" ht="15" customHeight="1" x14ac:dyDescent="0.25"/>
    <row r="3324" ht="15" customHeight="1" x14ac:dyDescent="0.25"/>
    <row r="3326" ht="15" customHeight="1" x14ac:dyDescent="0.25"/>
    <row r="3328" ht="15" customHeight="1" x14ac:dyDescent="0.25"/>
    <row r="3330" ht="15" customHeight="1" x14ac:dyDescent="0.25"/>
    <row r="3332" ht="15" customHeight="1" x14ac:dyDescent="0.25"/>
    <row r="3334" ht="15" customHeight="1" x14ac:dyDescent="0.25"/>
    <row r="3336" ht="15" customHeight="1" x14ac:dyDescent="0.25"/>
    <row r="3338" ht="15" customHeight="1" x14ac:dyDescent="0.25"/>
    <row r="3340" ht="15" customHeight="1" x14ac:dyDescent="0.25"/>
    <row r="3342" ht="15" customHeight="1" x14ac:dyDescent="0.25"/>
    <row r="3344" ht="15" customHeight="1" x14ac:dyDescent="0.25"/>
    <row r="3346" ht="15" customHeight="1" x14ac:dyDescent="0.25"/>
    <row r="3348" ht="15" customHeight="1" x14ac:dyDescent="0.25"/>
    <row r="3350" ht="15" customHeight="1" x14ac:dyDescent="0.25"/>
    <row r="3352" ht="15" customHeight="1" x14ac:dyDescent="0.25"/>
    <row r="3354" ht="15" customHeight="1" x14ac:dyDescent="0.25"/>
    <row r="3356" ht="15" customHeight="1" x14ac:dyDescent="0.25"/>
    <row r="3358" ht="15" customHeight="1" x14ac:dyDescent="0.25"/>
    <row r="3360" ht="15" customHeight="1" x14ac:dyDescent="0.25"/>
    <row r="3362" ht="15" customHeight="1" x14ac:dyDescent="0.25"/>
    <row r="3364" ht="15" customHeight="1" x14ac:dyDescent="0.25"/>
    <row r="3366" ht="15" customHeight="1" x14ac:dyDescent="0.25"/>
    <row r="3368" ht="15" customHeight="1" x14ac:dyDescent="0.25"/>
    <row r="3370" ht="15" customHeight="1" x14ac:dyDescent="0.25"/>
    <row r="3372" ht="15" customHeight="1" x14ac:dyDescent="0.25"/>
    <row r="3374" ht="15" customHeight="1" x14ac:dyDescent="0.25"/>
    <row r="3376" ht="15" customHeight="1" x14ac:dyDescent="0.25"/>
    <row r="3378" ht="15" customHeight="1" x14ac:dyDescent="0.25"/>
    <row r="3380" ht="15" customHeight="1" x14ac:dyDescent="0.25"/>
    <row r="3382" ht="15" customHeight="1" x14ac:dyDescent="0.25"/>
    <row r="3384" ht="15" customHeight="1" x14ac:dyDescent="0.25"/>
    <row r="3386" ht="15" customHeight="1" x14ac:dyDescent="0.25"/>
    <row r="3388" ht="15" customHeight="1" x14ac:dyDescent="0.25"/>
    <row r="3390" ht="15" customHeight="1" x14ac:dyDescent="0.25"/>
    <row r="3392" ht="15" customHeight="1" x14ac:dyDescent="0.25"/>
    <row r="3394" ht="15" customHeight="1" x14ac:dyDescent="0.25"/>
    <row r="3396" ht="15" customHeight="1" x14ac:dyDescent="0.25"/>
    <row r="3398" ht="15" customHeight="1" x14ac:dyDescent="0.25"/>
    <row r="3400" ht="15" customHeight="1" x14ac:dyDescent="0.25"/>
    <row r="3402" ht="15" customHeight="1" x14ac:dyDescent="0.25"/>
    <row r="3404" ht="15" customHeight="1" x14ac:dyDescent="0.25"/>
    <row r="3406" ht="15" customHeight="1" x14ac:dyDescent="0.25"/>
    <row r="3408" ht="15" customHeight="1" x14ac:dyDescent="0.25"/>
    <row r="3410" ht="15" customHeight="1" x14ac:dyDescent="0.25"/>
    <row r="3412" ht="15" customHeight="1" x14ac:dyDescent="0.25"/>
    <row r="3414" ht="15" customHeight="1" x14ac:dyDescent="0.25"/>
    <row r="3416" ht="15" customHeight="1" x14ac:dyDescent="0.25"/>
    <row r="3418" ht="15" customHeight="1" x14ac:dyDescent="0.25"/>
    <row r="3420" ht="15" customHeight="1" x14ac:dyDescent="0.25"/>
    <row r="3422" ht="15" customHeight="1" x14ac:dyDescent="0.25"/>
    <row r="3424" ht="15" customHeight="1" x14ac:dyDescent="0.25"/>
    <row r="3426" ht="15" customHeight="1" x14ac:dyDescent="0.25"/>
    <row r="3428" ht="15" customHeight="1" x14ac:dyDescent="0.25"/>
    <row r="3430" ht="15" customHeight="1" x14ac:dyDescent="0.25"/>
    <row r="3432" ht="15" customHeight="1" x14ac:dyDescent="0.25"/>
    <row r="3434" ht="15" customHeight="1" x14ac:dyDescent="0.25"/>
    <row r="3436" ht="15" customHeight="1" x14ac:dyDescent="0.25"/>
    <row r="3438" ht="15" customHeight="1" x14ac:dyDescent="0.25"/>
    <row r="3440" ht="15" customHeight="1" x14ac:dyDescent="0.25"/>
    <row r="3442" ht="15" customHeight="1" x14ac:dyDescent="0.25"/>
    <row r="3444" ht="15" customHeight="1" x14ac:dyDescent="0.25"/>
    <row r="3446" ht="15" customHeight="1" x14ac:dyDescent="0.25"/>
    <row r="3448" ht="15" customHeight="1" x14ac:dyDescent="0.25"/>
    <row r="3450" ht="15" customHeight="1" x14ac:dyDescent="0.25"/>
    <row r="3452" ht="15" customHeight="1" x14ac:dyDescent="0.25"/>
    <row r="3454" ht="15" customHeight="1" x14ac:dyDescent="0.25"/>
    <row r="3456" ht="15" customHeight="1" x14ac:dyDescent="0.25"/>
    <row r="3458" ht="15" customHeight="1" x14ac:dyDescent="0.25"/>
    <row r="3460" ht="15" customHeight="1" x14ac:dyDescent="0.25"/>
    <row r="3462" ht="15" customHeight="1" x14ac:dyDescent="0.25"/>
    <row r="3464" ht="15" customHeight="1" x14ac:dyDescent="0.25"/>
    <row r="3466" ht="15" customHeight="1" x14ac:dyDescent="0.25"/>
    <row r="3468" ht="15" customHeight="1" x14ac:dyDescent="0.25"/>
    <row r="3470" ht="15" customHeight="1" x14ac:dyDescent="0.25"/>
    <row r="3472" ht="15" customHeight="1" x14ac:dyDescent="0.25"/>
    <row r="3474" ht="15" customHeight="1" x14ac:dyDescent="0.25"/>
    <row r="3476" ht="15" customHeight="1" x14ac:dyDescent="0.25"/>
    <row r="3478" ht="15" customHeight="1" x14ac:dyDescent="0.25"/>
    <row r="3480" ht="15" customHeight="1" x14ac:dyDescent="0.25"/>
    <row r="3482" ht="15" customHeight="1" x14ac:dyDescent="0.25"/>
    <row r="3484" ht="15" customHeight="1" x14ac:dyDescent="0.25"/>
    <row r="3486" ht="15" customHeight="1" x14ac:dyDescent="0.25"/>
    <row r="3488" ht="15" customHeight="1" x14ac:dyDescent="0.25"/>
    <row r="3490" ht="15" customHeight="1" x14ac:dyDescent="0.25"/>
    <row r="3492" ht="15" customHeight="1" x14ac:dyDescent="0.25"/>
    <row r="3494" ht="15" customHeight="1" x14ac:dyDescent="0.25"/>
    <row r="3496" ht="15" customHeight="1" x14ac:dyDescent="0.25"/>
    <row r="3498" ht="15" customHeight="1" x14ac:dyDescent="0.25"/>
    <row r="3500" ht="15" customHeight="1" x14ac:dyDescent="0.25"/>
    <row r="3502" ht="15" customHeight="1" x14ac:dyDescent="0.25"/>
    <row r="3504" ht="15" customHeight="1" x14ac:dyDescent="0.25"/>
    <row r="3506" ht="15" customHeight="1" x14ac:dyDescent="0.25"/>
    <row r="3508" ht="15" customHeight="1" x14ac:dyDescent="0.25"/>
    <row r="3510" ht="15" customHeight="1" x14ac:dyDescent="0.25"/>
    <row r="3512" ht="15" customHeight="1" x14ac:dyDescent="0.25"/>
    <row r="3514" ht="15" customHeight="1" x14ac:dyDescent="0.25"/>
    <row r="3516" ht="15" customHeight="1" x14ac:dyDescent="0.25"/>
    <row r="3518" ht="15" customHeight="1" x14ac:dyDescent="0.25"/>
    <row r="3520" ht="15" customHeight="1" x14ac:dyDescent="0.25"/>
    <row r="3522" ht="15" customHeight="1" x14ac:dyDescent="0.25"/>
    <row r="3524" ht="15" customHeight="1" x14ac:dyDescent="0.25"/>
    <row r="3526" ht="15" customHeight="1" x14ac:dyDescent="0.25"/>
    <row r="3528" ht="15" customHeight="1" x14ac:dyDescent="0.25"/>
    <row r="3530" ht="15" customHeight="1" x14ac:dyDescent="0.25"/>
    <row r="3532" ht="15" customHeight="1" x14ac:dyDescent="0.25"/>
    <row r="3534" ht="15" customHeight="1" x14ac:dyDescent="0.25"/>
    <row r="3536" ht="15" customHeight="1" x14ac:dyDescent="0.25"/>
    <row r="3538" ht="15" customHeight="1" x14ac:dyDescent="0.25"/>
    <row r="3540" ht="15" customHeight="1" x14ac:dyDescent="0.25"/>
    <row r="3542" ht="15" customHeight="1" x14ac:dyDescent="0.25"/>
    <row r="3544" ht="15" customHeight="1" x14ac:dyDescent="0.25"/>
    <row r="3546" ht="15" customHeight="1" x14ac:dyDescent="0.25"/>
    <row r="3548" ht="15" customHeight="1" x14ac:dyDescent="0.25"/>
    <row r="3550" ht="15" customHeight="1" x14ac:dyDescent="0.25"/>
    <row r="3552" ht="15" customHeight="1" x14ac:dyDescent="0.25"/>
    <row r="3554" ht="15" customHeight="1" x14ac:dyDescent="0.25"/>
    <row r="3556" ht="15" customHeight="1" x14ac:dyDescent="0.25"/>
    <row r="3558" ht="15" customHeight="1" x14ac:dyDescent="0.25"/>
    <row r="3560" ht="15" customHeight="1" x14ac:dyDescent="0.25"/>
    <row r="3562" ht="15" customHeight="1" x14ac:dyDescent="0.25"/>
    <row r="3564" ht="15" customHeight="1" x14ac:dyDescent="0.25"/>
    <row r="3566" ht="15" customHeight="1" x14ac:dyDescent="0.25"/>
    <row r="3568" ht="15" customHeight="1" x14ac:dyDescent="0.25"/>
    <row r="3570" ht="15" customHeight="1" x14ac:dyDescent="0.25"/>
    <row r="3572" ht="15" customHeight="1" x14ac:dyDescent="0.25"/>
    <row r="3574" ht="15" customHeight="1" x14ac:dyDescent="0.25"/>
    <row r="3576" ht="15" customHeight="1" x14ac:dyDescent="0.25"/>
    <row r="3578" ht="15" customHeight="1" x14ac:dyDescent="0.25"/>
    <row r="3580" ht="15" customHeight="1" x14ac:dyDescent="0.25"/>
    <row r="3582" ht="15" customHeight="1" x14ac:dyDescent="0.25"/>
    <row r="3584" ht="15" customHeight="1" x14ac:dyDescent="0.25"/>
    <row r="3586" ht="15" customHeight="1" x14ac:dyDescent="0.25"/>
    <row r="3588" ht="15" customHeight="1" x14ac:dyDescent="0.25"/>
    <row r="3590" ht="15" customHeight="1" x14ac:dyDescent="0.25"/>
    <row r="3592" ht="15" customHeight="1" x14ac:dyDescent="0.25"/>
    <row r="3594" ht="15" customHeight="1" x14ac:dyDescent="0.25"/>
    <row r="3596" ht="15" customHeight="1" x14ac:dyDescent="0.25"/>
    <row r="3598" ht="15" customHeight="1" x14ac:dyDescent="0.25"/>
    <row r="3600" ht="15" customHeight="1" x14ac:dyDescent="0.25"/>
    <row r="3602" ht="15" customHeight="1" x14ac:dyDescent="0.25"/>
    <row r="3604" ht="15" customHeight="1" x14ac:dyDescent="0.25"/>
    <row r="3606" ht="15" customHeight="1" x14ac:dyDescent="0.25"/>
    <row r="3608" ht="15" customHeight="1" x14ac:dyDescent="0.25"/>
    <row r="3610" ht="15" customHeight="1" x14ac:dyDescent="0.25"/>
    <row r="3612" ht="15" customHeight="1" x14ac:dyDescent="0.25"/>
    <row r="3614" ht="15" customHeight="1" x14ac:dyDescent="0.25"/>
    <row r="3616" ht="15" customHeight="1" x14ac:dyDescent="0.25"/>
    <row r="3618" ht="15" customHeight="1" x14ac:dyDescent="0.25"/>
    <row r="3620" ht="15" customHeight="1" x14ac:dyDescent="0.25"/>
    <row r="3622" ht="15" customHeight="1" x14ac:dyDescent="0.25"/>
    <row r="3624" ht="15" customHeight="1" x14ac:dyDescent="0.25"/>
    <row r="3626" ht="15" customHeight="1" x14ac:dyDescent="0.25"/>
    <row r="3628" ht="15" customHeight="1" x14ac:dyDescent="0.25"/>
    <row r="3630" ht="15" customHeight="1" x14ac:dyDescent="0.25"/>
    <row r="3632" ht="15" customHeight="1" x14ac:dyDescent="0.25"/>
    <row r="3634" ht="15" customHeight="1" x14ac:dyDescent="0.25"/>
    <row r="3636" ht="15" customHeight="1" x14ac:dyDescent="0.25"/>
    <row r="3638" ht="15" customHeight="1" x14ac:dyDescent="0.25"/>
    <row r="3640" ht="15" customHeight="1" x14ac:dyDescent="0.25"/>
    <row r="3642" ht="15" customHeight="1" x14ac:dyDescent="0.25"/>
    <row r="3644" ht="15" customHeight="1" x14ac:dyDescent="0.25"/>
    <row r="3646" ht="15" customHeight="1" x14ac:dyDescent="0.25"/>
    <row r="3648" ht="15" customHeight="1" x14ac:dyDescent="0.25"/>
    <row r="3650" ht="15" customHeight="1" x14ac:dyDescent="0.25"/>
    <row r="3652" ht="15" customHeight="1" x14ac:dyDescent="0.25"/>
    <row r="3654" ht="15" customHeight="1" x14ac:dyDescent="0.25"/>
    <row r="3656" ht="15" customHeight="1" x14ac:dyDescent="0.25"/>
    <row r="3658" ht="15" customHeight="1" x14ac:dyDescent="0.25"/>
    <row r="3660" ht="15" customHeight="1" x14ac:dyDescent="0.25"/>
    <row r="3662" ht="15" customHeight="1" x14ac:dyDescent="0.25"/>
    <row r="3664" ht="15" customHeight="1" x14ac:dyDescent="0.25"/>
    <row r="3666" ht="15" customHeight="1" x14ac:dyDescent="0.25"/>
    <row r="3668" ht="15" customHeight="1" x14ac:dyDescent="0.25"/>
    <row r="3670" ht="15" customHeight="1" x14ac:dyDescent="0.25"/>
    <row r="3672" ht="15" customHeight="1" x14ac:dyDescent="0.25"/>
    <row r="3674" ht="15" customHeight="1" x14ac:dyDescent="0.25"/>
    <row r="3676" ht="15" customHeight="1" x14ac:dyDescent="0.25"/>
    <row r="3678" ht="15" customHeight="1" x14ac:dyDescent="0.25"/>
    <row r="3680" ht="15" customHeight="1" x14ac:dyDescent="0.25"/>
    <row r="3682" ht="15" customHeight="1" x14ac:dyDescent="0.25"/>
    <row r="3684" ht="15" customHeight="1" x14ac:dyDescent="0.25"/>
    <row r="3686" ht="15" customHeight="1" x14ac:dyDescent="0.25"/>
    <row r="3688" ht="15" customHeight="1" x14ac:dyDescent="0.25"/>
    <row r="3690" ht="15" customHeight="1" x14ac:dyDescent="0.25"/>
    <row r="3692" ht="15" customHeight="1" x14ac:dyDescent="0.25"/>
    <row r="3694" ht="15" customHeight="1" x14ac:dyDescent="0.25"/>
    <row r="3696" ht="15" customHeight="1" x14ac:dyDescent="0.25"/>
    <row r="3698" ht="15" customHeight="1" x14ac:dyDescent="0.25"/>
    <row r="3700" ht="15" customHeight="1" x14ac:dyDescent="0.25"/>
    <row r="3702" ht="15" customHeight="1" x14ac:dyDescent="0.25"/>
    <row r="3704" ht="15" customHeight="1" x14ac:dyDescent="0.25"/>
    <row r="3706" ht="15" customHeight="1" x14ac:dyDescent="0.25"/>
    <row r="3708" ht="15" customHeight="1" x14ac:dyDescent="0.25"/>
    <row r="3710" ht="15" customHeight="1" x14ac:dyDescent="0.25"/>
    <row r="3712" ht="15" customHeight="1" x14ac:dyDescent="0.25"/>
    <row r="3714" ht="15" customHeight="1" x14ac:dyDescent="0.25"/>
    <row r="3716" ht="15" customHeight="1" x14ac:dyDescent="0.25"/>
    <row r="3718" ht="15" customHeight="1" x14ac:dyDescent="0.25"/>
    <row r="3720" ht="15" customHeight="1" x14ac:dyDescent="0.25"/>
    <row r="3722" ht="15" customHeight="1" x14ac:dyDescent="0.25"/>
    <row r="3724" ht="15" customHeight="1" x14ac:dyDescent="0.25"/>
    <row r="3726" ht="15" customHeight="1" x14ac:dyDescent="0.25"/>
    <row r="3728" ht="15" customHeight="1" x14ac:dyDescent="0.25"/>
    <row r="3730" ht="15" customHeight="1" x14ac:dyDescent="0.25"/>
    <row r="3732" ht="15" customHeight="1" x14ac:dyDescent="0.25"/>
    <row r="3734" ht="15" customHeight="1" x14ac:dyDescent="0.25"/>
    <row r="3736" ht="15" customHeight="1" x14ac:dyDescent="0.25"/>
    <row r="3738" ht="15" customHeight="1" x14ac:dyDescent="0.25"/>
    <row r="3740" ht="15" customHeight="1" x14ac:dyDescent="0.25"/>
    <row r="3742" ht="15" customHeight="1" x14ac:dyDescent="0.25"/>
    <row r="3744" ht="15" customHeight="1" x14ac:dyDescent="0.25"/>
    <row r="3746" ht="15" customHeight="1" x14ac:dyDescent="0.25"/>
    <row r="3748" ht="15" customHeight="1" x14ac:dyDescent="0.25"/>
    <row r="3750" ht="15" customHeight="1" x14ac:dyDescent="0.25"/>
    <row r="3752" ht="15" customHeight="1" x14ac:dyDescent="0.25"/>
    <row r="3754" ht="15" customHeight="1" x14ac:dyDescent="0.25"/>
    <row r="3756" ht="15" customHeight="1" x14ac:dyDescent="0.25"/>
    <row r="3758" ht="15" customHeight="1" x14ac:dyDescent="0.25"/>
    <row r="3760" ht="15" customHeight="1" x14ac:dyDescent="0.25"/>
    <row r="3762" ht="15" customHeight="1" x14ac:dyDescent="0.25"/>
    <row r="3764" ht="15" customHeight="1" x14ac:dyDescent="0.25"/>
    <row r="3766" ht="15" customHeight="1" x14ac:dyDescent="0.25"/>
    <row r="3768" ht="15" customHeight="1" x14ac:dyDescent="0.25"/>
    <row r="3770" ht="15" customHeight="1" x14ac:dyDescent="0.25"/>
    <row r="3772" ht="15" customHeight="1" x14ac:dyDescent="0.25"/>
    <row r="3774" ht="15" customHeight="1" x14ac:dyDescent="0.25"/>
    <row r="3776" ht="15" customHeight="1" x14ac:dyDescent="0.25"/>
    <row r="3778" ht="15" customHeight="1" x14ac:dyDescent="0.25"/>
    <row r="3780" ht="15" customHeight="1" x14ac:dyDescent="0.25"/>
    <row r="3782" ht="15" customHeight="1" x14ac:dyDescent="0.25"/>
    <row r="3784" ht="15" customHeight="1" x14ac:dyDescent="0.25"/>
    <row r="3786" ht="15" customHeight="1" x14ac:dyDescent="0.25"/>
    <row r="3788" ht="15" customHeight="1" x14ac:dyDescent="0.25"/>
    <row r="3790" ht="15" customHeight="1" x14ac:dyDescent="0.25"/>
    <row r="3792" ht="15" customHeight="1" x14ac:dyDescent="0.25"/>
    <row r="3794" ht="15" customHeight="1" x14ac:dyDescent="0.25"/>
    <row r="3796" ht="15" customHeight="1" x14ac:dyDescent="0.25"/>
    <row r="3798" ht="15" customHeight="1" x14ac:dyDescent="0.25"/>
    <row r="3800" ht="15" customHeight="1" x14ac:dyDescent="0.25"/>
    <row r="3802" ht="15" customHeight="1" x14ac:dyDescent="0.25"/>
    <row r="3804" ht="15" customHeight="1" x14ac:dyDescent="0.25"/>
    <row r="3806" ht="15" customHeight="1" x14ac:dyDescent="0.25"/>
    <row r="3808" ht="15" customHeight="1" x14ac:dyDescent="0.25"/>
    <row r="3810" ht="15" customHeight="1" x14ac:dyDescent="0.25"/>
    <row r="3812" ht="15" customHeight="1" x14ac:dyDescent="0.25"/>
    <row r="3814" ht="15" customHeight="1" x14ac:dyDescent="0.25"/>
    <row r="3816" ht="15" customHeight="1" x14ac:dyDescent="0.25"/>
    <row r="3818" ht="15" customHeight="1" x14ac:dyDescent="0.25"/>
    <row r="3820" ht="15" customHeight="1" x14ac:dyDescent="0.25"/>
    <row r="3822" ht="15" customHeight="1" x14ac:dyDescent="0.25"/>
    <row r="3824" ht="15" customHeight="1" x14ac:dyDescent="0.25"/>
    <row r="3826" ht="15" customHeight="1" x14ac:dyDescent="0.25"/>
    <row r="3828" ht="15" customHeight="1" x14ac:dyDescent="0.25"/>
    <row r="3830" ht="15" customHeight="1" x14ac:dyDescent="0.25"/>
    <row r="3832" ht="15" customHeight="1" x14ac:dyDescent="0.25"/>
    <row r="3834" ht="15" customHeight="1" x14ac:dyDescent="0.25"/>
    <row r="3836" ht="15" customHeight="1" x14ac:dyDescent="0.25"/>
    <row r="3838" ht="15" customHeight="1" x14ac:dyDescent="0.25"/>
    <row r="3840" ht="15" customHeight="1" x14ac:dyDescent="0.25"/>
    <row r="3842" ht="15" customHeight="1" x14ac:dyDescent="0.25"/>
    <row r="3844" ht="15" customHeight="1" x14ac:dyDescent="0.25"/>
    <row r="3846" ht="15" customHeight="1" x14ac:dyDescent="0.25"/>
    <row r="3848" ht="15" customHeight="1" x14ac:dyDescent="0.25"/>
    <row r="3850" ht="15" customHeight="1" x14ac:dyDescent="0.25"/>
    <row r="3852" ht="15" customHeight="1" x14ac:dyDescent="0.25"/>
    <row r="3854" ht="15" customHeight="1" x14ac:dyDescent="0.25"/>
    <row r="3856" ht="15" customHeight="1" x14ac:dyDescent="0.25"/>
    <row r="3858" ht="15" customHeight="1" x14ac:dyDescent="0.25"/>
    <row r="3860" ht="15" customHeight="1" x14ac:dyDescent="0.25"/>
    <row r="3862" ht="15" customHeight="1" x14ac:dyDescent="0.25"/>
    <row r="3864" ht="15" customHeight="1" x14ac:dyDescent="0.25"/>
    <row r="3866" ht="15" customHeight="1" x14ac:dyDescent="0.25"/>
    <row r="3868" ht="15" customHeight="1" x14ac:dyDescent="0.25"/>
    <row r="3870" ht="15" customHeight="1" x14ac:dyDescent="0.25"/>
    <row r="3872" ht="15" customHeight="1" x14ac:dyDescent="0.25"/>
    <row r="3874" ht="15" customHeight="1" x14ac:dyDescent="0.25"/>
    <row r="3876" ht="15" customHeight="1" x14ac:dyDescent="0.25"/>
    <row r="3878" ht="15" customHeight="1" x14ac:dyDescent="0.25"/>
    <row r="3880" ht="15" customHeight="1" x14ac:dyDescent="0.25"/>
    <row r="3882" ht="15" customHeight="1" x14ac:dyDescent="0.25"/>
    <row r="3884" ht="15" customHeight="1" x14ac:dyDescent="0.25"/>
    <row r="3886" ht="15" customHeight="1" x14ac:dyDescent="0.25"/>
    <row r="3888" ht="15" customHeight="1" x14ac:dyDescent="0.25"/>
    <row r="3890" ht="15" customHeight="1" x14ac:dyDescent="0.25"/>
    <row r="3892" ht="15" customHeight="1" x14ac:dyDescent="0.25"/>
    <row r="3894" ht="15" customHeight="1" x14ac:dyDescent="0.25"/>
    <row r="3896" ht="15" customHeight="1" x14ac:dyDescent="0.25"/>
    <row r="3898" ht="15" customHeight="1" x14ac:dyDescent="0.25"/>
    <row r="3900" ht="15" customHeight="1" x14ac:dyDescent="0.25"/>
    <row r="3902" ht="15" customHeight="1" x14ac:dyDescent="0.25"/>
    <row r="3904" ht="15" customHeight="1" x14ac:dyDescent="0.25"/>
    <row r="3906" ht="15" customHeight="1" x14ac:dyDescent="0.25"/>
    <row r="3908" ht="15" customHeight="1" x14ac:dyDescent="0.25"/>
    <row r="3910" ht="15" customHeight="1" x14ac:dyDescent="0.25"/>
    <row r="3912" ht="15" customHeight="1" x14ac:dyDescent="0.25"/>
    <row r="3914" ht="15" customHeight="1" x14ac:dyDescent="0.25"/>
    <row r="3916" ht="15" customHeight="1" x14ac:dyDescent="0.25"/>
    <row r="3918" ht="15" customHeight="1" x14ac:dyDescent="0.25"/>
    <row r="3920" ht="15" customHeight="1" x14ac:dyDescent="0.25"/>
    <row r="3922" ht="15" customHeight="1" x14ac:dyDescent="0.25"/>
    <row r="3924" ht="15" customHeight="1" x14ac:dyDescent="0.25"/>
    <row r="3926" ht="15" customHeight="1" x14ac:dyDescent="0.25"/>
    <row r="3928" ht="15" customHeight="1" x14ac:dyDescent="0.25"/>
    <row r="3930" ht="15" customHeight="1" x14ac:dyDescent="0.25"/>
    <row r="3932" ht="15" customHeight="1" x14ac:dyDescent="0.25"/>
    <row r="3934" ht="15" customHeight="1" x14ac:dyDescent="0.25"/>
    <row r="3936" ht="15" customHeight="1" x14ac:dyDescent="0.25"/>
    <row r="3938" ht="15" customHeight="1" x14ac:dyDescent="0.25"/>
    <row r="3940" ht="15" customHeight="1" x14ac:dyDescent="0.25"/>
    <row r="3942" ht="15" customHeight="1" x14ac:dyDescent="0.25"/>
    <row r="3944" ht="15" customHeight="1" x14ac:dyDescent="0.25"/>
    <row r="3946" ht="15" customHeight="1" x14ac:dyDescent="0.25"/>
    <row r="3948" ht="15" customHeight="1" x14ac:dyDescent="0.25"/>
    <row r="3950" ht="15" customHeight="1" x14ac:dyDescent="0.25"/>
    <row r="3952" ht="15" customHeight="1" x14ac:dyDescent="0.25"/>
    <row r="3954" ht="15" customHeight="1" x14ac:dyDescent="0.25"/>
    <row r="3956" ht="15" customHeight="1" x14ac:dyDescent="0.25"/>
    <row r="3958" ht="15" customHeight="1" x14ac:dyDescent="0.25"/>
    <row r="3960" ht="15" customHeight="1" x14ac:dyDescent="0.25"/>
    <row r="3962" ht="15" customHeight="1" x14ac:dyDescent="0.25"/>
    <row r="3964" ht="15" customHeight="1" x14ac:dyDescent="0.25"/>
    <row r="3966" ht="15" customHeight="1" x14ac:dyDescent="0.25"/>
    <row r="3968" ht="15" customHeight="1" x14ac:dyDescent="0.25"/>
    <row r="3970" ht="15" customHeight="1" x14ac:dyDescent="0.25"/>
    <row r="3972" ht="15" customHeight="1" x14ac:dyDescent="0.25"/>
    <row r="3974" ht="15" customHeight="1" x14ac:dyDescent="0.25"/>
    <row r="3976" ht="15" customHeight="1" x14ac:dyDescent="0.25"/>
    <row r="3978" ht="15" customHeight="1" x14ac:dyDescent="0.25"/>
    <row r="3980" ht="15" customHeight="1" x14ac:dyDescent="0.25"/>
    <row r="3982" ht="15" customHeight="1" x14ac:dyDescent="0.25"/>
    <row r="3984" ht="15" customHeight="1" x14ac:dyDescent="0.25"/>
    <row r="3986" ht="15" customHeight="1" x14ac:dyDescent="0.25"/>
    <row r="3988" ht="15" customHeight="1" x14ac:dyDescent="0.25"/>
    <row r="3990" ht="15" customHeight="1" x14ac:dyDescent="0.25"/>
    <row r="3992" ht="15" customHeight="1" x14ac:dyDescent="0.25"/>
    <row r="3994" ht="15" customHeight="1" x14ac:dyDescent="0.25"/>
    <row r="3996" ht="15" customHeight="1" x14ac:dyDescent="0.25"/>
    <row r="3998" ht="15" customHeight="1" x14ac:dyDescent="0.25"/>
    <row r="4000" ht="15" customHeight="1" x14ac:dyDescent="0.25"/>
    <row r="4002" ht="15" customHeight="1" x14ac:dyDescent="0.25"/>
    <row r="4004" ht="15" customHeight="1" x14ac:dyDescent="0.25"/>
    <row r="4006" ht="15" customHeight="1" x14ac:dyDescent="0.25"/>
    <row r="4008" ht="15" customHeight="1" x14ac:dyDescent="0.25"/>
    <row r="4010" ht="15" customHeight="1" x14ac:dyDescent="0.25"/>
    <row r="4012" ht="15" customHeight="1" x14ac:dyDescent="0.25"/>
    <row r="4014" ht="15" customHeight="1" x14ac:dyDescent="0.25"/>
    <row r="4016" ht="15" customHeight="1" x14ac:dyDescent="0.25"/>
    <row r="4018" ht="15" customHeight="1" x14ac:dyDescent="0.25"/>
    <row r="4020" ht="15" customHeight="1" x14ac:dyDescent="0.25"/>
    <row r="4022" ht="15" customHeight="1" x14ac:dyDescent="0.25"/>
    <row r="4024" ht="15" customHeight="1" x14ac:dyDescent="0.25"/>
    <row r="4026" ht="15" customHeight="1" x14ac:dyDescent="0.25"/>
    <row r="4028" ht="15" customHeight="1" x14ac:dyDescent="0.25"/>
    <row r="4030" ht="15" customHeight="1" x14ac:dyDescent="0.25"/>
    <row r="4032" ht="15" customHeight="1" x14ac:dyDescent="0.25"/>
    <row r="4034" ht="15" customHeight="1" x14ac:dyDescent="0.25"/>
    <row r="4036" ht="15" customHeight="1" x14ac:dyDescent="0.25"/>
    <row r="4038" ht="15" customHeight="1" x14ac:dyDescent="0.25"/>
    <row r="4040" ht="15" customHeight="1" x14ac:dyDescent="0.25"/>
    <row r="4042" ht="15" customHeight="1" x14ac:dyDescent="0.25"/>
    <row r="4044" ht="15" customHeight="1" x14ac:dyDescent="0.25"/>
    <row r="4046" ht="15" customHeight="1" x14ac:dyDescent="0.25"/>
    <row r="4048" ht="15" customHeight="1" x14ac:dyDescent="0.25"/>
    <row r="4050" ht="15" customHeight="1" x14ac:dyDescent="0.25"/>
    <row r="4052" ht="15" customHeight="1" x14ac:dyDescent="0.25"/>
    <row r="4054" ht="15" customHeight="1" x14ac:dyDescent="0.25"/>
    <row r="4056" ht="15" customHeight="1" x14ac:dyDescent="0.25"/>
    <row r="4058" ht="15" customHeight="1" x14ac:dyDescent="0.25"/>
    <row r="4060" ht="15" customHeight="1" x14ac:dyDescent="0.25"/>
    <row r="4062" ht="15" customHeight="1" x14ac:dyDescent="0.25"/>
    <row r="4064" ht="15" customHeight="1" x14ac:dyDescent="0.25"/>
    <row r="4066" ht="15" customHeight="1" x14ac:dyDescent="0.25"/>
    <row r="4068" ht="15" customHeight="1" x14ac:dyDescent="0.25"/>
    <row r="4070" ht="15" customHeight="1" x14ac:dyDescent="0.25"/>
    <row r="4072" ht="15" customHeight="1" x14ac:dyDescent="0.25"/>
    <row r="4074" ht="15" customHeight="1" x14ac:dyDescent="0.25"/>
    <row r="4076" ht="15" customHeight="1" x14ac:dyDescent="0.25"/>
    <row r="4078" ht="15" customHeight="1" x14ac:dyDescent="0.25"/>
    <row r="4080" ht="15" customHeight="1" x14ac:dyDescent="0.25"/>
    <row r="4082" ht="15" customHeight="1" x14ac:dyDescent="0.25"/>
    <row r="4084" ht="15" customHeight="1" x14ac:dyDescent="0.25"/>
    <row r="4086" ht="15" customHeight="1" x14ac:dyDescent="0.25"/>
    <row r="4088" ht="15" customHeight="1" x14ac:dyDescent="0.25"/>
    <row r="4090" ht="15" customHeight="1" x14ac:dyDescent="0.25"/>
    <row r="4092" ht="15" customHeight="1" x14ac:dyDescent="0.25"/>
    <row r="4094" ht="15" customHeight="1" x14ac:dyDescent="0.25"/>
    <row r="4096" ht="15" customHeight="1" x14ac:dyDescent="0.25"/>
    <row r="4098" ht="15" customHeight="1" x14ac:dyDescent="0.25"/>
    <row r="4100" ht="15" customHeight="1" x14ac:dyDescent="0.25"/>
    <row r="4102" ht="15" customHeight="1" x14ac:dyDescent="0.25"/>
    <row r="4104" ht="15" customHeight="1" x14ac:dyDescent="0.25"/>
    <row r="4106" ht="15" customHeight="1" x14ac:dyDescent="0.25"/>
    <row r="4108" ht="15" customHeight="1" x14ac:dyDescent="0.25"/>
    <row r="4110" ht="15" customHeight="1" x14ac:dyDescent="0.25"/>
    <row r="4112" ht="15" customHeight="1" x14ac:dyDescent="0.25"/>
    <row r="4114" ht="15" customHeight="1" x14ac:dyDescent="0.25"/>
    <row r="4116" ht="15" customHeight="1" x14ac:dyDescent="0.25"/>
    <row r="4118" ht="15" customHeight="1" x14ac:dyDescent="0.25"/>
    <row r="4120" ht="15" customHeight="1" x14ac:dyDescent="0.25"/>
    <row r="4122" ht="15" customHeight="1" x14ac:dyDescent="0.25"/>
    <row r="4124" ht="15" customHeight="1" x14ac:dyDescent="0.25"/>
    <row r="4126" ht="15" customHeight="1" x14ac:dyDescent="0.25"/>
    <row r="4128" ht="15" customHeight="1" x14ac:dyDescent="0.25"/>
    <row r="4130" ht="15" customHeight="1" x14ac:dyDescent="0.25"/>
    <row r="4132" ht="15" customHeight="1" x14ac:dyDescent="0.25"/>
    <row r="4134" ht="15" customHeight="1" x14ac:dyDescent="0.25"/>
    <row r="4136" ht="15" customHeight="1" x14ac:dyDescent="0.25"/>
    <row r="4138" ht="15" customHeight="1" x14ac:dyDescent="0.25"/>
    <row r="4140" ht="15" customHeight="1" x14ac:dyDescent="0.25"/>
    <row r="4142" ht="15" customHeight="1" x14ac:dyDescent="0.25"/>
    <row r="4144" ht="15" customHeight="1" x14ac:dyDescent="0.25"/>
    <row r="4146" ht="15" customHeight="1" x14ac:dyDescent="0.25"/>
    <row r="4148" ht="15" customHeight="1" x14ac:dyDescent="0.25"/>
    <row r="4150" ht="15" customHeight="1" x14ac:dyDescent="0.25"/>
    <row r="4152" ht="15" customHeight="1" x14ac:dyDescent="0.25"/>
    <row r="4154" ht="15" customHeight="1" x14ac:dyDescent="0.25"/>
    <row r="4156" ht="15" customHeight="1" x14ac:dyDescent="0.25"/>
    <row r="4158" ht="15" customHeight="1" x14ac:dyDescent="0.25"/>
    <row r="4160" ht="15" customHeight="1" x14ac:dyDescent="0.25"/>
    <row r="4162" ht="15" customHeight="1" x14ac:dyDescent="0.25"/>
    <row r="4164" ht="15" customHeight="1" x14ac:dyDescent="0.25"/>
    <row r="4166" ht="15" customHeight="1" x14ac:dyDescent="0.25"/>
    <row r="4168" ht="15" customHeight="1" x14ac:dyDescent="0.25"/>
    <row r="4170" ht="15" customHeight="1" x14ac:dyDescent="0.25"/>
    <row r="4172" ht="15" customHeight="1" x14ac:dyDescent="0.25"/>
    <row r="4174" ht="15" customHeight="1" x14ac:dyDescent="0.25"/>
    <row r="4176" ht="15" customHeight="1" x14ac:dyDescent="0.25"/>
    <row r="4178" ht="15" customHeight="1" x14ac:dyDescent="0.25"/>
    <row r="4180" ht="15" customHeight="1" x14ac:dyDescent="0.25"/>
    <row r="4182" ht="15" customHeight="1" x14ac:dyDescent="0.25"/>
    <row r="4184" ht="15" customHeight="1" x14ac:dyDescent="0.25"/>
    <row r="4186" ht="15" customHeight="1" x14ac:dyDescent="0.25"/>
    <row r="4188" ht="15" customHeight="1" x14ac:dyDescent="0.25"/>
    <row r="4190" ht="15" customHeight="1" x14ac:dyDescent="0.25"/>
    <row r="4192" ht="15" customHeight="1" x14ac:dyDescent="0.25"/>
    <row r="4194" ht="15" customHeight="1" x14ac:dyDescent="0.25"/>
    <row r="4196" ht="15" customHeight="1" x14ac:dyDescent="0.25"/>
    <row r="4198" ht="15" customHeight="1" x14ac:dyDescent="0.25"/>
    <row r="4200" ht="15" customHeight="1" x14ac:dyDescent="0.25"/>
    <row r="4202" ht="15" customHeight="1" x14ac:dyDescent="0.25"/>
    <row r="4204" ht="15" customHeight="1" x14ac:dyDescent="0.25"/>
    <row r="4206" ht="15" customHeight="1" x14ac:dyDescent="0.25"/>
    <row r="4208" ht="15" customHeight="1" x14ac:dyDescent="0.25"/>
    <row r="4210" ht="15" customHeight="1" x14ac:dyDescent="0.25"/>
    <row r="4212" ht="15" customHeight="1" x14ac:dyDescent="0.25"/>
    <row r="4214" ht="15" customHeight="1" x14ac:dyDescent="0.25"/>
    <row r="4216" ht="15" customHeight="1" x14ac:dyDescent="0.25"/>
    <row r="4218" ht="15" customHeight="1" x14ac:dyDescent="0.25"/>
    <row r="4220" ht="15" customHeight="1" x14ac:dyDescent="0.25"/>
    <row r="4222" ht="15" customHeight="1" x14ac:dyDescent="0.25"/>
    <row r="4224" ht="15" customHeight="1" x14ac:dyDescent="0.25"/>
    <row r="4226" ht="15" customHeight="1" x14ac:dyDescent="0.25"/>
    <row r="4228" ht="15" customHeight="1" x14ac:dyDescent="0.25"/>
    <row r="4230" ht="15" customHeight="1" x14ac:dyDescent="0.25"/>
    <row r="4232" ht="15" customHeight="1" x14ac:dyDescent="0.25"/>
    <row r="4234" ht="15" customHeight="1" x14ac:dyDescent="0.25"/>
    <row r="4236" ht="15" customHeight="1" x14ac:dyDescent="0.25"/>
    <row r="4238" ht="15" customHeight="1" x14ac:dyDescent="0.25"/>
    <row r="4240" ht="15" customHeight="1" x14ac:dyDescent="0.25"/>
    <row r="4242" ht="15" customHeight="1" x14ac:dyDescent="0.25"/>
    <row r="4244" ht="15" customHeight="1" x14ac:dyDescent="0.25"/>
    <row r="4246" ht="15" customHeight="1" x14ac:dyDescent="0.25"/>
    <row r="4248" ht="15" customHeight="1" x14ac:dyDescent="0.25"/>
    <row r="4250" ht="15" customHeight="1" x14ac:dyDescent="0.25"/>
    <row r="4252" ht="15" customHeight="1" x14ac:dyDescent="0.25"/>
    <row r="4254" ht="15" customHeight="1" x14ac:dyDescent="0.25"/>
    <row r="4256" ht="15" customHeight="1" x14ac:dyDescent="0.25"/>
    <row r="4258" ht="15" customHeight="1" x14ac:dyDescent="0.25"/>
    <row r="4260" ht="15" customHeight="1" x14ac:dyDescent="0.25"/>
    <row r="4262" ht="15" customHeight="1" x14ac:dyDescent="0.25"/>
    <row r="4264" ht="15" customHeight="1" x14ac:dyDescent="0.25"/>
    <row r="4266" ht="15" customHeight="1" x14ac:dyDescent="0.25"/>
    <row r="4268" ht="15" customHeight="1" x14ac:dyDescent="0.25"/>
    <row r="4270" ht="15" customHeight="1" x14ac:dyDescent="0.25"/>
    <row r="4272" ht="15" customHeight="1" x14ac:dyDescent="0.25"/>
    <row r="4274" ht="15" customHeight="1" x14ac:dyDescent="0.25"/>
    <row r="4276" ht="15" customHeight="1" x14ac:dyDescent="0.25"/>
    <row r="4278" ht="15" customHeight="1" x14ac:dyDescent="0.25"/>
    <row r="4280" ht="15" customHeight="1" x14ac:dyDescent="0.25"/>
    <row r="4282" ht="15" customHeight="1" x14ac:dyDescent="0.25"/>
    <row r="4284" ht="15" customHeight="1" x14ac:dyDescent="0.25"/>
    <row r="4286" ht="15" customHeight="1" x14ac:dyDescent="0.25"/>
    <row r="4288" ht="15" customHeight="1" x14ac:dyDescent="0.25"/>
    <row r="4290" ht="15" customHeight="1" x14ac:dyDescent="0.25"/>
    <row r="4292" ht="15" customHeight="1" x14ac:dyDescent="0.25"/>
    <row r="4294" ht="15" customHeight="1" x14ac:dyDescent="0.25"/>
    <row r="4296" ht="15" customHeight="1" x14ac:dyDescent="0.25"/>
    <row r="4298" ht="15" customHeight="1" x14ac:dyDescent="0.25"/>
    <row r="4300" ht="15" customHeight="1" x14ac:dyDescent="0.25"/>
    <row r="4302" ht="15" customHeight="1" x14ac:dyDescent="0.25"/>
    <row r="4304" ht="15" customHeight="1" x14ac:dyDescent="0.25"/>
    <row r="4306" ht="15" customHeight="1" x14ac:dyDescent="0.25"/>
    <row r="4308" ht="15" customHeight="1" x14ac:dyDescent="0.25"/>
    <row r="4310" ht="15" customHeight="1" x14ac:dyDescent="0.25"/>
    <row r="4312" ht="15" customHeight="1" x14ac:dyDescent="0.25"/>
    <row r="4314" ht="15" customHeight="1" x14ac:dyDescent="0.25"/>
    <row r="4316" ht="15" customHeight="1" x14ac:dyDescent="0.25"/>
    <row r="4318" ht="15" customHeight="1" x14ac:dyDescent="0.25"/>
    <row r="4320" ht="15" customHeight="1" x14ac:dyDescent="0.25"/>
    <row r="4322" ht="15" customHeight="1" x14ac:dyDescent="0.25"/>
    <row r="4324" ht="15" customHeight="1" x14ac:dyDescent="0.25"/>
    <row r="4326" ht="15" customHeight="1" x14ac:dyDescent="0.25"/>
    <row r="4328" ht="15" customHeight="1" x14ac:dyDescent="0.25"/>
    <row r="4330" ht="15" customHeight="1" x14ac:dyDescent="0.25"/>
    <row r="4332" ht="15" customHeight="1" x14ac:dyDescent="0.25"/>
    <row r="4334" ht="15" customHeight="1" x14ac:dyDescent="0.25"/>
    <row r="4336" ht="15" customHeight="1" x14ac:dyDescent="0.25"/>
    <row r="4338" ht="15" customHeight="1" x14ac:dyDescent="0.25"/>
    <row r="4340" ht="15" customHeight="1" x14ac:dyDescent="0.25"/>
    <row r="4342" ht="15" customHeight="1" x14ac:dyDescent="0.25"/>
    <row r="4344" ht="15" customHeight="1" x14ac:dyDescent="0.25"/>
    <row r="4346" ht="15" customHeight="1" x14ac:dyDescent="0.25"/>
    <row r="4348" ht="15" customHeight="1" x14ac:dyDescent="0.25"/>
    <row r="4350" ht="15" customHeight="1" x14ac:dyDescent="0.25"/>
    <row r="4352" ht="15" customHeight="1" x14ac:dyDescent="0.25"/>
    <row r="4354" ht="15" customHeight="1" x14ac:dyDescent="0.25"/>
    <row r="4356" ht="15" customHeight="1" x14ac:dyDescent="0.25"/>
    <row r="4358" ht="15" customHeight="1" x14ac:dyDescent="0.25"/>
    <row r="4360" ht="15" customHeight="1" x14ac:dyDescent="0.25"/>
    <row r="4362" ht="15" customHeight="1" x14ac:dyDescent="0.25"/>
    <row r="4364" ht="15" customHeight="1" x14ac:dyDescent="0.25"/>
    <row r="4366" ht="15" customHeight="1" x14ac:dyDescent="0.25"/>
    <row r="4368" ht="15" customHeight="1" x14ac:dyDescent="0.25"/>
    <row r="4370" ht="15" customHeight="1" x14ac:dyDescent="0.25"/>
    <row r="4372" ht="15" customHeight="1" x14ac:dyDescent="0.25"/>
    <row r="4374" ht="15" customHeight="1" x14ac:dyDescent="0.25"/>
    <row r="4376" ht="15" customHeight="1" x14ac:dyDescent="0.25"/>
    <row r="4378" ht="15" customHeight="1" x14ac:dyDescent="0.25"/>
    <row r="4380" ht="15" customHeight="1" x14ac:dyDescent="0.25"/>
    <row r="4382" ht="15" customHeight="1" x14ac:dyDescent="0.25"/>
    <row r="4384" ht="15" customHeight="1" x14ac:dyDescent="0.25"/>
    <row r="4386" ht="15" customHeight="1" x14ac:dyDescent="0.25"/>
    <row r="4388" ht="15" customHeight="1" x14ac:dyDescent="0.25"/>
    <row r="4390" ht="15" customHeight="1" x14ac:dyDescent="0.25"/>
    <row r="4392" ht="15" customHeight="1" x14ac:dyDescent="0.25"/>
    <row r="4394" ht="15" customHeight="1" x14ac:dyDescent="0.25"/>
    <row r="4396" ht="15" customHeight="1" x14ac:dyDescent="0.25"/>
    <row r="4398" ht="15" customHeight="1" x14ac:dyDescent="0.25"/>
    <row r="4400" ht="15" customHeight="1" x14ac:dyDescent="0.25"/>
    <row r="4402" ht="15" customHeight="1" x14ac:dyDescent="0.25"/>
    <row r="4404" ht="15" customHeight="1" x14ac:dyDescent="0.25"/>
    <row r="4406" ht="15" customHeight="1" x14ac:dyDescent="0.25"/>
    <row r="4408" ht="15" customHeight="1" x14ac:dyDescent="0.25"/>
    <row r="4410" ht="15" customHeight="1" x14ac:dyDescent="0.25"/>
    <row r="4412" ht="15" customHeight="1" x14ac:dyDescent="0.25"/>
    <row r="4414" ht="15" customHeight="1" x14ac:dyDescent="0.25"/>
    <row r="4416" ht="15" customHeight="1" x14ac:dyDescent="0.25"/>
    <row r="4418" ht="15" customHeight="1" x14ac:dyDescent="0.25"/>
    <row r="4420" ht="15" customHeight="1" x14ac:dyDescent="0.25"/>
    <row r="4422" ht="15" customHeight="1" x14ac:dyDescent="0.25"/>
    <row r="4424" ht="15" customHeight="1" x14ac:dyDescent="0.25"/>
    <row r="4426" ht="15" customHeight="1" x14ac:dyDescent="0.25"/>
    <row r="4428" ht="15" customHeight="1" x14ac:dyDescent="0.25"/>
    <row r="4430" ht="15" customHeight="1" x14ac:dyDescent="0.25"/>
    <row r="4432" ht="15" customHeight="1" x14ac:dyDescent="0.25"/>
    <row r="4434" ht="15" customHeight="1" x14ac:dyDescent="0.25"/>
    <row r="4436" ht="15" customHeight="1" x14ac:dyDescent="0.25"/>
    <row r="4438" ht="15" customHeight="1" x14ac:dyDescent="0.25"/>
    <row r="4440" ht="15" customHeight="1" x14ac:dyDescent="0.25"/>
    <row r="4442" ht="15" customHeight="1" x14ac:dyDescent="0.25"/>
    <row r="4444" ht="15" customHeight="1" x14ac:dyDescent="0.25"/>
    <row r="4446" ht="15" customHeight="1" x14ac:dyDescent="0.25"/>
    <row r="4448" ht="15" customHeight="1" x14ac:dyDescent="0.25"/>
    <row r="4450" ht="15" customHeight="1" x14ac:dyDescent="0.25"/>
    <row r="4452" ht="15" customHeight="1" x14ac:dyDescent="0.25"/>
    <row r="4454" ht="15" customHeight="1" x14ac:dyDescent="0.25"/>
    <row r="4456" ht="15" customHeight="1" x14ac:dyDescent="0.25"/>
    <row r="4458" ht="15" customHeight="1" x14ac:dyDescent="0.25"/>
    <row r="4460" ht="15" customHeight="1" x14ac:dyDescent="0.25"/>
    <row r="4462" ht="15" customHeight="1" x14ac:dyDescent="0.25"/>
    <row r="4464" ht="15" customHeight="1" x14ac:dyDescent="0.25"/>
    <row r="4466" ht="15" customHeight="1" x14ac:dyDescent="0.25"/>
    <row r="4468" ht="15" customHeight="1" x14ac:dyDescent="0.25"/>
    <row r="4470" ht="15" customHeight="1" x14ac:dyDescent="0.25"/>
    <row r="4472" ht="15" customHeight="1" x14ac:dyDescent="0.25"/>
    <row r="4474" ht="15" customHeight="1" x14ac:dyDescent="0.25"/>
    <row r="4476" ht="15" customHeight="1" x14ac:dyDescent="0.25"/>
    <row r="4478" ht="15" customHeight="1" x14ac:dyDescent="0.25"/>
    <row r="4480" ht="15" customHeight="1" x14ac:dyDescent="0.25"/>
    <row r="4482" ht="15" customHeight="1" x14ac:dyDescent="0.25"/>
    <row r="4484" ht="15" customHeight="1" x14ac:dyDescent="0.25"/>
    <row r="4486" ht="15" customHeight="1" x14ac:dyDescent="0.25"/>
    <row r="4488" ht="15" customHeight="1" x14ac:dyDescent="0.25"/>
    <row r="4490" ht="15" customHeight="1" x14ac:dyDescent="0.25"/>
    <row r="4492" ht="15" customHeight="1" x14ac:dyDescent="0.25"/>
    <row r="4494" ht="15" customHeight="1" x14ac:dyDescent="0.25"/>
    <row r="4496" ht="15" customHeight="1" x14ac:dyDescent="0.25"/>
    <row r="4498" ht="15" customHeight="1" x14ac:dyDescent="0.25"/>
    <row r="4500" ht="15" customHeight="1" x14ac:dyDescent="0.25"/>
    <row r="4502" ht="15" customHeight="1" x14ac:dyDescent="0.25"/>
    <row r="4504" ht="15" customHeight="1" x14ac:dyDescent="0.25"/>
    <row r="4506" ht="15" customHeight="1" x14ac:dyDescent="0.25"/>
    <row r="4508" ht="15" customHeight="1" x14ac:dyDescent="0.25"/>
    <row r="4510" ht="15" customHeight="1" x14ac:dyDescent="0.25"/>
    <row r="4512" ht="15" customHeight="1" x14ac:dyDescent="0.25"/>
    <row r="4514" ht="15" customHeight="1" x14ac:dyDescent="0.25"/>
    <row r="4516" ht="15" customHeight="1" x14ac:dyDescent="0.25"/>
    <row r="4518" ht="15" customHeight="1" x14ac:dyDescent="0.25"/>
    <row r="4520" ht="15" customHeight="1" x14ac:dyDescent="0.25"/>
    <row r="4522" ht="15" customHeight="1" x14ac:dyDescent="0.25"/>
    <row r="4524" ht="15" customHeight="1" x14ac:dyDescent="0.25"/>
    <row r="4526" ht="15" customHeight="1" x14ac:dyDescent="0.25"/>
    <row r="4528" ht="15" customHeight="1" x14ac:dyDescent="0.25"/>
    <row r="4530" ht="15" customHeight="1" x14ac:dyDescent="0.25"/>
    <row r="4532" ht="15" customHeight="1" x14ac:dyDescent="0.25"/>
    <row r="4534" ht="15" customHeight="1" x14ac:dyDescent="0.25"/>
    <row r="4536" ht="15" customHeight="1" x14ac:dyDescent="0.25"/>
    <row r="4538" ht="15" customHeight="1" x14ac:dyDescent="0.25"/>
    <row r="4540" ht="15" customHeight="1" x14ac:dyDescent="0.25"/>
    <row r="4542" ht="15" customHeight="1" x14ac:dyDescent="0.25"/>
    <row r="4544" ht="15" customHeight="1" x14ac:dyDescent="0.25"/>
    <row r="4546" ht="15" customHeight="1" x14ac:dyDescent="0.25"/>
    <row r="4548" ht="15" customHeight="1" x14ac:dyDescent="0.25"/>
    <row r="4550" ht="15" customHeight="1" x14ac:dyDescent="0.25"/>
    <row r="4552" ht="15" customHeight="1" x14ac:dyDescent="0.25"/>
    <row r="4554" ht="15" customHeight="1" x14ac:dyDescent="0.25"/>
    <row r="4556" ht="15" customHeight="1" x14ac:dyDescent="0.25"/>
    <row r="4558" ht="15" customHeight="1" x14ac:dyDescent="0.25"/>
    <row r="4560" ht="15" customHeight="1" x14ac:dyDescent="0.25"/>
    <row r="4562" ht="15" customHeight="1" x14ac:dyDescent="0.25"/>
    <row r="4564" ht="15" customHeight="1" x14ac:dyDescent="0.25"/>
    <row r="4566" ht="15" customHeight="1" x14ac:dyDescent="0.25"/>
    <row r="4568" ht="15" customHeight="1" x14ac:dyDescent="0.25"/>
    <row r="4570" ht="15" customHeight="1" x14ac:dyDescent="0.25"/>
    <row r="4572" ht="15" customHeight="1" x14ac:dyDescent="0.25"/>
    <row r="4574" ht="15" customHeight="1" x14ac:dyDescent="0.25"/>
    <row r="4576" ht="15" customHeight="1" x14ac:dyDescent="0.25"/>
    <row r="4578" ht="15" customHeight="1" x14ac:dyDescent="0.25"/>
    <row r="4580" ht="15" customHeight="1" x14ac:dyDescent="0.25"/>
    <row r="4582" ht="15" customHeight="1" x14ac:dyDescent="0.25"/>
    <row r="4584" ht="15" customHeight="1" x14ac:dyDescent="0.25"/>
    <row r="4586" ht="15" customHeight="1" x14ac:dyDescent="0.25"/>
    <row r="4588" ht="15" customHeight="1" x14ac:dyDescent="0.25"/>
    <row r="4590" ht="15" customHeight="1" x14ac:dyDescent="0.25"/>
    <row r="4592" ht="15" customHeight="1" x14ac:dyDescent="0.25"/>
    <row r="4594" ht="15" customHeight="1" x14ac:dyDescent="0.25"/>
    <row r="4596" ht="15" customHeight="1" x14ac:dyDescent="0.25"/>
    <row r="4598" ht="15" customHeight="1" x14ac:dyDescent="0.25"/>
    <row r="4600" ht="15" customHeight="1" x14ac:dyDescent="0.25"/>
    <row r="4602" ht="15" customHeight="1" x14ac:dyDescent="0.25"/>
    <row r="4604" ht="15" customHeight="1" x14ac:dyDescent="0.25"/>
    <row r="4606" ht="15" customHeight="1" x14ac:dyDescent="0.25"/>
    <row r="4608" ht="15" customHeight="1" x14ac:dyDescent="0.25"/>
    <row r="4610" ht="15" customHeight="1" x14ac:dyDescent="0.25"/>
    <row r="4612" ht="15" customHeight="1" x14ac:dyDescent="0.25"/>
    <row r="4614" ht="15" customHeight="1" x14ac:dyDescent="0.25"/>
    <row r="4616" ht="15" customHeight="1" x14ac:dyDescent="0.25"/>
    <row r="4618" ht="15" customHeight="1" x14ac:dyDescent="0.25"/>
    <row r="4620" ht="15" customHeight="1" x14ac:dyDescent="0.25"/>
    <row r="4622" ht="15" customHeight="1" x14ac:dyDescent="0.25"/>
    <row r="4624" ht="15" customHeight="1" x14ac:dyDescent="0.25"/>
    <row r="4626" ht="15" customHeight="1" x14ac:dyDescent="0.25"/>
    <row r="4628" ht="15" customHeight="1" x14ac:dyDescent="0.25"/>
    <row r="4630" ht="15" customHeight="1" x14ac:dyDescent="0.25"/>
    <row r="4632" ht="15" customHeight="1" x14ac:dyDescent="0.25"/>
    <row r="4634" ht="15" customHeight="1" x14ac:dyDescent="0.25"/>
    <row r="4636" ht="15" customHeight="1" x14ac:dyDescent="0.25"/>
    <row r="4638" ht="15" customHeight="1" x14ac:dyDescent="0.25"/>
    <row r="4640" ht="15" customHeight="1" x14ac:dyDescent="0.25"/>
    <row r="4642" ht="15" customHeight="1" x14ac:dyDescent="0.25"/>
    <row r="4644" ht="15" customHeight="1" x14ac:dyDescent="0.25"/>
    <row r="4646" ht="15" customHeight="1" x14ac:dyDescent="0.25"/>
    <row r="4648" ht="15" customHeight="1" x14ac:dyDescent="0.25"/>
    <row r="4650" ht="15" customHeight="1" x14ac:dyDescent="0.25"/>
    <row r="4652" ht="15" customHeight="1" x14ac:dyDescent="0.25"/>
    <row r="4654" ht="15" customHeight="1" x14ac:dyDescent="0.25"/>
    <row r="4656" ht="15" customHeight="1" x14ac:dyDescent="0.25"/>
    <row r="4658" ht="15" customHeight="1" x14ac:dyDescent="0.25"/>
    <row r="4660" ht="15" customHeight="1" x14ac:dyDescent="0.25"/>
    <row r="4662" ht="15" customHeight="1" x14ac:dyDescent="0.25"/>
    <row r="4664" ht="15" customHeight="1" x14ac:dyDescent="0.25"/>
    <row r="4666" ht="15" customHeight="1" x14ac:dyDescent="0.25"/>
    <row r="4668" ht="15" customHeight="1" x14ac:dyDescent="0.25"/>
    <row r="4670" ht="15" customHeight="1" x14ac:dyDescent="0.25"/>
    <row r="4672" ht="15" customHeight="1" x14ac:dyDescent="0.25"/>
    <row r="4674" ht="15" customHeight="1" x14ac:dyDescent="0.25"/>
    <row r="4676" ht="15" customHeight="1" x14ac:dyDescent="0.25"/>
    <row r="4678" ht="15" customHeight="1" x14ac:dyDescent="0.25"/>
    <row r="4680" ht="15" customHeight="1" x14ac:dyDescent="0.25"/>
    <row r="4682" ht="15" customHeight="1" x14ac:dyDescent="0.25"/>
    <row r="4684" ht="15" customHeight="1" x14ac:dyDescent="0.25"/>
    <row r="4686" ht="15" customHeight="1" x14ac:dyDescent="0.25"/>
    <row r="4688" ht="15" customHeight="1" x14ac:dyDescent="0.25"/>
    <row r="4690" ht="15" customHeight="1" x14ac:dyDescent="0.25"/>
    <row r="4692" ht="15" customHeight="1" x14ac:dyDescent="0.25"/>
    <row r="4694" ht="15" customHeight="1" x14ac:dyDescent="0.25"/>
    <row r="4696" ht="15" customHeight="1" x14ac:dyDescent="0.25"/>
    <row r="4698" ht="15" customHeight="1" x14ac:dyDescent="0.25"/>
    <row r="4700" ht="15" customHeight="1" x14ac:dyDescent="0.25"/>
    <row r="4702" ht="15" customHeight="1" x14ac:dyDescent="0.25"/>
    <row r="4704" ht="15" customHeight="1" x14ac:dyDescent="0.25"/>
    <row r="4706" ht="15" customHeight="1" x14ac:dyDescent="0.25"/>
    <row r="4708" ht="15" customHeight="1" x14ac:dyDescent="0.25"/>
    <row r="4710" ht="15" customHeight="1" x14ac:dyDescent="0.25"/>
    <row r="4712" ht="15" customHeight="1" x14ac:dyDescent="0.25"/>
    <row r="4714" ht="15" customHeight="1" x14ac:dyDescent="0.25"/>
    <row r="4716" ht="15" customHeight="1" x14ac:dyDescent="0.25"/>
    <row r="4718" ht="15" customHeight="1" x14ac:dyDescent="0.25"/>
    <row r="4720" ht="15" customHeight="1" x14ac:dyDescent="0.25"/>
    <row r="4722" ht="15" customHeight="1" x14ac:dyDescent="0.25"/>
    <row r="4724" ht="15" customHeight="1" x14ac:dyDescent="0.25"/>
    <row r="4726" ht="15" customHeight="1" x14ac:dyDescent="0.25"/>
    <row r="4728" ht="15" customHeight="1" x14ac:dyDescent="0.25"/>
    <row r="4730" ht="15" customHeight="1" x14ac:dyDescent="0.25"/>
    <row r="4732" ht="15" customHeight="1" x14ac:dyDescent="0.25"/>
    <row r="4734" ht="15" customHeight="1" x14ac:dyDescent="0.25"/>
    <row r="4736" ht="15" customHeight="1" x14ac:dyDescent="0.25"/>
    <row r="4738" ht="15" customHeight="1" x14ac:dyDescent="0.25"/>
    <row r="4740" ht="15" customHeight="1" x14ac:dyDescent="0.25"/>
    <row r="4742" ht="15" customHeight="1" x14ac:dyDescent="0.25"/>
    <row r="4744" ht="15" customHeight="1" x14ac:dyDescent="0.25"/>
    <row r="4746" ht="15" customHeight="1" x14ac:dyDescent="0.25"/>
    <row r="4748" ht="15" customHeight="1" x14ac:dyDescent="0.25"/>
    <row r="4750" ht="15" customHeight="1" x14ac:dyDescent="0.25"/>
    <row r="4752" ht="15" customHeight="1" x14ac:dyDescent="0.25"/>
    <row r="4754" ht="15" customHeight="1" x14ac:dyDescent="0.25"/>
    <row r="4756" ht="15" customHeight="1" x14ac:dyDescent="0.25"/>
    <row r="4758" ht="15" customHeight="1" x14ac:dyDescent="0.25"/>
    <row r="4760" ht="15" customHeight="1" x14ac:dyDescent="0.25"/>
    <row r="4762" ht="15" customHeight="1" x14ac:dyDescent="0.25"/>
    <row r="4764" ht="15" customHeight="1" x14ac:dyDescent="0.25"/>
    <row r="4766" ht="15" customHeight="1" x14ac:dyDescent="0.25"/>
    <row r="4768" ht="15" customHeight="1" x14ac:dyDescent="0.25"/>
    <row r="4770" ht="15" customHeight="1" x14ac:dyDescent="0.25"/>
    <row r="4772" ht="15" customHeight="1" x14ac:dyDescent="0.25"/>
    <row r="4774" ht="15" customHeight="1" x14ac:dyDescent="0.25"/>
    <row r="4776" ht="15" customHeight="1" x14ac:dyDescent="0.25"/>
    <row r="4778" ht="15" customHeight="1" x14ac:dyDescent="0.25"/>
    <row r="4780" ht="15" customHeight="1" x14ac:dyDescent="0.25"/>
    <row r="4782" ht="15" customHeight="1" x14ac:dyDescent="0.25"/>
    <row r="4784" ht="15" customHeight="1" x14ac:dyDescent="0.25"/>
    <row r="4786" ht="15" customHeight="1" x14ac:dyDescent="0.25"/>
    <row r="4788" ht="15" customHeight="1" x14ac:dyDescent="0.25"/>
    <row r="4790" ht="15" customHeight="1" x14ac:dyDescent="0.25"/>
    <row r="4792" ht="15" customHeight="1" x14ac:dyDescent="0.25"/>
    <row r="4794" ht="15" customHeight="1" x14ac:dyDescent="0.25"/>
    <row r="4796" ht="15" customHeight="1" x14ac:dyDescent="0.25"/>
    <row r="4798" ht="15" customHeight="1" x14ac:dyDescent="0.25"/>
    <row r="4800" ht="15" customHeight="1" x14ac:dyDescent="0.25"/>
    <row r="4802" ht="15" customHeight="1" x14ac:dyDescent="0.25"/>
    <row r="4804" ht="15" customHeight="1" x14ac:dyDescent="0.25"/>
    <row r="4806" ht="15" customHeight="1" x14ac:dyDescent="0.25"/>
    <row r="4808" ht="15" customHeight="1" x14ac:dyDescent="0.25"/>
    <row r="4810" ht="15" customHeight="1" x14ac:dyDescent="0.25"/>
    <row r="4812" ht="15" customHeight="1" x14ac:dyDescent="0.25"/>
    <row r="4814" ht="15" customHeight="1" x14ac:dyDescent="0.25"/>
    <row r="4816" ht="15" customHeight="1" x14ac:dyDescent="0.25"/>
    <row r="4818" ht="15" customHeight="1" x14ac:dyDescent="0.25"/>
    <row r="4820" ht="15" customHeight="1" x14ac:dyDescent="0.25"/>
    <row r="4822" ht="15" customHeight="1" x14ac:dyDescent="0.25"/>
    <row r="4824" ht="15" customHeight="1" x14ac:dyDescent="0.25"/>
    <row r="4826" ht="15" customHeight="1" x14ac:dyDescent="0.25"/>
    <row r="4828" ht="15" customHeight="1" x14ac:dyDescent="0.25"/>
    <row r="4830" ht="15" customHeight="1" x14ac:dyDescent="0.25"/>
    <row r="4832" ht="15" customHeight="1" x14ac:dyDescent="0.25"/>
    <row r="4834" ht="15" customHeight="1" x14ac:dyDescent="0.25"/>
    <row r="4836" ht="15" customHeight="1" x14ac:dyDescent="0.25"/>
    <row r="4838" ht="15" customHeight="1" x14ac:dyDescent="0.25"/>
    <row r="4840" ht="15" customHeight="1" x14ac:dyDescent="0.25"/>
    <row r="4842" ht="15" customHeight="1" x14ac:dyDescent="0.25"/>
    <row r="4844" ht="15" customHeight="1" x14ac:dyDescent="0.25"/>
    <row r="4846" ht="15" customHeight="1" x14ac:dyDescent="0.25"/>
    <row r="4848" ht="15" customHeight="1" x14ac:dyDescent="0.25"/>
    <row r="4850" ht="15" customHeight="1" x14ac:dyDescent="0.25"/>
    <row r="4852" ht="15" customHeight="1" x14ac:dyDescent="0.25"/>
    <row r="4854" ht="15" customHeight="1" x14ac:dyDescent="0.25"/>
    <row r="4856" ht="15" customHeight="1" x14ac:dyDescent="0.25"/>
    <row r="4858" ht="15" customHeight="1" x14ac:dyDescent="0.25"/>
    <row r="4860" ht="15" customHeight="1" x14ac:dyDescent="0.25"/>
    <row r="4862" ht="15" customHeight="1" x14ac:dyDescent="0.25"/>
    <row r="4864" ht="15" customHeight="1" x14ac:dyDescent="0.25"/>
    <row r="4866" ht="15" customHeight="1" x14ac:dyDescent="0.25"/>
    <row r="4868" ht="15" customHeight="1" x14ac:dyDescent="0.25"/>
    <row r="4870" ht="15" customHeight="1" x14ac:dyDescent="0.25"/>
    <row r="4872" ht="15" customHeight="1" x14ac:dyDescent="0.25"/>
    <row r="4874" ht="15" customHeight="1" x14ac:dyDescent="0.25"/>
    <row r="4876" ht="15" customHeight="1" x14ac:dyDescent="0.25"/>
    <row r="4878" ht="15" customHeight="1" x14ac:dyDescent="0.25"/>
    <row r="4880" ht="15" customHeight="1" x14ac:dyDescent="0.25"/>
    <row r="4882" ht="15" customHeight="1" x14ac:dyDescent="0.25"/>
    <row r="4884" ht="15" customHeight="1" x14ac:dyDescent="0.25"/>
    <row r="4886" ht="15" customHeight="1" x14ac:dyDescent="0.25"/>
    <row r="4888" ht="15" customHeight="1" x14ac:dyDescent="0.25"/>
    <row r="4890" ht="15" customHeight="1" x14ac:dyDescent="0.25"/>
    <row r="4892" ht="15" customHeight="1" x14ac:dyDescent="0.25"/>
    <row r="4894" ht="15" customHeight="1" x14ac:dyDescent="0.25"/>
    <row r="4896" ht="15" customHeight="1" x14ac:dyDescent="0.25"/>
    <row r="4898" ht="15" customHeight="1" x14ac:dyDescent="0.25"/>
    <row r="4900" ht="15" customHeight="1" x14ac:dyDescent="0.25"/>
    <row r="4902" ht="15" customHeight="1" x14ac:dyDescent="0.25"/>
    <row r="4904" ht="15" customHeight="1" x14ac:dyDescent="0.25"/>
    <row r="4906" ht="15" customHeight="1" x14ac:dyDescent="0.25"/>
    <row r="4908" ht="15" customHeight="1" x14ac:dyDescent="0.25"/>
    <row r="4910" ht="15" customHeight="1" x14ac:dyDescent="0.25"/>
    <row r="4912" ht="15" customHeight="1" x14ac:dyDescent="0.25"/>
    <row r="4914" ht="15" customHeight="1" x14ac:dyDescent="0.25"/>
    <row r="4916" ht="15" customHeight="1" x14ac:dyDescent="0.25"/>
    <row r="4918" ht="15" customHeight="1" x14ac:dyDescent="0.25"/>
    <row r="4920" ht="15" customHeight="1" x14ac:dyDescent="0.25"/>
    <row r="4922" ht="15" customHeight="1" x14ac:dyDescent="0.25"/>
    <row r="4924" ht="15" customHeight="1" x14ac:dyDescent="0.25"/>
    <row r="4926" ht="15" customHeight="1" x14ac:dyDescent="0.25"/>
    <row r="4928" ht="15" customHeight="1" x14ac:dyDescent="0.25"/>
    <row r="4930" ht="15" customHeight="1" x14ac:dyDescent="0.25"/>
    <row r="4932" ht="15" customHeight="1" x14ac:dyDescent="0.25"/>
    <row r="4934" ht="15" customHeight="1" x14ac:dyDescent="0.25"/>
    <row r="4936" ht="15" customHeight="1" x14ac:dyDescent="0.25"/>
    <row r="4938" ht="15" customHeight="1" x14ac:dyDescent="0.25"/>
    <row r="4940" ht="15" customHeight="1" x14ac:dyDescent="0.25"/>
    <row r="4942" ht="15" customHeight="1" x14ac:dyDescent="0.25"/>
    <row r="4944" ht="15" customHeight="1" x14ac:dyDescent="0.25"/>
    <row r="4946" ht="15" customHeight="1" x14ac:dyDescent="0.25"/>
    <row r="4948" ht="15" customHeight="1" x14ac:dyDescent="0.25"/>
    <row r="4950" ht="15" customHeight="1" x14ac:dyDescent="0.25"/>
    <row r="4952" ht="15" customHeight="1" x14ac:dyDescent="0.25"/>
    <row r="4954" ht="15" customHeight="1" x14ac:dyDescent="0.25"/>
    <row r="4956" ht="15" customHeight="1" x14ac:dyDescent="0.25"/>
    <row r="4958" ht="15" customHeight="1" x14ac:dyDescent="0.25"/>
    <row r="4960" ht="15" customHeight="1" x14ac:dyDescent="0.25"/>
    <row r="4962" ht="15" customHeight="1" x14ac:dyDescent="0.25"/>
    <row r="4964" ht="15" customHeight="1" x14ac:dyDescent="0.25"/>
    <row r="4966" ht="15" customHeight="1" x14ac:dyDescent="0.25"/>
    <row r="4968" ht="15" customHeight="1" x14ac:dyDescent="0.25"/>
    <row r="4970" ht="15" customHeight="1" x14ac:dyDescent="0.25"/>
    <row r="4972" ht="15" customHeight="1" x14ac:dyDescent="0.25"/>
    <row r="4974" ht="15" customHeight="1" x14ac:dyDescent="0.25"/>
    <row r="4976" ht="15" customHeight="1" x14ac:dyDescent="0.25"/>
    <row r="4978" ht="15" customHeight="1" x14ac:dyDescent="0.25"/>
    <row r="4980" ht="15" customHeight="1" x14ac:dyDescent="0.25"/>
    <row r="4982" ht="15" customHeight="1" x14ac:dyDescent="0.25"/>
    <row r="4984" ht="15" customHeight="1" x14ac:dyDescent="0.25"/>
    <row r="4986" ht="15" customHeight="1" x14ac:dyDescent="0.25"/>
    <row r="4988" ht="15" customHeight="1" x14ac:dyDescent="0.25"/>
    <row r="4990" ht="15" customHeight="1" x14ac:dyDescent="0.25"/>
    <row r="4992" ht="15" customHeight="1" x14ac:dyDescent="0.25"/>
    <row r="4994" ht="15" customHeight="1" x14ac:dyDescent="0.25"/>
    <row r="4996" ht="15" customHeight="1" x14ac:dyDescent="0.25"/>
    <row r="4998" ht="15" customHeight="1" x14ac:dyDescent="0.25"/>
    <row r="5000" ht="15" customHeight="1" x14ac:dyDescent="0.25"/>
    <row r="5002" ht="15" customHeight="1" x14ac:dyDescent="0.25"/>
    <row r="5004" ht="15" customHeight="1" x14ac:dyDescent="0.25"/>
    <row r="5006" ht="15" customHeight="1" x14ac:dyDescent="0.25"/>
    <row r="5008" ht="15" customHeight="1" x14ac:dyDescent="0.25"/>
    <row r="5010" ht="15" customHeight="1" x14ac:dyDescent="0.25"/>
    <row r="5012" ht="15" customHeight="1" x14ac:dyDescent="0.25"/>
    <row r="5014" ht="15" customHeight="1" x14ac:dyDescent="0.25"/>
    <row r="5016" ht="15" customHeight="1" x14ac:dyDescent="0.25"/>
    <row r="5018" ht="15" customHeight="1" x14ac:dyDescent="0.25"/>
    <row r="5020" ht="15" customHeight="1" x14ac:dyDescent="0.25"/>
    <row r="5022" ht="15" customHeight="1" x14ac:dyDescent="0.25"/>
    <row r="5024" ht="15" customHeight="1" x14ac:dyDescent="0.25"/>
    <row r="5026" ht="15" customHeight="1" x14ac:dyDescent="0.25"/>
    <row r="5028" ht="15" customHeight="1" x14ac:dyDescent="0.25"/>
    <row r="5030" ht="15" customHeight="1" x14ac:dyDescent="0.25"/>
    <row r="5032" ht="15" customHeight="1" x14ac:dyDescent="0.25"/>
    <row r="5034" ht="15" customHeight="1" x14ac:dyDescent="0.25"/>
    <row r="5036" ht="15" customHeight="1" x14ac:dyDescent="0.25"/>
    <row r="5038" ht="15" customHeight="1" x14ac:dyDescent="0.25"/>
    <row r="5040" ht="15" customHeight="1" x14ac:dyDescent="0.25"/>
    <row r="5042" ht="15" customHeight="1" x14ac:dyDescent="0.25"/>
    <row r="5044" ht="15" customHeight="1" x14ac:dyDescent="0.25"/>
    <row r="5046" ht="15" customHeight="1" x14ac:dyDescent="0.25"/>
    <row r="5048" ht="15" customHeight="1" x14ac:dyDescent="0.25"/>
    <row r="5050" ht="15" customHeight="1" x14ac:dyDescent="0.25"/>
    <row r="5052" ht="15" customHeight="1" x14ac:dyDescent="0.25"/>
    <row r="5054" ht="15" customHeight="1" x14ac:dyDescent="0.25"/>
    <row r="5056" ht="15" customHeight="1" x14ac:dyDescent="0.25"/>
    <row r="5058" ht="15" customHeight="1" x14ac:dyDescent="0.25"/>
    <row r="5060" ht="15" customHeight="1" x14ac:dyDescent="0.25"/>
    <row r="5062" ht="15" customHeight="1" x14ac:dyDescent="0.25"/>
    <row r="5064" ht="15" customHeight="1" x14ac:dyDescent="0.25"/>
    <row r="5066" ht="15" customHeight="1" x14ac:dyDescent="0.25"/>
    <row r="5068" ht="15" customHeight="1" x14ac:dyDescent="0.25"/>
    <row r="5070" ht="15" customHeight="1" x14ac:dyDescent="0.25"/>
    <row r="5072" ht="15" customHeight="1" x14ac:dyDescent="0.25"/>
    <row r="5074" ht="15" customHeight="1" x14ac:dyDescent="0.25"/>
    <row r="5076" ht="15" customHeight="1" x14ac:dyDescent="0.25"/>
    <row r="5078" ht="15" customHeight="1" x14ac:dyDescent="0.25"/>
    <row r="5080" ht="15" customHeight="1" x14ac:dyDescent="0.25"/>
    <row r="5082" ht="15" customHeight="1" x14ac:dyDescent="0.25"/>
    <row r="5084" ht="15" customHeight="1" x14ac:dyDescent="0.25"/>
    <row r="5086" ht="15" customHeight="1" x14ac:dyDescent="0.25"/>
    <row r="5088" ht="15" customHeight="1" x14ac:dyDescent="0.25"/>
    <row r="5090" ht="15" customHeight="1" x14ac:dyDescent="0.25"/>
    <row r="5092" ht="15" customHeight="1" x14ac:dyDescent="0.25"/>
    <row r="5094" ht="15" customHeight="1" x14ac:dyDescent="0.25"/>
    <row r="5096" ht="15" customHeight="1" x14ac:dyDescent="0.25"/>
    <row r="5098" ht="15" customHeight="1" x14ac:dyDescent="0.25"/>
    <row r="5100" ht="15" customHeight="1" x14ac:dyDescent="0.25"/>
    <row r="5102" ht="15" customHeight="1" x14ac:dyDescent="0.25"/>
    <row r="5104" ht="15" customHeight="1" x14ac:dyDescent="0.25"/>
    <row r="5106" ht="15" customHeight="1" x14ac:dyDescent="0.25"/>
    <row r="5108" ht="15" customHeight="1" x14ac:dyDescent="0.25"/>
    <row r="5110" ht="15" customHeight="1" x14ac:dyDescent="0.25"/>
    <row r="5112" ht="15" customHeight="1" x14ac:dyDescent="0.25"/>
    <row r="5114" ht="15" customHeight="1" x14ac:dyDescent="0.25"/>
    <row r="5116" ht="15" customHeight="1" x14ac:dyDescent="0.25"/>
    <row r="5118" ht="15" customHeight="1" x14ac:dyDescent="0.25"/>
    <row r="5120" ht="15" customHeight="1" x14ac:dyDescent="0.25"/>
    <row r="5122" ht="15" customHeight="1" x14ac:dyDescent="0.25"/>
    <row r="5124" ht="15" customHeight="1" x14ac:dyDescent="0.25"/>
    <row r="5126" ht="15" customHeight="1" x14ac:dyDescent="0.25"/>
    <row r="5128" ht="15" customHeight="1" x14ac:dyDescent="0.25"/>
    <row r="5130" ht="15" customHeight="1" x14ac:dyDescent="0.25"/>
    <row r="5132" ht="15" customHeight="1" x14ac:dyDescent="0.25"/>
    <row r="5134" ht="15" customHeight="1" x14ac:dyDescent="0.25"/>
    <row r="5136" ht="15" customHeight="1" x14ac:dyDescent="0.25"/>
    <row r="5138" ht="15" customHeight="1" x14ac:dyDescent="0.25"/>
    <row r="5140" ht="15" customHeight="1" x14ac:dyDescent="0.25"/>
    <row r="5142" ht="15" customHeight="1" x14ac:dyDescent="0.25"/>
    <row r="5144" ht="15" customHeight="1" x14ac:dyDescent="0.25"/>
    <row r="5146" ht="15" customHeight="1" x14ac:dyDescent="0.25"/>
    <row r="5148" ht="15" customHeight="1" x14ac:dyDescent="0.25"/>
    <row r="5150" ht="15" customHeight="1" x14ac:dyDescent="0.25"/>
    <row r="5152" ht="15" customHeight="1" x14ac:dyDescent="0.25"/>
    <row r="5154" ht="15" customHeight="1" x14ac:dyDescent="0.25"/>
    <row r="5156" ht="15" customHeight="1" x14ac:dyDescent="0.25"/>
    <row r="5158" ht="15" customHeight="1" x14ac:dyDescent="0.25"/>
    <row r="5160" ht="15" customHeight="1" x14ac:dyDescent="0.25"/>
    <row r="5162" ht="15" customHeight="1" x14ac:dyDescent="0.25"/>
    <row r="5164" ht="15" customHeight="1" x14ac:dyDescent="0.25"/>
    <row r="5166" ht="15" customHeight="1" x14ac:dyDescent="0.25"/>
    <row r="5168" ht="15" customHeight="1" x14ac:dyDescent="0.25"/>
    <row r="5170" ht="15" customHeight="1" x14ac:dyDescent="0.25"/>
    <row r="5172" ht="15" customHeight="1" x14ac:dyDescent="0.25"/>
    <row r="5174" ht="15" customHeight="1" x14ac:dyDescent="0.25"/>
    <row r="5176" ht="15" customHeight="1" x14ac:dyDescent="0.25"/>
    <row r="5178" ht="15" customHeight="1" x14ac:dyDescent="0.25"/>
    <row r="5180" ht="15" customHeight="1" x14ac:dyDescent="0.25"/>
    <row r="5182" ht="15" customHeight="1" x14ac:dyDescent="0.25"/>
    <row r="5184" ht="15" customHeight="1" x14ac:dyDescent="0.25"/>
    <row r="5186" ht="15" customHeight="1" x14ac:dyDescent="0.25"/>
    <row r="5188" ht="15" customHeight="1" x14ac:dyDescent="0.25"/>
    <row r="5190" ht="15" customHeight="1" x14ac:dyDescent="0.25"/>
    <row r="5192" ht="15" customHeight="1" x14ac:dyDescent="0.25"/>
    <row r="5194" ht="15" customHeight="1" x14ac:dyDescent="0.25"/>
    <row r="5196" ht="15" customHeight="1" x14ac:dyDescent="0.25"/>
    <row r="5198" ht="15" customHeight="1" x14ac:dyDescent="0.25"/>
    <row r="5200" ht="15" customHeight="1" x14ac:dyDescent="0.25"/>
    <row r="5202" ht="15" customHeight="1" x14ac:dyDescent="0.25"/>
    <row r="5204" ht="15" customHeight="1" x14ac:dyDescent="0.25"/>
    <row r="5206" ht="15" customHeight="1" x14ac:dyDescent="0.25"/>
    <row r="5208" ht="15" customHeight="1" x14ac:dyDescent="0.25"/>
    <row r="5210" ht="15" customHeight="1" x14ac:dyDescent="0.25"/>
    <row r="5212" ht="15" customHeight="1" x14ac:dyDescent="0.25"/>
    <row r="5214" ht="15" customHeight="1" x14ac:dyDescent="0.25"/>
    <row r="5216" ht="15" customHeight="1" x14ac:dyDescent="0.25"/>
    <row r="5218" ht="15" customHeight="1" x14ac:dyDescent="0.25"/>
    <row r="5220" ht="15" customHeight="1" x14ac:dyDescent="0.25"/>
    <row r="5222" ht="15" customHeight="1" x14ac:dyDescent="0.25"/>
    <row r="5224" ht="15" customHeight="1" x14ac:dyDescent="0.25"/>
    <row r="5226" ht="15" customHeight="1" x14ac:dyDescent="0.25"/>
    <row r="5228" ht="15" customHeight="1" x14ac:dyDescent="0.25"/>
    <row r="5230" ht="15" customHeight="1" x14ac:dyDescent="0.25"/>
    <row r="5232" ht="15" customHeight="1" x14ac:dyDescent="0.25"/>
    <row r="5234" ht="15" customHeight="1" x14ac:dyDescent="0.25"/>
    <row r="5236" ht="15" customHeight="1" x14ac:dyDescent="0.25"/>
    <row r="5238" ht="15" customHeight="1" x14ac:dyDescent="0.25"/>
    <row r="5240" ht="15" customHeight="1" x14ac:dyDescent="0.25"/>
    <row r="5242" ht="15" customHeight="1" x14ac:dyDescent="0.25"/>
    <row r="5244" ht="15" customHeight="1" x14ac:dyDescent="0.25"/>
    <row r="5246" ht="15" customHeight="1" x14ac:dyDescent="0.25"/>
    <row r="5248" ht="15" customHeight="1" x14ac:dyDescent="0.25"/>
    <row r="5250" ht="15" customHeight="1" x14ac:dyDescent="0.25"/>
    <row r="5252" ht="15" customHeight="1" x14ac:dyDescent="0.25"/>
    <row r="5254" ht="15" customHeight="1" x14ac:dyDescent="0.25"/>
    <row r="5256" ht="15" customHeight="1" x14ac:dyDescent="0.25"/>
    <row r="5258" ht="15" customHeight="1" x14ac:dyDescent="0.25"/>
    <row r="5260" ht="15" customHeight="1" x14ac:dyDescent="0.25"/>
    <row r="5262" ht="15" customHeight="1" x14ac:dyDescent="0.25"/>
    <row r="5264" ht="15" customHeight="1" x14ac:dyDescent="0.25"/>
    <row r="5266" ht="15" customHeight="1" x14ac:dyDescent="0.25"/>
    <row r="5268" ht="15" customHeight="1" x14ac:dyDescent="0.25"/>
    <row r="5270" ht="15" customHeight="1" x14ac:dyDescent="0.25"/>
    <row r="5272" ht="15" customHeight="1" x14ac:dyDescent="0.25"/>
    <row r="5274" ht="15" customHeight="1" x14ac:dyDescent="0.25"/>
    <row r="5276" ht="15" customHeight="1" x14ac:dyDescent="0.25"/>
    <row r="5278" ht="15" customHeight="1" x14ac:dyDescent="0.25"/>
    <row r="5280" ht="15" customHeight="1" x14ac:dyDescent="0.25"/>
    <row r="5282" ht="15" customHeight="1" x14ac:dyDescent="0.25"/>
    <row r="5284" ht="15" customHeight="1" x14ac:dyDescent="0.25"/>
    <row r="5286" ht="15" customHeight="1" x14ac:dyDescent="0.25"/>
    <row r="5288" ht="15" customHeight="1" x14ac:dyDescent="0.25"/>
    <row r="5290" ht="15" customHeight="1" x14ac:dyDescent="0.25"/>
    <row r="5292" ht="15" customHeight="1" x14ac:dyDescent="0.25"/>
    <row r="5294" ht="15" customHeight="1" x14ac:dyDescent="0.25"/>
    <row r="5296" ht="15" customHeight="1" x14ac:dyDescent="0.25"/>
    <row r="5298" ht="15" customHeight="1" x14ac:dyDescent="0.25"/>
    <row r="5300" ht="15" customHeight="1" x14ac:dyDescent="0.25"/>
    <row r="5302" ht="15" customHeight="1" x14ac:dyDescent="0.25"/>
    <row r="5304" ht="15" customHeight="1" x14ac:dyDescent="0.25"/>
    <row r="5306" ht="15" customHeight="1" x14ac:dyDescent="0.25"/>
    <row r="5308" ht="15" customHeight="1" x14ac:dyDescent="0.25"/>
    <row r="5310" ht="15" customHeight="1" x14ac:dyDescent="0.25"/>
    <row r="5312" ht="15" customHeight="1" x14ac:dyDescent="0.25"/>
    <row r="5314" ht="15" customHeight="1" x14ac:dyDescent="0.25"/>
    <row r="5316" ht="15" customHeight="1" x14ac:dyDescent="0.25"/>
    <row r="5318" ht="15" customHeight="1" x14ac:dyDescent="0.25"/>
    <row r="5320" ht="15" customHeight="1" x14ac:dyDescent="0.25"/>
    <row r="5322" ht="15" customHeight="1" x14ac:dyDescent="0.25"/>
    <row r="5324" ht="15" customHeight="1" x14ac:dyDescent="0.25"/>
    <row r="5326" ht="15" customHeight="1" x14ac:dyDescent="0.25"/>
    <row r="5328" ht="15" customHeight="1" x14ac:dyDescent="0.25"/>
    <row r="5330" ht="15" customHeight="1" x14ac:dyDescent="0.25"/>
    <row r="5332" ht="15" customHeight="1" x14ac:dyDescent="0.25"/>
    <row r="5334" ht="15" customHeight="1" x14ac:dyDescent="0.25"/>
    <row r="5336" ht="15" customHeight="1" x14ac:dyDescent="0.25"/>
    <row r="5338" ht="15" customHeight="1" x14ac:dyDescent="0.25"/>
    <row r="5340" ht="15" customHeight="1" x14ac:dyDescent="0.25"/>
    <row r="5342" ht="15" customHeight="1" x14ac:dyDescent="0.25"/>
    <row r="5344" ht="15" customHeight="1" x14ac:dyDescent="0.25"/>
    <row r="5346" ht="15" customHeight="1" x14ac:dyDescent="0.25"/>
    <row r="5348" ht="15" customHeight="1" x14ac:dyDescent="0.25"/>
    <row r="5350" ht="15" customHeight="1" x14ac:dyDescent="0.25"/>
    <row r="5352" ht="15" customHeight="1" x14ac:dyDescent="0.25"/>
    <row r="5354" ht="15" customHeight="1" x14ac:dyDescent="0.25"/>
    <row r="5356" ht="15" customHeight="1" x14ac:dyDescent="0.25"/>
    <row r="5358" ht="15" customHeight="1" x14ac:dyDescent="0.25"/>
    <row r="5360" ht="15" customHeight="1" x14ac:dyDescent="0.25"/>
    <row r="5362" ht="15" customHeight="1" x14ac:dyDescent="0.25"/>
    <row r="5364" ht="15" customHeight="1" x14ac:dyDescent="0.25"/>
    <row r="5366" ht="15" customHeight="1" x14ac:dyDescent="0.25"/>
    <row r="5368" ht="15" customHeight="1" x14ac:dyDescent="0.25"/>
    <row r="5370" ht="15" customHeight="1" x14ac:dyDescent="0.25"/>
    <row r="5372" ht="15" customHeight="1" x14ac:dyDescent="0.25"/>
    <row r="5374" ht="15" customHeight="1" x14ac:dyDescent="0.25"/>
    <row r="5376" ht="15" customHeight="1" x14ac:dyDescent="0.25"/>
    <row r="5378" ht="15" customHeight="1" x14ac:dyDescent="0.25"/>
    <row r="5380" ht="15" customHeight="1" x14ac:dyDescent="0.25"/>
    <row r="5382" ht="15" customHeight="1" x14ac:dyDescent="0.25"/>
    <row r="5384" ht="15" customHeight="1" x14ac:dyDescent="0.25"/>
    <row r="5386" ht="15" customHeight="1" x14ac:dyDescent="0.25"/>
    <row r="5388" ht="15" customHeight="1" x14ac:dyDescent="0.25"/>
    <row r="5390" ht="15" customHeight="1" x14ac:dyDescent="0.25"/>
    <row r="5392" ht="15" customHeight="1" x14ac:dyDescent="0.25"/>
    <row r="5394" ht="15" customHeight="1" x14ac:dyDescent="0.25"/>
    <row r="5396" ht="15" customHeight="1" x14ac:dyDescent="0.25"/>
    <row r="5398" ht="15" customHeight="1" x14ac:dyDescent="0.25"/>
    <row r="5400" ht="15" customHeight="1" x14ac:dyDescent="0.25"/>
    <row r="5402" ht="15" customHeight="1" x14ac:dyDescent="0.25"/>
    <row r="5404" ht="15" customHeight="1" x14ac:dyDescent="0.25"/>
    <row r="5406" ht="15" customHeight="1" x14ac:dyDescent="0.25"/>
    <row r="5408" ht="15" customHeight="1" x14ac:dyDescent="0.25"/>
    <row r="5410" ht="15" customHeight="1" x14ac:dyDescent="0.25"/>
    <row r="5412" ht="15" customHeight="1" x14ac:dyDescent="0.25"/>
    <row r="5414" ht="15" customHeight="1" x14ac:dyDescent="0.25"/>
    <row r="5416" ht="15" customHeight="1" x14ac:dyDescent="0.25"/>
    <row r="5418" ht="15" customHeight="1" x14ac:dyDescent="0.25"/>
    <row r="5420" ht="15" customHeight="1" x14ac:dyDescent="0.25"/>
    <row r="5422" ht="15" customHeight="1" x14ac:dyDescent="0.25"/>
    <row r="5424" ht="15" customHeight="1" x14ac:dyDescent="0.25"/>
    <row r="5426" ht="15" customHeight="1" x14ac:dyDescent="0.25"/>
    <row r="5428" ht="15" customHeight="1" x14ac:dyDescent="0.25"/>
    <row r="5430" ht="15" customHeight="1" x14ac:dyDescent="0.25"/>
    <row r="5432" ht="15" customHeight="1" x14ac:dyDescent="0.25"/>
    <row r="5434" ht="15" customHeight="1" x14ac:dyDescent="0.25"/>
    <row r="5436" ht="15" customHeight="1" x14ac:dyDescent="0.25"/>
    <row r="5438" ht="15" customHeight="1" x14ac:dyDescent="0.25"/>
    <row r="5440" ht="15" customHeight="1" x14ac:dyDescent="0.25"/>
    <row r="5442" ht="15" customHeight="1" x14ac:dyDescent="0.25"/>
    <row r="5444" ht="15" customHeight="1" x14ac:dyDescent="0.25"/>
    <row r="5446" ht="15" customHeight="1" x14ac:dyDescent="0.25"/>
    <row r="5448" ht="15" customHeight="1" x14ac:dyDescent="0.25"/>
    <row r="5450" ht="15" customHeight="1" x14ac:dyDescent="0.25"/>
    <row r="5452" ht="15" customHeight="1" x14ac:dyDescent="0.25"/>
    <row r="5454" ht="15" customHeight="1" x14ac:dyDescent="0.25"/>
    <row r="5456" ht="15" customHeight="1" x14ac:dyDescent="0.25"/>
    <row r="5458" ht="15" customHeight="1" x14ac:dyDescent="0.25"/>
    <row r="5460" ht="15" customHeight="1" x14ac:dyDescent="0.25"/>
    <row r="5462" ht="15" customHeight="1" x14ac:dyDescent="0.25"/>
    <row r="5464" ht="15" customHeight="1" x14ac:dyDescent="0.25"/>
    <row r="5466" ht="15" customHeight="1" x14ac:dyDescent="0.25"/>
    <row r="5468" ht="15" customHeight="1" x14ac:dyDescent="0.25"/>
    <row r="5470" ht="15" customHeight="1" x14ac:dyDescent="0.25"/>
    <row r="5472" ht="15" customHeight="1" x14ac:dyDescent="0.25"/>
    <row r="5474" ht="15" customHeight="1" x14ac:dyDescent="0.25"/>
    <row r="5476" ht="15" customHeight="1" x14ac:dyDescent="0.25"/>
    <row r="5478" ht="15" customHeight="1" x14ac:dyDescent="0.25"/>
    <row r="5480" ht="15" customHeight="1" x14ac:dyDescent="0.25"/>
    <row r="5482" ht="15" customHeight="1" x14ac:dyDescent="0.25"/>
    <row r="5484" ht="15" customHeight="1" x14ac:dyDescent="0.25"/>
    <row r="5486" ht="15" customHeight="1" x14ac:dyDescent="0.25"/>
    <row r="5488" ht="15" customHeight="1" x14ac:dyDescent="0.25"/>
    <row r="5490" ht="15" customHeight="1" x14ac:dyDescent="0.25"/>
    <row r="5492" ht="15" customHeight="1" x14ac:dyDescent="0.25"/>
    <row r="5494" ht="15" customHeight="1" x14ac:dyDescent="0.25"/>
    <row r="5496" ht="15" customHeight="1" x14ac:dyDescent="0.25"/>
    <row r="5498" ht="15" customHeight="1" x14ac:dyDescent="0.25"/>
    <row r="5500" ht="15" customHeight="1" x14ac:dyDescent="0.25"/>
    <row r="5502" ht="15" customHeight="1" x14ac:dyDescent="0.25"/>
    <row r="5504" ht="15" customHeight="1" x14ac:dyDescent="0.25"/>
    <row r="5506" ht="15" customHeight="1" x14ac:dyDescent="0.25"/>
    <row r="5508" ht="15" customHeight="1" x14ac:dyDescent="0.25"/>
    <row r="5510" ht="15" customHeight="1" x14ac:dyDescent="0.25"/>
    <row r="5512" ht="15" customHeight="1" x14ac:dyDescent="0.25"/>
    <row r="5514" ht="15" customHeight="1" x14ac:dyDescent="0.25"/>
    <row r="5516" ht="15" customHeight="1" x14ac:dyDescent="0.25"/>
    <row r="5518" ht="15" customHeight="1" x14ac:dyDescent="0.25"/>
    <row r="5520" ht="15" customHeight="1" x14ac:dyDescent="0.25"/>
    <row r="5522" ht="15" customHeight="1" x14ac:dyDescent="0.25"/>
    <row r="5524" ht="15" customHeight="1" x14ac:dyDescent="0.25"/>
    <row r="5526" ht="15" customHeight="1" x14ac:dyDescent="0.25"/>
    <row r="5528" ht="15" customHeight="1" x14ac:dyDescent="0.25"/>
    <row r="5530" ht="15" customHeight="1" x14ac:dyDescent="0.25"/>
    <row r="5532" ht="15" customHeight="1" x14ac:dyDescent="0.25"/>
    <row r="5534" ht="15" customHeight="1" x14ac:dyDescent="0.25"/>
    <row r="5536" ht="15" customHeight="1" x14ac:dyDescent="0.25"/>
    <row r="5538" ht="15" customHeight="1" x14ac:dyDescent="0.25"/>
    <row r="5540" ht="15" customHeight="1" x14ac:dyDescent="0.25"/>
    <row r="5542" ht="15" customHeight="1" x14ac:dyDescent="0.25"/>
    <row r="5544" ht="15" customHeight="1" x14ac:dyDescent="0.25"/>
    <row r="5546" ht="15" customHeight="1" x14ac:dyDescent="0.25"/>
    <row r="5548" ht="15" customHeight="1" x14ac:dyDescent="0.25"/>
    <row r="5550" ht="15" customHeight="1" x14ac:dyDescent="0.25"/>
    <row r="5552" ht="15" customHeight="1" x14ac:dyDescent="0.25"/>
    <row r="5554" ht="15" customHeight="1" x14ac:dyDescent="0.25"/>
    <row r="5556" ht="15" customHeight="1" x14ac:dyDescent="0.25"/>
    <row r="5558" ht="15" customHeight="1" x14ac:dyDescent="0.25"/>
    <row r="5560" ht="15" customHeight="1" x14ac:dyDescent="0.25"/>
    <row r="5562" ht="15" customHeight="1" x14ac:dyDescent="0.25"/>
    <row r="5564" ht="15" customHeight="1" x14ac:dyDescent="0.25"/>
    <row r="5566" ht="15" customHeight="1" x14ac:dyDescent="0.25"/>
    <row r="5568" ht="15" customHeight="1" x14ac:dyDescent="0.25"/>
    <row r="5570" ht="15" customHeight="1" x14ac:dyDescent="0.25"/>
    <row r="5572" ht="15" customHeight="1" x14ac:dyDescent="0.25"/>
    <row r="5574" ht="15" customHeight="1" x14ac:dyDescent="0.25"/>
    <row r="5576" ht="15" customHeight="1" x14ac:dyDescent="0.25"/>
    <row r="5578" ht="15" customHeight="1" x14ac:dyDescent="0.25"/>
    <row r="5580" ht="15" customHeight="1" x14ac:dyDescent="0.25"/>
    <row r="5582" ht="15" customHeight="1" x14ac:dyDescent="0.25"/>
    <row r="5584" ht="15" customHeight="1" x14ac:dyDescent="0.25"/>
    <row r="5586" ht="15" customHeight="1" x14ac:dyDescent="0.25"/>
    <row r="5588" ht="15" customHeight="1" x14ac:dyDescent="0.25"/>
    <row r="5590" ht="15" customHeight="1" x14ac:dyDescent="0.25"/>
    <row r="5592" ht="15" customHeight="1" x14ac:dyDescent="0.25"/>
    <row r="5594" ht="15" customHeight="1" x14ac:dyDescent="0.25"/>
    <row r="5596" ht="15" customHeight="1" x14ac:dyDescent="0.25"/>
    <row r="5598" ht="15" customHeight="1" x14ac:dyDescent="0.25"/>
    <row r="5600" ht="15" customHeight="1" x14ac:dyDescent="0.25"/>
    <row r="5602" ht="15" customHeight="1" x14ac:dyDescent="0.25"/>
    <row r="5604" ht="15" customHeight="1" x14ac:dyDescent="0.25"/>
    <row r="5606" ht="15" customHeight="1" x14ac:dyDescent="0.25"/>
    <row r="5608" ht="15" customHeight="1" x14ac:dyDescent="0.25"/>
    <row r="5610" ht="15" customHeight="1" x14ac:dyDescent="0.25"/>
    <row r="5612" ht="15" customHeight="1" x14ac:dyDescent="0.25"/>
    <row r="5614" ht="15" customHeight="1" x14ac:dyDescent="0.25"/>
    <row r="5616" ht="15" customHeight="1" x14ac:dyDescent="0.25"/>
    <row r="5618" ht="15" customHeight="1" x14ac:dyDescent="0.25"/>
    <row r="5620" ht="15" customHeight="1" x14ac:dyDescent="0.25"/>
    <row r="5622" ht="15" customHeight="1" x14ac:dyDescent="0.25"/>
    <row r="5624" ht="15" customHeight="1" x14ac:dyDescent="0.25"/>
    <row r="5626" ht="15" customHeight="1" x14ac:dyDescent="0.25"/>
    <row r="5628" ht="15" customHeight="1" x14ac:dyDescent="0.25"/>
    <row r="5630" ht="15" customHeight="1" x14ac:dyDescent="0.25"/>
    <row r="5632" ht="15" customHeight="1" x14ac:dyDescent="0.25"/>
    <row r="5634" ht="15" customHeight="1" x14ac:dyDescent="0.25"/>
    <row r="5636" ht="15" customHeight="1" x14ac:dyDescent="0.25"/>
    <row r="5638" ht="15" customHeight="1" x14ac:dyDescent="0.25"/>
    <row r="5640" ht="15" customHeight="1" x14ac:dyDescent="0.25"/>
    <row r="5642" ht="15" customHeight="1" x14ac:dyDescent="0.25"/>
    <row r="5644" ht="15" customHeight="1" x14ac:dyDescent="0.25"/>
    <row r="5646" ht="15" customHeight="1" x14ac:dyDescent="0.25"/>
    <row r="5648" ht="15" customHeight="1" x14ac:dyDescent="0.25"/>
    <row r="5650" ht="15" customHeight="1" x14ac:dyDescent="0.25"/>
    <row r="5652" ht="15" customHeight="1" x14ac:dyDescent="0.25"/>
    <row r="5654" ht="15" customHeight="1" x14ac:dyDescent="0.25"/>
    <row r="5656" ht="15" customHeight="1" x14ac:dyDescent="0.25"/>
    <row r="5658" ht="15" customHeight="1" x14ac:dyDescent="0.25"/>
    <row r="5660" ht="15" customHeight="1" x14ac:dyDescent="0.25"/>
    <row r="5662" ht="15" customHeight="1" x14ac:dyDescent="0.25"/>
    <row r="5664" ht="15" customHeight="1" x14ac:dyDescent="0.25"/>
    <row r="5666" ht="15" customHeight="1" x14ac:dyDescent="0.25"/>
    <row r="5668" ht="15" customHeight="1" x14ac:dyDescent="0.25"/>
    <row r="5670" ht="15" customHeight="1" x14ac:dyDescent="0.25"/>
    <row r="5672" ht="15" customHeight="1" x14ac:dyDescent="0.25"/>
    <row r="5674" ht="15" customHeight="1" x14ac:dyDescent="0.25"/>
    <row r="5676" ht="15" customHeight="1" x14ac:dyDescent="0.25"/>
    <row r="5678" ht="15" customHeight="1" x14ac:dyDescent="0.25"/>
    <row r="5680" ht="15" customHeight="1" x14ac:dyDescent="0.25"/>
    <row r="5682" ht="15" customHeight="1" x14ac:dyDescent="0.25"/>
    <row r="5684" ht="15" customHeight="1" x14ac:dyDescent="0.25"/>
    <row r="5686" ht="15" customHeight="1" x14ac:dyDescent="0.25"/>
    <row r="5688" ht="15" customHeight="1" x14ac:dyDescent="0.25"/>
    <row r="5690" ht="15" customHeight="1" x14ac:dyDescent="0.25"/>
    <row r="5692" ht="15" customHeight="1" x14ac:dyDescent="0.25"/>
    <row r="5694" ht="15" customHeight="1" x14ac:dyDescent="0.25"/>
    <row r="5696" ht="15" customHeight="1" x14ac:dyDescent="0.25"/>
    <row r="5698" ht="15" customHeight="1" x14ac:dyDescent="0.25"/>
    <row r="5700" ht="15" customHeight="1" x14ac:dyDescent="0.25"/>
    <row r="5702" ht="15" customHeight="1" x14ac:dyDescent="0.25"/>
    <row r="5704" ht="15" customHeight="1" x14ac:dyDescent="0.25"/>
    <row r="5706" ht="15" customHeight="1" x14ac:dyDescent="0.25"/>
    <row r="5708" ht="15" customHeight="1" x14ac:dyDescent="0.25"/>
    <row r="5710" ht="15" customHeight="1" x14ac:dyDescent="0.25"/>
    <row r="5712" ht="15" customHeight="1" x14ac:dyDescent="0.25"/>
    <row r="5714" ht="15" customHeight="1" x14ac:dyDescent="0.25"/>
    <row r="5716" ht="15" customHeight="1" x14ac:dyDescent="0.25"/>
    <row r="5718" ht="15" customHeight="1" x14ac:dyDescent="0.25"/>
    <row r="5720" ht="15" customHeight="1" x14ac:dyDescent="0.25"/>
    <row r="5722" ht="15" customHeight="1" x14ac:dyDescent="0.25"/>
    <row r="5724" ht="15" customHeight="1" x14ac:dyDescent="0.25"/>
    <row r="5726" ht="15" customHeight="1" x14ac:dyDescent="0.25"/>
    <row r="5728" ht="15" customHeight="1" x14ac:dyDescent="0.25"/>
    <row r="5730" ht="15" customHeight="1" x14ac:dyDescent="0.25"/>
    <row r="5732" ht="15" customHeight="1" x14ac:dyDescent="0.25"/>
    <row r="5734" ht="15" customHeight="1" x14ac:dyDescent="0.25"/>
    <row r="5736" ht="15" customHeight="1" x14ac:dyDescent="0.25"/>
    <row r="5738" ht="15" customHeight="1" x14ac:dyDescent="0.25"/>
    <row r="5740" ht="15" customHeight="1" x14ac:dyDescent="0.25"/>
    <row r="5742" ht="15" customHeight="1" x14ac:dyDescent="0.25"/>
    <row r="5744" ht="15" customHeight="1" x14ac:dyDescent="0.25"/>
    <row r="5746" ht="15" customHeight="1" x14ac:dyDescent="0.25"/>
    <row r="5748" ht="15" customHeight="1" x14ac:dyDescent="0.25"/>
    <row r="5750" ht="15" customHeight="1" x14ac:dyDescent="0.25"/>
    <row r="5752" ht="15" customHeight="1" x14ac:dyDescent="0.25"/>
    <row r="5754" ht="15" customHeight="1" x14ac:dyDescent="0.25"/>
    <row r="5756" ht="15" customHeight="1" x14ac:dyDescent="0.25"/>
    <row r="5758" ht="15" customHeight="1" x14ac:dyDescent="0.25"/>
    <row r="5760" ht="15" customHeight="1" x14ac:dyDescent="0.25"/>
    <row r="5762" ht="15" customHeight="1" x14ac:dyDescent="0.25"/>
    <row r="5764" ht="15" customHeight="1" x14ac:dyDescent="0.25"/>
    <row r="5766" ht="15" customHeight="1" x14ac:dyDescent="0.25"/>
    <row r="5768" ht="15" customHeight="1" x14ac:dyDescent="0.25"/>
    <row r="5770" ht="15" customHeight="1" x14ac:dyDescent="0.25"/>
    <row r="5772" ht="15" customHeight="1" x14ac:dyDescent="0.25"/>
    <row r="5774" ht="15" customHeight="1" x14ac:dyDescent="0.25"/>
    <row r="5776" ht="15" customHeight="1" x14ac:dyDescent="0.25"/>
    <row r="5778" ht="15" customHeight="1" x14ac:dyDescent="0.25"/>
    <row r="5780" ht="15" customHeight="1" x14ac:dyDescent="0.25"/>
    <row r="5782" ht="15" customHeight="1" x14ac:dyDescent="0.25"/>
    <row r="5784" ht="15" customHeight="1" x14ac:dyDescent="0.25"/>
    <row r="5786" ht="15" customHeight="1" x14ac:dyDescent="0.25"/>
    <row r="5788" ht="15" customHeight="1" x14ac:dyDescent="0.25"/>
    <row r="5790" ht="15" customHeight="1" x14ac:dyDescent="0.25"/>
    <row r="5792" ht="15" customHeight="1" x14ac:dyDescent="0.25"/>
    <row r="5794" ht="15" customHeight="1" x14ac:dyDescent="0.25"/>
    <row r="5796" ht="15" customHeight="1" x14ac:dyDescent="0.25"/>
    <row r="5798" ht="15" customHeight="1" x14ac:dyDescent="0.25"/>
    <row r="5800" ht="15" customHeight="1" x14ac:dyDescent="0.25"/>
    <row r="5802" ht="15" customHeight="1" x14ac:dyDescent="0.25"/>
    <row r="5804" ht="15" customHeight="1" x14ac:dyDescent="0.25"/>
    <row r="5806" ht="15" customHeight="1" x14ac:dyDescent="0.25"/>
    <row r="5808" ht="15" customHeight="1" x14ac:dyDescent="0.25"/>
    <row r="5810" ht="15" customHeight="1" x14ac:dyDescent="0.25"/>
    <row r="5812" ht="15" customHeight="1" x14ac:dyDescent="0.25"/>
    <row r="5814" ht="15" customHeight="1" x14ac:dyDescent="0.25"/>
    <row r="5816" ht="15" customHeight="1" x14ac:dyDescent="0.25"/>
    <row r="5818" ht="15" customHeight="1" x14ac:dyDescent="0.25"/>
    <row r="5820" ht="15" customHeight="1" x14ac:dyDescent="0.25"/>
    <row r="5822" ht="15" customHeight="1" x14ac:dyDescent="0.25"/>
    <row r="5824" ht="15" customHeight="1" x14ac:dyDescent="0.25"/>
    <row r="5826" ht="15" customHeight="1" x14ac:dyDescent="0.25"/>
    <row r="5828" ht="15" customHeight="1" x14ac:dyDescent="0.25"/>
    <row r="5830" ht="15" customHeight="1" x14ac:dyDescent="0.25"/>
    <row r="5832" ht="15" customHeight="1" x14ac:dyDescent="0.25"/>
    <row r="5834" ht="15" customHeight="1" x14ac:dyDescent="0.25"/>
    <row r="5836" ht="15" customHeight="1" x14ac:dyDescent="0.25"/>
    <row r="5838" ht="15" customHeight="1" x14ac:dyDescent="0.25"/>
    <row r="5840" ht="15" customHeight="1" x14ac:dyDescent="0.25"/>
    <row r="5842" ht="15" customHeight="1" x14ac:dyDescent="0.25"/>
    <row r="5844" ht="15" customHeight="1" x14ac:dyDescent="0.25"/>
    <row r="5846" ht="15" customHeight="1" x14ac:dyDescent="0.25"/>
    <row r="5848" ht="15" customHeight="1" x14ac:dyDescent="0.25"/>
    <row r="5850" ht="15" customHeight="1" x14ac:dyDescent="0.25"/>
    <row r="5852" ht="15" customHeight="1" x14ac:dyDescent="0.25"/>
    <row r="5854" ht="15" customHeight="1" x14ac:dyDescent="0.25"/>
    <row r="5856" ht="15" customHeight="1" x14ac:dyDescent="0.25"/>
    <row r="5858" ht="15" customHeight="1" x14ac:dyDescent="0.25"/>
    <row r="5860" ht="15" customHeight="1" x14ac:dyDescent="0.25"/>
    <row r="5862" ht="15" customHeight="1" x14ac:dyDescent="0.25"/>
    <row r="5864" ht="15" customHeight="1" x14ac:dyDescent="0.25"/>
    <row r="5866" ht="15" customHeight="1" x14ac:dyDescent="0.25"/>
    <row r="5868" ht="15" customHeight="1" x14ac:dyDescent="0.25"/>
    <row r="5870" ht="15" customHeight="1" x14ac:dyDescent="0.25"/>
    <row r="5872" ht="15" customHeight="1" x14ac:dyDescent="0.25"/>
    <row r="5874" ht="15" customHeight="1" x14ac:dyDescent="0.25"/>
    <row r="5876" ht="15" customHeight="1" x14ac:dyDescent="0.25"/>
    <row r="5878" ht="15" customHeight="1" x14ac:dyDescent="0.25"/>
    <row r="5880" ht="15" customHeight="1" x14ac:dyDescent="0.25"/>
    <row r="5882" ht="15" customHeight="1" x14ac:dyDescent="0.25"/>
    <row r="5884" ht="15" customHeight="1" x14ac:dyDescent="0.25"/>
    <row r="5886" ht="15" customHeight="1" x14ac:dyDescent="0.25"/>
    <row r="5888" ht="15" customHeight="1" x14ac:dyDescent="0.25"/>
    <row r="5890" ht="15" customHeight="1" x14ac:dyDescent="0.25"/>
    <row r="5892" ht="15" customHeight="1" x14ac:dyDescent="0.25"/>
    <row r="5894" ht="15" customHeight="1" x14ac:dyDescent="0.25"/>
    <row r="5896" ht="15" customHeight="1" x14ac:dyDescent="0.25"/>
    <row r="5898" ht="15" customHeight="1" x14ac:dyDescent="0.25"/>
    <row r="5900" ht="15" customHeight="1" x14ac:dyDescent="0.25"/>
    <row r="5902" ht="15" customHeight="1" x14ac:dyDescent="0.25"/>
    <row r="5904" ht="15" customHeight="1" x14ac:dyDescent="0.25"/>
    <row r="5906" ht="15" customHeight="1" x14ac:dyDescent="0.25"/>
    <row r="5908" ht="15" customHeight="1" x14ac:dyDescent="0.25"/>
    <row r="5910" ht="15" customHeight="1" x14ac:dyDescent="0.25"/>
    <row r="5912" ht="15" customHeight="1" x14ac:dyDescent="0.25"/>
    <row r="5914" ht="15" customHeight="1" x14ac:dyDescent="0.25"/>
    <row r="5916" ht="15" customHeight="1" x14ac:dyDescent="0.25"/>
    <row r="5918" ht="15" customHeight="1" x14ac:dyDescent="0.25"/>
    <row r="5920" ht="15" customHeight="1" x14ac:dyDescent="0.25"/>
    <row r="5922" ht="15" customHeight="1" x14ac:dyDescent="0.25"/>
    <row r="5924" ht="15" customHeight="1" x14ac:dyDescent="0.25"/>
    <row r="5926" ht="15" customHeight="1" x14ac:dyDescent="0.25"/>
    <row r="5928" ht="15" customHeight="1" x14ac:dyDescent="0.25"/>
    <row r="5930" ht="15" customHeight="1" x14ac:dyDescent="0.25"/>
    <row r="5932" ht="15" customHeight="1" x14ac:dyDescent="0.25"/>
    <row r="5934" ht="15" customHeight="1" x14ac:dyDescent="0.25"/>
    <row r="5936" ht="15" customHeight="1" x14ac:dyDescent="0.25"/>
    <row r="5938" ht="15" customHeight="1" x14ac:dyDescent="0.25"/>
    <row r="5940" ht="15" customHeight="1" x14ac:dyDescent="0.25"/>
    <row r="5942" ht="15" customHeight="1" x14ac:dyDescent="0.25"/>
    <row r="5944" ht="15" customHeight="1" x14ac:dyDescent="0.25"/>
    <row r="5946" ht="15" customHeight="1" x14ac:dyDescent="0.25"/>
    <row r="5948" ht="15" customHeight="1" x14ac:dyDescent="0.25"/>
    <row r="5950" ht="15" customHeight="1" x14ac:dyDescent="0.25"/>
    <row r="5952" ht="15" customHeight="1" x14ac:dyDescent="0.25"/>
    <row r="5954" ht="15" customHeight="1" x14ac:dyDescent="0.25"/>
    <row r="5956" ht="15" customHeight="1" x14ac:dyDescent="0.25"/>
    <row r="5958" ht="15" customHeight="1" x14ac:dyDescent="0.25"/>
    <row r="5960" ht="15" customHeight="1" x14ac:dyDescent="0.25"/>
    <row r="5962" ht="15" customHeight="1" x14ac:dyDescent="0.25"/>
    <row r="5964" ht="15" customHeight="1" x14ac:dyDescent="0.25"/>
    <row r="5966" ht="15" customHeight="1" x14ac:dyDescent="0.25"/>
    <row r="5968" ht="15" customHeight="1" x14ac:dyDescent="0.25"/>
    <row r="5970" ht="15" customHeight="1" x14ac:dyDescent="0.25"/>
    <row r="5972" ht="15" customHeight="1" x14ac:dyDescent="0.25"/>
    <row r="5974" ht="15" customHeight="1" x14ac:dyDescent="0.25"/>
    <row r="5976" ht="15" customHeight="1" x14ac:dyDescent="0.25"/>
    <row r="5978" ht="15" customHeight="1" x14ac:dyDescent="0.25"/>
    <row r="5980" ht="15" customHeight="1" x14ac:dyDescent="0.25"/>
    <row r="5982" ht="15" customHeight="1" x14ac:dyDescent="0.25"/>
    <row r="5984" ht="15" customHeight="1" x14ac:dyDescent="0.25"/>
    <row r="5986" ht="15" customHeight="1" x14ac:dyDescent="0.25"/>
    <row r="5988" ht="15" customHeight="1" x14ac:dyDescent="0.25"/>
    <row r="5990" ht="15" customHeight="1" x14ac:dyDescent="0.25"/>
    <row r="5992" ht="15" customHeight="1" x14ac:dyDescent="0.25"/>
    <row r="5994" ht="15" customHeight="1" x14ac:dyDescent="0.25"/>
    <row r="5996" ht="15" customHeight="1" x14ac:dyDescent="0.25"/>
    <row r="5998" ht="15" customHeight="1" x14ac:dyDescent="0.25"/>
    <row r="6000" ht="15" customHeight="1" x14ac:dyDescent="0.25"/>
    <row r="6002" ht="15" customHeight="1" x14ac:dyDescent="0.25"/>
    <row r="6004" ht="15" customHeight="1" x14ac:dyDescent="0.25"/>
    <row r="6006" ht="15" customHeight="1" x14ac:dyDescent="0.25"/>
    <row r="6008" ht="15" customHeight="1" x14ac:dyDescent="0.25"/>
    <row r="6010" ht="15" customHeight="1" x14ac:dyDescent="0.25"/>
    <row r="6012" ht="15" customHeight="1" x14ac:dyDescent="0.25"/>
    <row r="6014" ht="15" customHeight="1" x14ac:dyDescent="0.25"/>
    <row r="6016" ht="15" customHeight="1" x14ac:dyDescent="0.25"/>
    <row r="6018" ht="15" customHeight="1" x14ac:dyDescent="0.25"/>
    <row r="6020" ht="15" customHeight="1" x14ac:dyDescent="0.25"/>
    <row r="6022" ht="15" customHeight="1" x14ac:dyDescent="0.25"/>
    <row r="6024" ht="15" customHeight="1" x14ac:dyDescent="0.25"/>
    <row r="6026" ht="15" customHeight="1" x14ac:dyDescent="0.25"/>
    <row r="6028" ht="15" customHeight="1" x14ac:dyDescent="0.25"/>
    <row r="6030" ht="15" customHeight="1" x14ac:dyDescent="0.25"/>
    <row r="6032" ht="15" customHeight="1" x14ac:dyDescent="0.25"/>
    <row r="6034" ht="15" customHeight="1" x14ac:dyDescent="0.25"/>
    <row r="6036" ht="15" customHeight="1" x14ac:dyDescent="0.25"/>
    <row r="6038" ht="15" customHeight="1" x14ac:dyDescent="0.25"/>
    <row r="6040" ht="15" customHeight="1" x14ac:dyDescent="0.25"/>
    <row r="6042" ht="15" customHeight="1" x14ac:dyDescent="0.25"/>
    <row r="6044" ht="15" customHeight="1" x14ac:dyDescent="0.25"/>
    <row r="6046" ht="15" customHeight="1" x14ac:dyDescent="0.25"/>
    <row r="6048" ht="15" customHeight="1" x14ac:dyDescent="0.25"/>
    <row r="6050" ht="15" customHeight="1" x14ac:dyDescent="0.25"/>
    <row r="6052" ht="15" customHeight="1" x14ac:dyDescent="0.25"/>
    <row r="6054" ht="15" customHeight="1" x14ac:dyDescent="0.25"/>
    <row r="6056" ht="15" customHeight="1" x14ac:dyDescent="0.25"/>
    <row r="6058" ht="15" customHeight="1" x14ac:dyDescent="0.25"/>
    <row r="6060" ht="15" customHeight="1" x14ac:dyDescent="0.25"/>
    <row r="6062" ht="15" customHeight="1" x14ac:dyDescent="0.25"/>
    <row r="6064" ht="15" customHeight="1" x14ac:dyDescent="0.25"/>
    <row r="6066" ht="15" customHeight="1" x14ac:dyDescent="0.25"/>
    <row r="6068" ht="15" customHeight="1" x14ac:dyDescent="0.25"/>
    <row r="6070" ht="15" customHeight="1" x14ac:dyDescent="0.25"/>
    <row r="6072" ht="15" customHeight="1" x14ac:dyDescent="0.25"/>
    <row r="6074" ht="15" customHeight="1" x14ac:dyDescent="0.25"/>
    <row r="6076" ht="15" customHeight="1" x14ac:dyDescent="0.25"/>
    <row r="6078" ht="15" customHeight="1" x14ac:dyDescent="0.25"/>
    <row r="6080" ht="15" customHeight="1" x14ac:dyDescent="0.25"/>
    <row r="6082" ht="15" customHeight="1" x14ac:dyDescent="0.25"/>
    <row r="6084" ht="15" customHeight="1" x14ac:dyDescent="0.25"/>
    <row r="6086" ht="15" customHeight="1" x14ac:dyDescent="0.25"/>
    <row r="6088" ht="15" customHeight="1" x14ac:dyDescent="0.25"/>
    <row r="6090" ht="15" customHeight="1" x14ac:dyDescent="0.25"/>
    <row r="6092" ht="15" customHeight="1" x14ac:dyDescent="0.25"/>
    <row r="6094" ht="15" customHeight="1" x14ac:dyDescent="0.25"/>
    <row r="6096" ht="15" customHeight="1" x14ac:dyDescent="0.25"/>
    <row r="6098" ht="15" customHeight="1" x14ac:dyDescent="0.25"/>
    <row r="6100" ht="15" customHeight="1" x14ac:dyDescent="0.25"/>
    <row r="6102" ht="15" customHeight="1" x14ac:dyDescent="0.25"/>
    <row r="6104" ht="15" customHeight="1" x14ac:dyDescent="0.25"/>
    <row r="6106" ht="15" customHeight="1" x14ac:dyDescent="0.25"/>
    <row r="6108" ht="15" customHeight="1" x14ac:dyDescent="0.25"/>
    <row r="6110" ht="15" customHeight="1" x14ac:dyDescent="0.25"/>
    <row r="6112" ht="15" customHeight="1" x14ac:dyDescent="0.25"/>
    <row r="6114" ht="15" customHeight="1" x14ac:dyDescent="0.25"/>
    <row r="6116" ht="15" customHeight="1" x14ac:dyDescent="0.25"/>
    <row r="6118" ht="15" customHeight="1" x14ac:dyDescent="0.25"/>
    <row r="6120" ht="15" customHeight="1" x14ac:dyDescent="0.25"/>
    <row r="6122" ht="15" customHeight="1" x14ac:dyDescent="0.25"/>
    <row r="6124" ht="15" customHeight="1" x14ac:dyDescent="0.25"/>
    <row r="6126" ht="15" customHeight="1" x14ac:dyDescent="0.25"/>
    <row r="6128" ht="15" customHeight="1" x14ac:dyDescent="0.25"/>
    <row r="6130" ht="15" customHeight="1" x14ac:dyDescent="0.25"/>
    <row r="6132" ht="15" customHeight="1" x14ac:dyDescent="0.25"/>
    <row r="6134" ht="15" customHeight="1" x14ac:dyDescent="0.25"/>
    <row r="6136" ht="15" customHeight="1" x14ac:dyDescent="0.25"/>
    <row r="6138" ht="15" customHeight="1" x14ac:dyDescent="0.25"/>
    <row r="6140" ht="15" customHeight="1" x14ac:dyDescent="0.25"/>
    <row r="6142" ht="15" customHeight="1" x14ac:dyDescent="0.25"/>
    <row r="6144" ht="15" customHeight="1" x14ac:dyDescent="0.25"/>
    <row r="6146" ht="15" customHeight="1" x14ac:dyDescent="0.25"/>
    <row r="6148" ht="15" customHeight="1" x14ac:dyDescent="0.25"/>
    <row r="6150" ht="15" customHeight="1" x14ac:dyDescent="0.25"/>
    <row r="6152" ht="15" customHeight="1" x14ac:dyDescent="0.25"/>
    <row r="6154" ht="15" customHeight="1" x14ac:dyDescent="0.25"/>
    <row r="6156" ht="15" customHeight="1" x14ac:dyDescent="0.25"/>
    <row r="6158" ht="15" customHeight="1" x14ac:dyDescent="0.25"/>
    <row r="6160" ht="15" customHeight="1" x14ac:dyDescent="0.25"/>
    <row r="6162" ht="15" customHeight="1" x14ac:dyDescent="0.25"/>
    <row r="6164" ht="15" customHeight="1" x14ac:dyDescent="0.25"/>
    <row r="6166" ht="15" customHeight="1" x14ac:dyDescent="0.25"/>
    <row r="6168" ht="15" customHeight="1" x14ac:dyDescent="0.25"/>
    <row r="6170" ht="15" customHeight="1" x14ac:dyDescent="0.25"/>
    <row r="6172" ht="15" customHeight="1" x14ac:dyDescent="0.25"/>
    <row r="6174" ht="15" customHeight="1" x14ac:dyDescent="0.25"/>
    <row r="6176" ht="15" customHeight="1" x14ac:dyDescent="0.25"/>
    <row r="6178" ht="15" customHeight="1" x14ac:dyDescent="0.25"/>
    <row r="6180" ht="15" customHeight="1" x14ac:dyDescent="0.25"/>
    <row r="6182" ht="15" customHeight="1" x14ac:dyDescent="0.25"/>
    <row r="6184" ht="15" customHeight="1" x14ac:dyDescent="0.25"/>
    <row r="6186" ht="15" customHeight="1" x14ac:dyDescent="0.25"/>
    <row r="6188" ht="15" customHeight="1" x14ac:dyDescent="0.25"/>
    <row r="6190" ht="15" customHeight="1" x14ac:dyDescent="0.25"/>
    <row r="6192" ht="15" customHeight="1" x14ac:dyDescent="0.25"/>
    <row r="6194" ht="15" customHeight="1" x14ac:dyDescent="0.25"/>
    <row r="6196" ht="15" customHeight="1" x14ac:dyDescent="0.25"/>
    <row r="6198" ht="15" customHeight="1" x14ac:dyDescent="0.25"/>
    <row r="6200" ht="15" customHeight="1" x14ac:dyDescent="0.25"/>
    <row r="6202" ht="15" customHeight="1" x14ac:dyDescent="0.25"/>
    <row r="6204" ht="15" customHeight="1" x14ac:dyDescent="0.25"/>
    <row r="6206" ht="15" customHeight="1" x14ac:dyDescent="0.25"/>
    <row r="6208" ht="15" customHeight="1" x14ac:dyDescent="0.25"/>
    <row r="6210" ht="15" customHeight="1" x14ac:dyDescent="0.25"/>
    <row r="6212" ht="15" customHeight="1" x14ac:dyDescent="0.25"/>
    <row r="6214" ht="15" customHeight="1" x14ac:dyDescent="0.25"/>
    <row r="6216" ht="15" customHeight="1" x14ac:dyDescent="0.25"/>
    <row r="6218" ht="15" customHeight="1" x14ac:dyDescent="0.25"/>
    <row r="6220" ht="15" customHeight="1" x14ac:dyDescent="0.25"/>
    <row r="6222" ht="15" customHeight="1" x14ac:dyDescent="0.25"/>
    <row r="6224" ht="15" customHeight="1" x14ac:dyDescent="0.25"/>
    <row r="6226" ht="15" customHeight="1" x14ac:dyDescent="0.25"/>
    <row r="6228" ht="15" customHeight="1" x14ac:dyDescent="0.25"/>
    <row r="6230" ht="15" customHeight="1" x14ac:dyDescent="0.25"/>
    <row r="6232" ht="15" customHeight="1" x14ac:dyDescent="0.25"/>
    <row r="6234" ht="15" customHeight="1" x14ac:dyDescent="0.25"/>
    <row r="6236" ht="15" customHeight="1" x14ac:dyDescent="0.25"/>
    <row r="6238" ht="15" customHeight="1" x14ac:dyDescent="0.25"/>
    <row r="6240" ht="15" customHeight="1" x14ac:dyDescent="0.25"/>
    <row r="6242" ht="15" customHeight="1" x14ac:dyDescent="0.25"/>
    <row r="6244" ht="15" customHeight="1" x14ac:dyDescent="0.25"/>
    <row r="6246" ht="15" customHeight="1" x14ac:dyDescent="0.25"/>
    <row r="6248" ht="15" customHeight="1" x14ac:dyDescent="0.25"/>
    <row r="6250" ht="15" customHeight="1" x14ac:dyDescent="0.25"/>
    <row r="6252" ht="15" customHeight="1" x14ac:dyDescent="0.25"/>
    <row r="6254" ht="15" customHeight="1" x14ac:dyDescent="0.25"/>
    <row r="6256" ht="15" customHeight="1" x14ac:dyDescent="0.25"/>
    <row r="6258" ht="15" customHeight="1" x14ac:dyDescent="0.25"/>
    <row r="6260" ht="15" customHeight="1" x14ac:dyDescent="0.25"/>
    <row r="6262" ht="15" customHeight="1" x14ac:dyDescent="0.25"/>
    <row r="6264" ht="15" customHeight="1" x14ac:dyDescent="0.25"/>
    <row r="6266" ht="15" customHeight="1" x14ac:dyDescent="0.25"/>
    <row r="6268" ht="15" customHeight="1" x14ac:dyDescent="0.25"/>
    <row r="6270" ht="15" customHeight="1" x14ac:dyDescent="0.25"/>
    <row r="6272" ht="15" customHeight="1" x14ac:dyDescent="0.25"/>
    <row r="6274" ht="15" customHeight="1" x14ac:dyDescent="0.25"/>
    <row r="6276" ht="15" customHeight="1" x14ac:dyDescent="0.25"/>
    <row r="6278" ht="15" customHeight="1" x14ac:dyDescent="0.25"/>
    <row r="6280" ht="15" customHeight="1" x14ac:dyDescent="0.25"/>
    <row r="6282" ht="15" customHeight="1" x14ac:dyDescent="0.25"/>
    <row r="6284" ht="15" customHeight="1" x14ac:dyDescent="0.25"/>
    <row r="6286" ht="15" customHeight="1" x14ac:dyDescent="0.25"/>
    <row r="6288" ht="15" customHeight="1" x14ac:dyDescent="0.25"/>
    <row r="6290" ht="15" customHeight="1" x14ac:dyDescent="0.25"/>
    <row r="6292" ht="15" customHeight="1" x14ac:dyDescent="0.25"/>
    <row r="6294" ht="15" customHeight="1" x14ac:dyDescent="0.25"/>
    <row r="6296" ht="15" customHeight="1" x14ac:dyDescent="0.25"/>
    <row r="6298" ht="15" customHeight="1" x14ac:dyDescent="0.25"/>
    <row r="6300" ht="15" customHeight="1" x14ac:dyDescent="0.25"/>
    <row r="6302" ht="15" customHeight="1" x14ac:dyDescent="0.25"/>
    <row r="6304" ht="15" customHeight="1" x14ac:dyDescent="0.25"/>
    <row r="6306" ht="15" customHeight="1" x14ac:dyDescent="0.25"/>
    <row r="6308" ht="15" customHeight="1" x14ac:dyDescent="0.25"/>
    <row r="6310" ht="15" customHeight="1" x14ac:dyDescent="0.25"/>
    <row r="6312" ht="15" customHeight="1" x14ac:dyDescent="0.25"/>
    <row r="6314" ht="15" customHeight="1" x14ac:dyDescent="0.25"/>
    <row r="6316" ht="15" customHeight="1" x14ac:dyDescent="0.25"/>
    <row r="6318" ht="15" customHeight="1" x14ac:dyDescent="0.25"/>
    <row r="6320" ht="15" customHeight="1" x14ac:dyDescent="0.25"/>
    <row r="6322" ht="15" customHeight="1" x14ac:dyDescent="0.25"/>
    <row r="6324" ht="15" customHeight="1" x14ac:dyDescent="0.25"/>
    <row r="6326" ht="15" customHeight="1" x14ac:dyDescent="0.25"/>
    <row r="6328" ht="15" customHeight="1" x14ac:dyDescent="0.25"/>
    <row r="6330" ht="15" customHeight="1" x14ac:dyDescent="0.25"/>
    <row r="6332" ht="15" customHeight="1" x14ac:dyDescent="0.25"/>
    <row r="6334" ht="15" customHeight="1" x14ac:dyDescent="0.25"/>
    <row r="6336" ht="15" customHeight="1" x14ac:dyDescent="0.25"/>
    <row r="6338" ht="15" customHeight="1" x14ac:dyDescent="0.25"/>
    <row r="6340" ht="15" customHeight="1" x14ac:dyDescent="0.25"/>
    <row r="6342" ht="15" customHeight="1" x14ac:dyDescent="0.25"/>
    <row r="6344" ht="15" customHeight="1" x14ac:dyDescent="0.25"/>
    <row r="6346" ht="15" customHeight="1" x14ac:dyDescent="0.25"/>
    <row r="6348" ht="15" customHeight="1" x14ac:dyDescent="0.25"/>
    <row r="6350" ht="15" customHeight="1" x14ac:dyDescent="0.25"/>
    <row r="6352" ht="15" customHeight="1" x14ac:dyDescent="0.25"/>
    <row r="6354" ht="15" customHeight="1" x14ac:dyDescent="0.25"/>
    <row r="6356" ht="15" customHeight="1" x14ac:dyDescent="0.25"/>
    <row r="6358" ht="15" customHeight="1" x14ac:dyDescent="0.25"/>
    <row r="6360" ht="15" customHeight="1" x14ac:dyDescent="0.25"/>
    <row r="6362" ht="15" customHeight="1" x14ac:dyDescent="0.25"/>
    <row r="6364" ht="15" customHeight="1" x14ac:dyDescent="0.25"/>
    <row r="6366" ht="15" customHeight="1" x14ac:dyDescent="0.25"/>
    <row r="6368" ht="15" customHeight="1" x14ac:dyDescent="0.25"/>
    <row r="6370" ht="15" customHeight="1" x14ac:dyDescent="0.25"/>
    <row r="6372" ht="15" customHeight="1" x14ac:dyDescent="0.25"/>
    <row r="6374" ht="15" customHeight="1" x14ac:dyDescent="0.25"/>
    <row r="6376" ht="15" customHeight="1" x14ac:dyDescent="0.25"/>
    <row r="6378" ht="15" customHeight="1" x14ac:dyDescent="0.25"/>
    <row r="6380" ht="15" customHeight="1" x14ac:dyDescent="0.25"/>
    <row r="6382" ht="15" customHeight="1" x14ac:dyDescent="0.25"/>
    <row r="6384" ht="15" customHeight="1" x14ac:dyDescent="0.25"/>
    <row r="6386" ht="15" customHeight="1" x14ac:dyDescent="0.25"/>
    <row r="6388" ht="15" customHeight="1" x14ac:dyDescent="0.25"/>
    <row r="6390" ht="15" customHeight="1" x14ac:dyDescent="0.25"/>
    <row r="6392" ht="15" customHeight="1" x14ac:dyDescent="0.25"/>
    <row r="6394" ht="15" customHeight="1" x14ac:dyDescent="0.25"/>
    <row r="6396" ht="15" customHeight="1" x14ac:dyDescent="0.25"/>
    <row r="6398" ht="15" customHeight="1" x14ac:dyDescent="0.25"/>
    <row r="6400" ht="15" customHeight="1" x14ac:dyDescent="0.25"/>
    <row r="6402" ht="15" customHeight="1" x14ac:dyDescent="0.25"/>
    <row r="6404" ht="15" customHeight="1" x14ac:dyDescent="0.25"/>
    <row r="6406" ht="15" customHeight="1" x14ac:dyDescent="0.25"/>
    <row r="6408" ht="15" customHeight="1" x14ac:dyDescent="0.25"/>
    <row r="6410" ht="15" customHeight="1" x14ac:dyDescent="0.25"/>
    <row r="6412" ht="15" customHeight="1" x14ac:dyDescent="0.25"/>
    <row r="6414" ht="15" customHeight="1" x14ac:dyDescent="0.25"/>
    <row r="6416" ht="15" customHeight="1" x14ac:dyDescent="0.25"/>
    <row r="6418" ht="15" customHeight="1" x14ac:dyDescent="0.25"/>
    <row r="6420" ht="15" customHeight="1" x14ac:dyDescent="0.25"/>
    <row r="6422" ht="15" customHeight="1" x14ac:dyDescent="0.25"/>
    <row r="6424" ht="15" customHeight="1" x14ac:dyDescent="0.25"/>
    <row r="6426" ht="15" customHeight="1" x14ac:dyDescent="0.25"/>
    <row r="6428" ht="15" customHeight="1" x14ac:dyDescent="0.25"/>
    <row r="6430" ht="15" customHeight="1" x14ac:dyDescent="0.25"/>
    <row r="6432" ht="15" customHeight="1" x14ac:dyDescent="0.25"/>
    <row r="6434" ht="15" customHeight="1" x14ac:dyDescent="0.25"/>
    <row r="6436" ht="15" customHeight="1" x14ac:dyDescent="0.25"/>
    <row r="6438" ht="15" customHeight="1" x14ac:dyDescent="0.25"/>
    <row r="6440" ht="15" customHeight="1" x14ac:dyDescent="0.25"/>
    <row r="6442" ht="15" customHeight="1" x14ac:dyDescent="0.25"/>
    <row r="6444" ht="15" customHeight="1" x14ac:dyDescent="0.25"/>
    <row r="6446" ht="15" customHeight="1" x14ac:dyDescent="0.25"/>
    <row r="6448" ht="15" customHeight="1" x14ac:dyDescent="0.25"/>
    <row r="6450" ht="15" customHeight="1" x14ac:dyDescent="0.25"/>
    <row r="6452" ht="15" customHeight="1" x14ac:dyDescent="0.25"/>
    <row r="6454" ht="15" customHeight="1" x14ac:dyDescent="0.25"/>
    <row r="6456" ht="15" customHeight="1" x14ac:dyDescent="0.25"/>
    <row r="6458" ht="15" customHeight="1" x14ac:dyDescent="0.25"/>
    <row r="6460" ht="15" customHeight="1" x14ac:dyDescent="0.25"/>
    <row r="6462" ht="15" customHeight="1" x14ac:dyDescent="0.25"/>
    <row r="6464" ht="15" customHeight="1" x14ac:dyDescent="0.25"/>
    <row r="6466" ht="15" customHeight="1" x14ac:dyDescent="0.25"/>
    <row r="6468" ht="15" customHeight="1" x14ac:dyDescent="0.25"/>
    <row r="6470" ht="15" customHeight="1" x14ac:dyDescent="0.25"/>
    <row r="6472" ht="15" customHeight="1" x14ac:dyDescent="0.25"/>
    <row r="6474" ht="15" customHeight="1" x14ac:dyDescent="0.25"/>
    <row r="6476" ht="15" customHeight="1" x14ac:dyDescent="0.25"/>
    <row r="6478" ht="15" customHeight="1" x14ac:dyDescent="0.25"/>
    <row r="6480" ht="15" customHeight="1" x14ac:dyDescent="0.25"/>
    <row r="6482" ht="15" customHeight="1" x14ac:dyDescent="0.25"/>
    <row r="6484" ht="15" customHeight="1" x14ac:dyDescent="0.25"/>
    <row r="6486" ht="15" customHeight="1" x14ac:dyDescent="0.25"/>
    <row r="6488" ht="15" customHeight="1" x14ac:dyDescent="0.25"/>
    <row r="6490" ht="15" customHeight="1" x14ac:dyDescent="0.25"/>
    <row r="6492" ht="15" customHeight="1" x14ac:dyDescent="0.25"/>
    <row r="6494" ht="15" customHeight="1" x14ac:dyDescent="0.25"/>
    <row r="6496" ht="15" customHeight="1" x14ac:dyDescent="0.25"/>
    <row r="6498" ht="15" customHeight="1" x14ac:dyDescent="0.25"/>
    <row r="6500" ht="15" customHeight="1" x14ac:dyDescent="0.25"/>
    <row r="6502" ht="15" customHeight="1" x14ac:dyDescent="0.25"/>
    <row r="6504" ht="15" customHeight="1" x14ac:dyDescent="0.25"/>
    <row r="6506" ht="15" customHeight="1" x14ac:dyDescent="0.25"/>
    <row r="6508" ht="15" customHeight="1" x14ac:dyDescent="0.25"/>
    <row r="6510" ht="15" customHeight="1" x14ac:dyDescent="0.25"/>
    <row r="6512" ht="15" customHeight="1" x14ac:dyDescent="0.25"/>
    <row r="6514" ht="15" customHeight="1" x14ac:dyDescent="0.25"/>
    <row r="6516" ht="15" customHeight="1" x14ac:dyDescent="0.25"/>
    <row r="6518" ht="15" customHeight="1" x14ac:dyDescent="0.25"/>
    <row r="6520" ht="15" customHeight="1" x14ac:dyDescent="0.25"/>
    <row r="6522" ht="15" customHeight="1" x14ac:dyDescent="0.25"/>
    <row r="6524" ht="15" customHeight="1" x14ac:dyDescent="0.25"/>
    <row r="6526" ht="15" customHeight="1" x14ac:dyDescent="0.25"/>
    <row r="6528" ht="15" customHeight="1" x14ac:dyDescent="0.25"/>
    <row r="6530" ht="15" customHeight="1" x14ac:dyDescent="0.25"/>
    <row r="6532" ht="15" customHeight="1" x14ac:dyDescent="0.25"/>
    <row r="6534" ht="15" customHeight="1" x14ac:dyDescent="0.25"/>
    <row r="6536" ht="15" customHeight="1" x14ac:dyDescent="0.25"/>
    <row r="6538" ht="15" customHeight="1" x14ac:dyDescent="0.25"/>
    <row r="6540" ht="15" customHeight="1" x14ac:dyDescent="0.25"/>
    <row r="6542" ht="15" customHeight="1" x14ac:dyDescent="0.25"/>
    <row r="6544" ht="15" customHeight="1" x14ac:dyDescent="0.25"/>
    <row r="6546" ht="15" customHeight="1" x14ac:dyDescent="0.25"/>
    <row r="6548" ht="15" customHeight="1" x14ac:dyDescent="0.25"/>
    <row r="6550" ht="15" customHeight="1" x14ac:dyDescent="0.25"/>
    <row r="6552" ht="15" customHeight="1" x14ac:dyDescent="0.25"/>
    <row r="6554" ht="15" customHeight="1" x14ac:dyDescent="0.25"/>
    <row r="6556" ht="15" customHeight="1" x14ac:dyDescent="0.25"/>
    <row r="6558" ht="15" customHeight="1" x14ac:dyDescent="0.25"/>
    <row r="6560" ht="15" customHeight="1" x14ac:dyDescent="0.25"/>
    <row r="6562" ht="15" customHeight="1" x14ac:dyDescent="0.25"/>
    <row r="6564" ht="15" customHeight="1" x14ac:dyDescent="0.25"/>
    <row r="6566" ht="15" customHeight="1" x14ac:dyDescent="0.25"/>
    <row r="6568" ht="15" customHeight="1" x14ac:dyDescent="0.25"/>
    <row r="6570" ht="15" customHeight="1" x14ac:dyDescent="0.25"/>
    <row r="6572" ht="15" customHeight="1" x14ac:dyDescent="0.25"/>
    <row r="6574" ht="15" customHeight="1" x14ac:dyDescent="0.25"/>
    <row r="6576" ht="15" customHeight="1" x14ac:dyDescent="0.25"/>
    <row r="6578" ht="15" customHeight="1" x14ac:dyDescent="0.25"/>
    <row r="6580" ht="15" customHeight="1" x14ac:dyDescent="0.25"/>
    <row r="6582" ht="15" customHeight="1" x14ac:dyDescent="0.25"/>
    <row r="6584" ht="15" customHeight="1" x14ac:dyDescent="0.25"/>
    <row r="6586" ht="15" customHeight="1" x14ac:dyDescent="0.25"/>
    <row r="6588" ht="15" customHeight="1" x14ac:dyDescent="0.25"/>
    <row r="6590" ht="15" customHeight="1" x14ac:dyDescent="0.25"/>
    <row r="6592" ht="15" customHeight="1" x14ac:dyDescent="0.25"/>
    <row r="6594" ht="15" customHeight="1" x14ac:dyDescent="0.25"/>
    <row r="6596" ht="15" customHeight="1" x14ac:dyDescent="0.25"/>
    <row r="6598" ht="15" customHeight="1" x14ac:dyDescent="0.25"/>
    <row r="6600" ht="15" customHeight="1" x14ac:dyDescent="0.25"/>
    <row r="6602" ht="15" customHeight="1" x14ac:dyDescent="0.25"/>
    <row r="6604" ht="15" customHeight="1" x14ac:dyDescent="0.25"/>
    <row r="6606" ht="15" customHeight="1" x14ac:dyDescent="0.25"/>
    <row r="6608" ht="15" customHeight="1" x14ac:dyDescent="0.25"/>
    <row r="6610" ht="15" customHeight="1" x14ac:dyDescent="0.25"/>
    <row r="6612" ht="15" customHeight="1" x14ac:dyDescent="0.25"/>
    <row r="6614" ht="15" customHeight="1" x14ac:dyDescent="0.25"/>
    <row r="6616" ht="15" customHeight="1" x14ac:dyDescent="0.25"/>
    <row r="6618" ht="15" customHeight="1" x14ac:dyDescent="0.25"/>
    <row r="6620" ht="15" customHeight="1" x14ac:dyDescent="0.25"/>
    <row r="6622" ht="15" customHeight="1" x14ac:dyDescent="0.25"/>
    <row r="6624" ht="15" customHeight="1" x14ac:dyDescent="0.25"/>
    <row r="6626" ht="15" customHeight="1" x14ac:dyDescent="0.25"/>
    <row r="6628" ht="15" customHeight="1" x14ac:dyDescent="0.25"/>
    <row r="6630" ht="15" customHeight="1" x14ac:dyDescent="0.25"/>
    <row r="6632" ht="15" customHeight="1" x14ac:dyDescent="0.25"/>
    <row r="6634" ht="15" customHeight="1" x14ac:dyDescent="0.25"/>
    <row r="6636" ht="15" customHeight="1" x14ac:dyDescent="0.25"/>
    <row r="6638" ht="15" customHeight="1" x14ac:dyDescent="0.25"/>
    <row r="6640" ht="15" customHeight="1" x14ac:dyDescent="0.25"/>
    <row r="6642" ht="15" customHeight="1" x14ac:dyDescent="0.25"/>
    <row r="6644" ht="15" customHeight="1" x14ac:dyDescent="0.25"/>
    <row r="6646" ht="15" customHeight="1" x14ac:dyDescent="0.25"/>
    <row r="6648" ht="15" customHeight="1" x14ac:dyDescent="0.25"/>
    <row r="6650" ht="15" customHeight="1" x14ac:dyDescent="0.25"/>
    <row r="6652" ht="15" customHeight="1" x14ac:dyDescent="0.25"/>
    <row r="6654" ht="15" customHeight="1" x14ac:dyDescent="0.25"/>
    <row r="6656" ht="15" customHeight="1" x14ac:dyDescent="0.25"/>
    <row r="6658" ht="15" customHeight="1" x14ac:dyDescent="0.25"/>
    <row r="6660" ht="15" customHeight="1" x14ac:dyDescent="0.25"/>
    <row r="6662" ht="15" customHeight="1" x14ac:dyDescent="0.25"/>
    <row r="6664" ht="15" customHeight="1" x14ac:dyDescent="0.25"/>
    <row r="6666" ht="15" customHeight="1" x14ac:dyDescent="0.25"/>
    <row r="6668" ht="15" customHeight="1" x14ac:dyDescent="0.25"/>
    <row r="6670" ht="15" customHeight="1" x14ac:dyDescent="0.25"/>
    <row r="6672" ht="15" customHeight="1" x14ac:dyDescent="0.25"/>
    <row r="6674" ht="15" customHeight="1" x14ac:dyDescent="0.25"/>
    <row r="6676" ht="15" customHeight="1" x14ac:dyDescent="0.25"/>
    <row r="6678" ht="15" customHeight="1" x14ac:dyDescent="0.25"/>
    <row r="6680" ht="15" customHeight="1" x14ac:dyDescent="0.25"/>
    <row r="6682" ht="15" customHeight="1" x14ac:dyDescent="0.25"/>
    <row r="6684" ht="15" customHeight="1" x14ac:dyDescent="0.25"/>
    <row r="6686" ht="15" customHeight="1" x14ac:dyDescent="0.25"/>
    <row r="6688" ht="15" customHeight="1" x14ac:dyDescent="0.25"/>
    <row r="6690" ht="15" customHeight="1" x14ac:dyDescent="0.25"/>
    <row r="6692" ht="15" customHeight="1" x14ac:dyDescent="0.25"/>
    <row r="6694" ht="15" customHeight="1" x14ac:dyDescent="0.25"/>
    <row r="6696" ht="15" customHeight="1" x14ac:dyDescent="0.25"/>
    <row r="6698" ht="15" customHeight="1" x14ac:dyDescent="0.25"/>
    <row r="6700" ht="15" customHeight="1" x14ac:dyDescent="0.25"/>
    <row r="6702" ht="15" customHeight="1" x14ac:dyDescent="0.25"/>
    <row r="6704" ht="15" customHeight="1" x14ac:dyDescent="0.25"/>
    <row r="6706" ht="15" customHeight="1" x14ac:dyDescent="0.25"/>
    <row r="6708" ht="15" customHeight="1" x14ac:dyDescent="0.25"/>
    <row r="6710" ht="15" customHeight="1" x14ac:dyDescent="0.25"/>
    <row r="6712" ht="15" customHeight="1" x14ac:dyDescent="0.25"/>
    <row r="6714" ht="15" customHeight="1" x14ac:dyDescent="0.25"/>
    <row r="6716" ht="15" customHeight="1" x14ac:dyDescent="0.25"/>
    <row r="6718" ht="15" customHeight="1" x14ac:dyDescent="0.25"/>
    <row r="6720" ht="15" customHeight="1" x14ac:dyDescent="0.25"/>
    <row r="6722" ht="15" customHeight="1" x14ac:dyDescent="0.25"/>
    <row r="6724" ht="15" customHeight="1" x14ac:dyDescent="0.25"/>
    <row r="6726" ht="15" customHeight="1" x14ac:dyDescent="0.25"/>
    <row r="6728" ht="15" customHeight="1" x14ac:dyDescent="0.25"/>
    <row r="6730" ht="15" customHeight="1" x14ac:dyDescent="0.25"/>
    <row r="6732" ht="15" customHeight="1" x14ac:dyDescent="0.25"/>
    <row r="6734" ht="15" customHeight="1" x14ac:dyDescent="0.25"/>
    <row r="6736" ht="15" customHeight="1" x14ac:dyDescent="0.25"/>
    <row r="6738" ht="15" customHeight="1" x14ac:dyDescent="0.25"/>
    <row r="6740" ht="15" customHeight="1" x14ac:dyDescent="0.25"/>
    <row r="6742" ht="15" customHeight="1" x14ac:dyDescent="0.25"/>
    <row r="6744" ht="15" customHeight="1" x14ac:dyDescent="0.25"/>
    <row r="6746" ht="15" customHeight="1" x14ac:dyDescent="0.25"/>
    <row r="6748" ht="15" customHeight="1" x14ac:dyDescent="0.25"/>
    <row r="6750" ht="15" customHeight="1" x14ac:dyDescent="0.25"/>
    <row r="6752" ht="15" customHeight="1" x14ac:dyDescent="0.25"/>
    <row r="6754" ht="15" customHeight="1" x14ac:dyDescent="0.25"/>
    <row r="6756" ht="15" customHeight="1" x14ac:dyDescent="0.25"/>
    <row r="6758" ht="15" customHeight="1" x14ac:dyDescent="0.25"/>
    <row r="6760" ht="15" customHeight="1" x14ac:dyDescent="0.25"/>
    <row r="6762" ht="15" customHeight="1" x14ac:dyDescent="0.25"/>
    <row r="6764" ht="15" customHeight="1" x14ac:dyDescent="0.25"/>
    <row r="6766" ht="15" customHeight="1" x14ac:dyDescent="0.25"/>
    <row r="6768" ht="15" customHeight="1" x14ac:dyDescent="0.25"/>
    <row r="6770" ht="15" customHeight="1" x14ac:dyDescent="0.25"/>
    <row r="6772" ht="15" customHeight="1" x14ac:dyDescent="0.25"/>
    <row r="6774" ht="15" customHeight="1" x14ac:dyDescent="0.25"/>
    <row r="6776" ht="15" customHeight="1" x14ac:dyDescent="0.25"/>
    <row r="6778" ht="15" customHeight="1" x14ac:dyDescent="0.25"/>
    <row r="6780" ht="15" customHeight="1" x14ac:dyDescent="0.25"/>
    <row r="6782" ht="15" customHeight="1" x14ac:dyDescent="0.25"/>
    <row r="6784" ht="15" customHeight="1" x14ac:dyDescent="0.25"/>
    <row r="6786" ht="15" customHeight="1" x14ac:dyDescent="0.25"/>
    <row r="6788" ht="15" customHeight="1" x14ac:dyDescent="0.25"/>
    <row r="6790" ht="15" customHeight="1" x14ac:dyDescent="0.25"/>
    <row r="6792" ht="15" customHeight="1" x14ac:dyDescent="0.25"/>
    <row r="6794" ht="15" customHeight="1" x14ac:dyDescent="0.25"/>
    <row r="6796" ht="15" customHeight="1" x14ac:dyDescent="0.25"/>
    <row r="6798" ht="15" customHeight="1" x14ac:dyDescent="0.25"/>
    <row r="6800" ht="15" customHeight="1" x14ac:dyDescent="0.25"/>
    <row r="6802" ht="15" customHeight="1" x14ac:dyDescent="0.25"/>
    <row r="6804" ht="15" customHeight="1" x14ac:dyDescent="0.25"/>
    <row r="6806" ht="15" customHeight="1" x14ac:dyDescent="0.25"/>
    <row r="6808" ht="15" customHeight="1" x14ac:dyDescent="0.25"/>
    <row r="6810" ht="15" customHeight="1" x14ac:dyDescent="0.25"/>
    <row r="6812" ht="15" customHeight="1" x14ac:dyDescent="0.25"/>
    <row r="6814" ht="15" customHeight="1" x14ac:dyDescent="0.25"/>
    <row r="6816" ht="15" customHeight="1" x14ac:dyDescent="0.25"/>
    <row r="6818" ht="15" customHeight="1" x14ac:dyDescent="0.25"/>
    <row r="6820" ht="15" customHeight="1" x14ac:dyDescent="0.25"/>
    <row r="6822" ht="15" customHeight="1" x14ac:dyDescent="0.25"/>
    <row r="6824" ht="15" customHeight="1" x14ac:dyDescent="0.25"/>
    <row r="6826" ht="15" customHeight="1" x14ac:dyDescent="0.25"/>
    <row r="6828" ht="15" customHeight="1" x14ac:dyDescent="0.25"/>
    <row r="6830" ht="15" customHeight="1" x14ac:dyDescent="0.25"/>
    <row r="6832" ht="15" customHeight="1" x14ac:dyDescent="0.25"/>
    <row r="6834" ht="15" customHeight="1" x14ac:dyDescent="0.25"/>
    <row r="6836" ht="15" customHeight="1" x14ac:dyDescent="0.25"/>
    <row r="6838" ht="15" customHeight="1" x14ac:dyDescent="0.25"/>
    <row r="6840" ht="15" customHeight="1" x14ac:dyDescent="0.25"/>
    <row r="6842" ht="15" customHeight="1" x14ac:dyDescent="0.25"/>
    <row r="6844" ht="15" customHeight="1" x14ac:dyDescent="0.25"/>
    <row r="6846" ht="15" customHeight="1" x14ac:dyDescent="0.25"/>
    <row r="6848" ht="15" customHeight="1" x14ac:dyDescent="0.25"/>
    <row r="6850" ht="15" customHeight="1" x14ac:dyDescent="0.25"/>
    <row r="6852" ht="15" customHeight="1" x14ac:dyDescent="0.25"/>
    <row r="6854" ht="15" customHeight="1" x14ac:dyDescent="0.25"/>
    <row r="6856" ht="15" customHeight="1" x14ac:dyDescent="0.25"/>
    <row r="6858" ht="15" customHeight="1" x14ac:dyDescent="0.25"/>
    <row r="6860" ht="15" customHeight="1" x14ac:dyDescent="0.25"/>
    <row r="6862" ht="15" customHeight="1" x14ac:dyDescent="0.25"/>
    <row r="6864" ht="15" customHeight="1" x14ac:dyDescent="0.25"/>
    <row r="6866" ht="15" customHeight="1" x14ac:dyDescent="0.25"/>
    <row r="6868" ht="15" customHeight="1" x14ac:dyDescent="0.25"/>
    <row r="6870" ht="15" customHeight="1" x14ac:dyDescent="0.25"/>
    <row r="6872" ht="15" customHeight="1" x14ac:dyDescent="0.25"/>
    <row r="6874" ht="15" customHeight="1" x14ac:dyDescent="0.25"/>
    <row r="6876" ht="15" customHeight="1" x14ac:dyDescent="0.25"/>
    <row r="6878" ht="15" customHeight="1" x14ac:dyDescent="0.25"/>
    <row r="6880" ht="15" customHeight="1" x14ac:dyDescent="0.25"/>
    <row r="6882" ht="15" customHeight="1" x14ac:dyDescent="0.25"/>
    <row r="6884" ht="15" customHeight="1" x14ac:dyDescent="0.25"/>
    <row r="6886" ht="15" customHeight="1" x14ac:dyDescent="0.25"/>
    <row r="6888" ht="15" customHeight="1" x14ac:dyDescent="0.25"/>
    <row r="6890" ht="15" customHeight="1" x14ac:dyDescent="0.25"/>
    <row r="6892" ht="15" customHeight="1" x14ac:dyDescent="0.25"/>
    <row r="6894" ht="15" customHeight="1" x14ac:dyDescent="0.25"/>
    <row r="6896" ht="15" customHeight="1" x14ac:dyDescent="0.25"/>
    <row r="6898" ht="15" customHeight="1" x14ac:dyDescent="0.25"/>
    <row r="6900" ht="15" customHeight="1" x14ac:dyDescent="0.25"/>
    <row r="6902" ht="15" customHeight="1" x14ac:dyDescent="0.25"/>
    <row r="6904" ht="15" customHeight="1" x14ac:dyDescent="0.25"/>
    <row r="6906" ht="15" customHeight="1" x14ac:dyDescent="0.25"/>
    <row r="6908" ht="15" customHeight="1" x14ac:dyDescent="0.25"/>
    <row r="6910" ht="15" customHeight="1" x14ac:dyDescent="0.25"/>
    <row r="6912" ht="15" customHeight="1" x14ac:dyDescent="0.25"/>
    <row r="6914" ht="15" customHeight="1" x14ac:dyDescent="0.25"/>
    <row r="6916" ht="15" customHeight="1" x14ac:dyDescent="0.25"/>
    <row r="6918" ht="15" customHeight="1" x14ac:dyDescent="0.25"/>
    <row r="6920" ht="15" customHeight="1" x14ac:dyDescent="0.25"/>
    <row r="6922" ht="15" customHeight="1" x14ac:dyDescent="0.25"/>
    <row r="6924" ht="15" customHeight="1" x14ac:dyDescent="0.25"/>
    <row r="6926" ht="15" customHeight="1" x14ac:dyDescent="0.25"/>
    <row r="6928" ht="15" customHeight="1" x14ac:dyDescent="0.25"/>
    <row r="6930" ht="15" customHeight="1" x14ac:dyDescent="0.25"/>
    <row r="6932" ht="15" customHeight="1" x14ac:dyDescent="0.25"/>
    <row r="6934" ht="15" customHeight="1" x14ac:dyDescent="0.25"/>
    <row r="6936" ht="15" customHeight="1" x14ac:dyDescent="0.25"/>
    <row r="6938" ht="15" customHeight="1" x14ac:dyDescent="0.25"/>
    <row r="6940" ht="15" customHeight="1" x14ac:dyDescent="0.25"/>
    <row r="6942" ht="15" customHeight="1" x14ac:dyDescent="0.25"/>
    <row r="6944" ht="15" customHeight="1" x14ac:dyDescent="0.25"/>
    <row r="6946" ht="15" customHeight="1" x14ac:dyDescent="0.25"/>
    <row r="6948" ht="15" customHeight="1" x14ac:dyDescent="0.25"/>
    <row r="6950" ht="15" customHeight="1" x14ac:dyDescent="0.25"/>
    <row r="6952" ht="15" customHeight="1" x14ac:dyDescent="0.25"/>
    <row r="6954" ht="15" customHeight="1" x14ac:dyDescent="0.25"/>
    <row r="6956" ht="15" customHeight="1" x14ac:dyDescent="0.25"/>
    <row r="6958" ht="15" customHeight="1" x14ac:dyDescent="0.25"/>
    <row r="6960" ht="15" customHeight="1" x14ac:dyDescent="0.25"/>
    <row r="6962" ht="15" customHeight="1" x14ac:dyDescent="0.25"/>
    <row r="6964" ht="15" customHeight="1" x14ac:dyDescent="0.25"/>
    <row r="6966" ht="15" customHeight="1" x14ac:dyDescent="0.25"/>
    <row r="6968" ht="15" customHeight="1" x14ac:dyDescent="0.25"/>
    <row r="6970" ht="15" customHeight="1" x14ac:dyDescent="0.25"/>
    <row r="6972" ht="15" customHeight="1" x14ac:dyDescent="0.25"/>
    <row r="6974" ht="15" customHeight="1" x14ac:dyDescent="0.25"/>
    <row r="6976" ht="15" customHeight="1" x14ac:dyDescent="0.25"/>
    <row r="6978" ht="15" customHeight="1" x14ac:dyDescent="0.25"/>
    <row r="6980" ht="15" customHeight="1" x14ac:dyDescent="0.25"/>
    <row r="6982" ht="15" customHeight="1" x14ac:dyDescent="0.25"/>
    <row r="6984" ht="15" customHeight="1" x14ac:dyDescent="0.25"/>
    <row r="6986" ht="15" customHeight="1" x14ac:dyDescent="0.25"/>
    <row r="6988" ht="15" customHeight="1" x14ac:dyDescent="0.25"/>
    <row r="6990" ht="15" customHeight="1" x14ac:dyDescent="0.25"/>
    <row r="6992" ht="15" customHeight="1" x14ac:dyDescent="0.25"/>
    <row r="6994" ht="15" customHeight="1" x14ac:dyDescent="0.25"/>
    <row r="6996" ht="15" customHeight="1" x14ac:dyDescent="0.25"/>
    <row r="6998" ht="15" customHeight="1" x14ac:dyDescent="0.25"/>
    <row r="7000" ht="15" customHeight="1" x14ac:dyDescent="0.25"/>
    <row r="7002" ht="15" customHeight="1" x14ac:dyDescent="0.25"/>
    <row r="7004" ht="15" customHeight="1" x14ac:dyDescent="0.25"/>
    <row r="7006" ht="15" customHeight="1" x14ac:dyDescent="0.25"/>
    <row r="7008" ht="15" customHeight="1" x14ac:dyDescent="0.25"/>
    <row r="7010" ht="15" customHeight="1" x14ac:dyDescent="0.25"/>
    <row r="7012" ht="15" customHeight="1" x14ac:dyDescent="0.25"/>
    <row r="7014" ht="15" customHeight="1" x14ac:dyDescent="0.25"/>
    <row r="7016" ht="15" customHeight="1" x14ac:dyDescent="0.25"/>
    <row r="7018" ht="15" customHeight="1" x14ac:dyDescent="0.25"/>
    <row r="7020" ht="15" customHeight="1" x14ac:dyDescent="0.25"/>
    <row r="7022" ht="15" customHeight="1" x14ac:dyDescent="0.25"/>
    <row r="7024" ht="15" customHeight="1" x14ac:dyDescent="0.25"/>
    <row r="7026" ht="15" customHeight="1" x14ac:dyDescent="0.25"/>
    <row r="7028" ht="15" customHeight="1" x14ac:dyDescent="0.25"/>
    <row r="7030" ht="15" customHeight="1" x14ac:dyDescent="0.25"/>
    <row r="7032" ht="15" customHeight="1" x14ac:dyDescent="0.25"/>
    <row r="7034" ht="15" customHeight="1" x14ac:dyDescent="0.25"/>
    <row r="7036" ht="15" customHeight="1" x14ac:dyDescent="0.25"/>
    <row r="7038" ht="15" customHeight="1" x14ac:dyDescent="0.25"/>
    <row r="7040" ht="15" customHeight="1" x14ac:dyDescent="0.25"/>
    <row r="7042" ht="15" customHeight="1" x14ac:dyDescent="0.25"/>
    <row r="7044" ht="15" customHeight="1" x14ac:dyDescent="0.25"/>
    <row r="7046" ht="15" customHeight="1" x14ac:dyDescent="0.25"/>
    <row r="7048" ht="15" customHeight="1" x14ac:dyDescent="0.25"/>
    <row r="7050" ht="15" customHeight="1" x14ac:dyDescent="0.25"/>
    <row r="7052" ht="15" customHeight="1" x14ac:dyDescent="0.25"/>
    <row r="7054" ht="15" customHeight="1" x14ac:dyDescent="0.25"/>
    <row r="7056" ht="15" customHeight="1" x14ac:dyDescent="0.25"/>
    <row r="7058" ht="15" customHeight="1" x14ac:dyDescent="0.25"/>
    <row r="7060" ht="15" customHeight="1" x14ac:dyDescent="0.25"/>
    <row r="7062" ht="15" customHeight="1" x14ac:dyDescent="0.25"/>
    <row r="7064" ht="15" customHeight="1" x14ac:dyDescent="0.25"/>
    <row r="7066" ht="15" customHeight="1" x14ac:dyDescent="0.25"/>
    <row r="7068" ht="15" customHeight="1" x14ac:dyDescent="0.25"/>
    <row r="7070" ht="15" customHeight="1" x14ac:dyDescent="0.25"/>
    <row r="7072" ht="15" customHeight="1" x14ac:dyDescent="0.25"/>
    <row r="7074" ht="15" customHeight="1" x14ac:dyDescent="0.25"/>
    <row r="7076" ht="15" customHeight="1" x14ac:dyDescent="0.25"/>
    <row r="7078" ht="15" customHeight="1" x14ac:dyDescent="0.25"/>
    <row r="7080" ht="15" customHeight="1" x14ac:dyDescent="0.25"/>
    <row r="7082" ht="15" customHeight="1" x14ac:dyDescent="0.25"/>
    <row r="7084" ht="15" customHeight="1" x14ac:dyDescent="0.25"/>
    <row r="7086" ht="15" customHeight="1" x14ac:dyDescent="0.25"/>
    <row r="7088" ht="15" customHeight="1" x14ac:dyDescent="0.25"/>
    <row r="7090" ht="15" customHeight="1" x14ac:dyDescent="0.25"/>
    <row r="7092" ht="15" customHeight="1" x14ac:dyDescent="0.25"/>
    <row r="7094" ht="15" customHeight="1" x14ac:dyDescent="0.25"/>
    <row r="7096" ht="15" customHeight="1" x14ac:dyDescent="0.25"/>
    <row r="7098" ht="15" customHeight="1" x14ac:dyDescent="0.25"/>
    <row r="7100" ht="15" customHeight="1" x14ac:dyDescent="0.25"/>
    <row r="7102" ht="15" customHeight="1" x14ac:dyDescent="0.25"/>
    <row r="7104" ht="15" customHeight="1" x14ac:dyDescent="0.25"/>
    <row r="7106" ht="15" customHeight="1" x14ac:dyDescent="0.25"/>
    <row r="7108" ht="15" customHeight="1" x14ac:dyDescent="0.25"/>
    <row r="7110" ht="15" customHeight="1" x14ac:dyDescent="0.25"/>
    <row r="7112" ht="15" customHeight="1" x14ac:dyDescent="0.25"/>
    <row r="7114" ht="15" customHeight="1" x14ac:dyDescent="0.25"/>
    <row r="7116" ht="15" customHeight="1" x14ac:dyDescent="0.25"/>
    <row r="7118" ht="15" customHeight="1" x14ac:dyDescent="0.25"/>
    <row r="7120" ht="15" customHeight="1" x14ac:dyDescent="0.25"/>
    <row r="7122" ht="15" customHeight="1" x14ac:dyDescent="0.25"/>
    <row r="7124" ht="15" customHeight="1" x14ac:dyDescent="0.25"/>
    <row r="7126" ht="15" customHeight="1" x14ac:dyDescent="0.25"/>
    <row r="7128" ht="15" customHeight="1" x14ac:dyDescent="0.25"/>
    <row r="7130" ht="15" customHeight="1" x14ac:dyDescent="0.25"/>
    <row r="7132" ht="15" customHeight="1" x14ac:dyDescent="0.25"/>
    <row r="7134" ht="15" customHeight="1" x14ac:dyDescent="0.25"/>
    <row r="7136" ht="15" customHeight="1" x14ac:dyDescent="0.25"/>
    <row r="7138" ht="15" customHeight="1" x14ac:dyDescent="0.25"/>
    <row r="7140" ht="15" customHeight="1" x14ac:dyDescent="0.25"/>
    <row r="7142" ht="15" customHeight="1" x14ac:dyDescent="0.25"/>
    <row r="7144" ht="15" customHeight="1" x14ac:dyDescent="0.25"/>
    <row r="7146" ht="15" customHeight="1" x14ac:dyDescent="0.25"/>
    <row r="7148" ht="15" customHeight="1" x14ac:dyDescent="0.25"/>
    <row r="7150" ht="15" customHeight="1" x14ac:dyDescent="0.25"/>
    <row r="7152" ht="15" customHeight="1" x14ac:dyDescent="0.25"/>
    <row r="7154" ht="15" customHeight="1" x14ac:dyDescent="0.25"/>
    <row r="7156" ht="15" customHeight="1" x14ac:dyDescent="0.25"/>
    <row r="7158" ht="15" customHeight="1" x14ac:dyDescent="0.25"/>
    <row r="7160" ht="15" customHeight="1" x14ac:dyDescent="0.25"/>
    <row r="7162" ht="15" customHeight="1" x14ac:dyDescent="0.25"/>
    <row r="7164" ht="15" customHeight="1" x14ac:dyDescent="0.25"/>
    <row r="7166" ht="15" customHeight="1" x14ac:dyDescent="0.25"/>
    <row r="7168" ht="15" customHeight="1" x14ac:dyDescent="0.25"/>
    <row r="7170" ht="15" customHeight="1" x14ac:dyDescent="0.25"/>
    <row r="7172" ht="15" customHeight="1" x14ac:dyDescent="0.25"/>
    <row r="7174" ht="15" customHeight="1" x14ac:dyDescent="0.25"/>
    <row r="7176" ht="15" customHeight="1" x14ac:dyDescent="0.25"/>
    <row r="7178" ht="15" customHeight="1" x14ac:dyDescent="0.25"/>
    <row r="7180" ht="15" customHeight="1" x14ac:dyDescent="0.25"/>
    <row r="7182" ht="15" customHeight="1" x14ac:dyDescent="0.25"/>
    <row r="7184" ht="15" customHeight="1" x14ac:dyDescent="0.25"/>
    <row r="7186" ht="15" customHeight="1" x14ac:dyDescent="0.25"/>
    <row r="7188" ht="15" customHeight="1" x14ac:dyDescent="0.25"/>
    <row r="7190" ht="15" customHeight="1" x14ac:dyDescent="0.25"/>
    <row r="7192" ht="15" customHeight="1" x14ac:dyDescent="0.25"/>
    <row r="7194" ht="15" customHeight="1" x14ac:dyDescent="0.25"/>
    <row r="7196" ht="15" customHeight="1" x14ac:dyDescent="0.25"/>
    <row r="7198" ht="15" customHeight="1" x14ac:dyDescent="0.25"/>
    <row r="7200" ht="15" customHeight="1" x14ac:dyDescent="0.25"/>
    <row r="7202" ht="15" customHeight="1" x14ac:dyDescent="0.25"/>
    <row r="7204" ht="15" customHeight="1" x14ac:dyDescent="0.25"/>
    <row r="7206" ht="15" customHeight="1" x14ac:dyDescent="0.25"/>
    <row r="7208" ht="15" customHeight="1" x14ac:dyDescent="0.25"/>
    <row r="7210" ht="15" customHeight="1" x14ac:dyDescent="0.25"/>
    <row r="7212" ht="15" customHeight="1" x14ac:dyDescent="0.25"/>
    <row r="7214" ht="15" customHeight="1" x14ac:dyDescent="0.25"/>
    <row r="7216" ht="15" customHeight="1" x14ac:dyDescent="0.25"/>
    <row r="7218" ht="15" customHeight="1" x14ac:dyDescent="0.25"/>
    <row r="7220" ht="15" customHeight="1" x14ac:dyDescent="0.25"/>
    <row r="7222" ht="15" customHeight="1" x14ac:dyDescent="0.25"/>
    <row r="7224" ht="15" customHeight="1" x14ac:dyDescent="0.25"/>
    <row r="7226" ht="15" customHeight="1" x14ac:dyDescent="0.25"/>
    <row r="7228" ht="15" customHeight="1" x14ac:dyDescent="0.25"/>
    <row r="7230" ht="15" customHeight="1" x14ac:dyDescent="0.25"/>
    <row r="7232" ht="15" customHeight="1" x14ac:dyDescent="0.25"/>
    <row r="7234" ht="15" customHeight="1" x14ac:dyDescent="0.25"/>
    <row r="7236" ht="15" customHeight="1" x14ac:dyDescent="0.25"/>
    <row r="7238" ht="15" customHeight="1" x14ac:dyDescent="0.25"/>
    <row r="7240" ht="15" customHeight="1" x14ac:dyDescent="0.25"/>
    <row r="7242" ht="15" customHeight="1" x14ac:dyDescent="0.25"/>
    <row r="7244" ht="15" customHeight="1" x14ac:dyDescent="0.25"/>
    <row r="7246" ht="15" customHeight="1" x14ac:dyDescent="0.25"/>
    <row r="7248" ht="15" customHeight="1" x14ac:dyDescent="0.25"/>
    <row r="7250" ht="15" customHeight="1" x14ac:dyDescent="0.25"/>
    <row r="7252" ht="15" customHeight="1" x14ac:dyDescent="0.25"/>
    <row r="7254" ht="15" customHeight="1" x14ac:dyDescent="0.25"/>
    <row r="7256" ht="15" customHeight="1" x14ac:dyDescent="0.25"/>
    <row r="7258" ht="15" customHeight="1" x14ac:dyDescent="0.25"/>
    <row r="7260" ht="15" customHeight="1" x14ac:dyDescent="0.25"/>
    <row r="7262" ht="15" customHeight="1" x14ac:dyDescent="0.25"/>
    <row r="7264" ht="15" customHeight="1" x14ac:dyDescent="0.25"/>
    <row r="7266" ht="15" customHeight="1" x14ac:dyDescent="0.25"/>
    <row r="7268" ht="15" customHeight="1" x14ac:dyDescent="0.25"/>
    <row r="7270" ht="15" customHeight="1" x14ac:dyDescent="0.25"/>
    <row r="7272" ht="15" customHeight="1" x14ac:dyDescent="0.25"/>
    <row r="7274" ht="15" customHeight="1" x14ac:dyDescent="0.25"/>
    <row r="7276" ht="15" customHeight="1" x14ac:dyDescent="0.25"/>
    <row r="7278" ht="15" customHeight="1" x14ac:dyDescent="0.25"/>
    <row r="7280" ht="15" customHeight="1" x14ac:dyDescent="0.25"/>
    <row r="7282" ht="15" customHeight="1" x14ac:dyDescent="0.25"/>
    <row r="7284" ht="15" customHeight="1" x14ac:dyDescent="0.25"/>
    <row r="7286" ht="15" customHeight="1" x14ac:dyDescent="0.25"/>
    <row r="7288" ht="15" customHeight="1" x14ac:dyDescent="0.25"/>
    <row r="7290" ht="15" customHeight="1" x14ac:dyDescent="0.25"/>
    <row r="7292" ht="15" customHeight="1" x14ac:dyDescent="0.25"/>
    <row r="7294" ht="15" customHeight="1" x14ac:dyDescent="0.25"/>
    <row r="7296" ht="15" customHeight="1" x14ac:dyDescent="0.25"/>
    <row r="7298" ht="15" customHeight="1" x14ac:dyDescent="0.25"/>
    <row r="7300" ht="15" customHeight="1" x14ac:dyDescent="0.25"/>
    <row r="7302" ht="15" customHeight="1" x14ac:dyDescent="0.25"/>
    <row r="7304" ht="15" customHeight="1" x14ac:dyDescent="0.25"/>
    <row r="7306" ht="15" customHeight="1" x14ac:dyDescent="0.25"/>
    <row r="7308" ht="15" customHeight="1" x14ac:dyDescent="0.25"/>
    <row r="7310" ht="15" customHeight="1" x14ac:dyDescent="0.25"/>
    <row r="7312" ht="15" customHeight="1" x14ac:dyDescent="0.25"/>
    <row r="7314" ht="15" customHeight="1" x14ac:dyDescent="0.25"/>
    <row r="7316" ht="15" customHeight="1" x14ac:dyDescent="0.25"/>
    <row r="7318" ht="15" customHeight="1" x14ac:dyDescent="0.25"/>
    <row r="7320" ht="15" customHeight="1" x14ac:dyDescent="0.25"/>
    <row r="7322" ht="15" customHeight="1" x14ac:dyDescent="0.25"/>
    <row r="7324" ht="15" customHeight="1" x14ac:dyDescent="0.25"/>
    <row r="7326" ht="15" customHeight="1" x14ac:dyDescent="0.25"/>
    <row r="7328" ht="15" customHeight="1" x14ac:dyDescent="0.25"/>
    <row r="7330" ht="15" customHeight="1" x14ac:dyDescent="0.25"/>
    <row r="7332" ht="15" customHeight="1" x14ac:dyDescent="0.25"/>
    <row r="7334" ht="15" customHeight="1" x14ac:dyDescent="0.25"/>
    <row r="7336" ht="15" customHeight="1" x14ac:dyDescent="0.25"/>
    <row r="7338" ht="15" customHeight="1" x14ac:dyDescent="0.25"/>
    <row r="7340" ht="15" customHeight="1" x14ac:dyDescent="0.25"/>
    <row r="7342" ht="15" customHeight="1" x14ac:dyDescent="0.25"/>
    <row r="7344" ht="15" customHeight="1" x14ac:dyDescent="0.25"/>
    <row r="7346" ht="15" customHeight="1" x14ac:dyDescent="0.25"/>
    <row r="7348" ht="15" customHeight="1" x14ac:dyDescent="0.25"/>
    <row r="7350" ht="15" customHeight="1" x14ac:dyDescent="0.25"/>
    <row r="7352" ht="15" customHeight="1" x14ac:dyDescent="0.25"/>
    <row r="7354" ht="15" customHeight="1" x14ac:dyDescent="0.25"/>
    <row r="7356" ht="15" customHeight="1" x14ac:dyDescent="0.25"/>
    <row r="7358" ht="15" customHeight="1" x14ac:dyDescent="0.25"/>
    <row r="7360" ht="15" customHeight="1" x14ac:dyDescent="0.25"/>
    <row r="7362" ht="15" customHeight="1" x14ac:dyDescent="0.25"/>
    <row r="7364" ht="15" customHeight="1" x14ac:dyDescent="0.25"/>
    <row r="7366" ht="15" customHeight="1" x14ac:dyDescent="0.25"/>
    <row r="7368" ht="15" customHeight="1" x14ac:dyDescent="0.25"/>
    <row r="7370" ht="15" customHeight="1" x14ac:dyDescent="0.25"/>
    <row r="7372" ht="15" customHeight="1" x14ac:dyDescent="0.25"/>
    <row r="7374" ht="15" customHeight="1" x14ac:dyDescent="0.25"/>
    <row r="7376" ht="15" customHeight="1" x14ac:dyDescent="0.25"/>
    <row r="7378" ht="15" customHeight="1" x14ac:dyDescent="0.25"/>
    <row r="7380" ht="15" customHeight="1" x14ac:dyDescent="0.25"/>
    <row r="7382" ht="15" customHeight="1" x14ac:dyDescent="0.25"/>
    <row r="7384" ht="15" customHeight="1" x14ac:dyDescent="0.25"/>
    <row r="7386" ht="15" customHeight="1" x14ac:dyDescent="0.25"/>
    <row r="7388" ht="15" customHeight="1" x14ac:dyDescent="0.25"/>
    <row r="7390" ht="15" customHeight="1" x14ac:dyDescent="0.25"/>
    <row r="7392" ht="15" customHeight="1" x14ac:dyDescent="0.25"/>
    <row r="7394" ht="15" customHeight="1" x14ac:dyDescent="0.25"/>
    <row r="7396" ht="15" customHeight="1" x14ac:dyDescent="0.25"/>
    <row r="7398" ht="15" customHeight="1" x14ac:dyDescent="0.25"/>
    <row r="7400" ht="15" customHeight="1" x14ac:dyDescent="0.25"/>
    <row r="7402" ht="15" customHeight="1" x14ac:dyDescent="0.25"/>
    <row r="7404" ht="15" customHeight="1" x14ac:dyDescent="0.25"/>
    <row r="7406" ht="15" customHeight="1" x14ac:dyDescent="0.25"/>
    <row r="7408" ht="15" customHeight="1" x14ac:dyDescent="0.25"/>
    <row r="7410" ht="15" customHeight="1" x14ac:dyDescent="0.25"/>
    <row r="7412" ht="15" customHeight="1" x14ac:dyDescent="0.25"/>
    <row r="7414" ht="15" customHeight="1" x14ac:dyDescent="0.25"/>
    <row r="7416" ht="15" customHeight="1" x14ac:dyDescent="0.25"/>
    <row r="7418" ht="15" customHeight="1" x14ac:dyDescent="0.25"/>
    <row r="7420" ht="15" customHeight="1" x14ac:dyDescent="0.25"/>
    <row r="7422" ht="15" customHeight="1" x14ac:dyDescent="0.25"/>
    <row r="7424" ht="15" customHeight="1" x14ac:dyDescent="0.25"/>
    <row r="7426" ht="15" customHeight="1" x14ac:dyDescent="0.25"/>
    <row r="7428" ht="15" customHeight="1" x14ac:dyDescent="0.25"/>
    <row r="7430" ht="15" customHeight="1" x14ac:dyDescent="0.25"/>
    <row r="7432" ht="15" customHeight="1" x14ac:dyDescent="0.25"/>
    <row r="7434" ht="15" customHeight="1" x14ac:dyDescent="0.25"/>
    <row r="7436" ht="15" customHeight="1" x14ac:dyDescent="0.25"/>
    <row r="7438" ht="15" customHeight="1" x14ac:dyDescent="0.25"/>
    <row r="7440" ht="15" customHeight="1" x14ac:dyDescent="0.25"/>
    <row r="7442" ht="15" customHeight="1" x14ac:dyDescent="0.25"/>
    <row r="7444" ht="15" customHeight="1" x14ac:dyDescent="0.25"/>
    <row r="7446" ht="15" customHeight="1" x14ac:dyDescent="0.25"/>
    <row r="7448" ht="15" customHeight="1" x14ac:dyDescent="0.25"/>
    <row r="7450" ht="15" customHeight="1" x14ac:dyDescent="0.25"/>
    <row r="7452" ht="15" customHeight="1" x14ac:dyDescent="0.25"/>
    <row r="7454" ht="15" customHeight="1" x14ac:dyDescent="0.25"/>
    <row r="7456" ht="15" customHeight="1" x14ac:dyDescent="0.25"/>
    <row r="7458" ht="15" customHeight="1" x14ac:dyDescent="0.25"/>
    <row r="7460" ht="15" customHeight="1" x14ac:dyDescent="0.25"/>
    <row r="7462" ht="15" customHeight="1" x14ac:dyDescent="0.25"/>
    <row r="7464" ht="15" customHeight="1" x14ac:dyDescent="0.25"/>
    <row r="7466" ht="15" customHeight="1" x14ac:dyDescent="0.25"/>
    <row r="7468" ht="15" customHeight="1" x14ac:dyDescent="0.25"/>
    <row r="7470" ht="15" customHeight="1" x14ac:dyDescent="0.25"/>
    <row r="7472" ht="15" customHeight="1" x14ac:dyDescent="0.25"/>
    <row r="7474" ht="15" customHeight="1" x14ac:dyDescent="0.25"/>
    <row r="7476" ht="15" customHeight="1" x14ac:dyDescent="0.25"/>
    <row r="7478" ht="15" customHeight="1" x14ac:dyDescent="0.25"/>
    <row r="7480" ht="15" customHeight="1" x14ac:dyDescent="0.25"/>
    <row r="7482" ht="15" customHeight="1" x14ac:dyDescent="0.25"/>
    <row r="7484" ht="15" customHeight="1" x14ac:dyDescent="0.25"/>
    <row r="7486" ht="15" customHeight="1" x14ac:dyDescent="0.25"/>
    <row r="7488" ht="15" customHeight="1" x14ac:dyDescent="0.25"/>
    <row r="7490" ht="15" customHeight="1" x14ac:dyDescent="0.25"/>
    <row r="7492" ht="15" customHeight="1" x14ac:dyDescent="0.25"/>
    <row r="7494" ht="15" customHeight="1" x14ac:dyDescent="0.25"/>
    <row r="7496" ht="15" customHeight="1" x14ac:dyDescent="0.25"/>
    <row r="7498" ht="15" customHeight="1" x14ac:dyDescent="0.25"/>
    <row r="7500" ht="15" customHeight="1" x14ac:dyDescent="0.25"/>
    <row r="7502" ht="15" customHeight="1" x14ac:dyDescent="0.25"/>
    <row r="7504" ht="15" customHeight="1" x14ac:dyDescent="0.25"/>
    <row r="7506" ht="15" customHeight="1" x14ac:dyDescent="0.25"/>
    <row r="7508" ht="15" customHeight="1" x14ac:dyDescent="0.25"/>
    <row r="7510" ht="15" customHeight="1" x14ac:dyDescent="0.25"/>
    <row r="7512" ht="15" customHeight="1" x14ac:dyDescent="0.25"/>
    <row r="7514" ht="15" customHeight="1" x14ac:dyDescent="0.25"/>
    <row r="7516" ht="15" customHeight="1" x14ac:dyDescent="0.25"/>
    <row r="7518" ht="15" customHeight="1" x14ac:dyDescent="0.25"/>
    <row r="7520" ht="15" customHeight="1" x14ac:dyDescent="0.25"/>
    <row r="7522" ht="15" customHeight="1" x14ac:dyDescent="0.25"/>
    <row r="7524" ht="15" customHeight="1" x14ac:dyDescent="0.25"/>
    <row r="7526" ht="15" customHeight="1" x14ac:dyDescent="0.25"/>
    <row r="7528" ht="15" customHeight="1" x14ac:dyDescent="0.25"/>
    <row r="7530" ht="15" customHeight="1" x14ac:dyDescent="0.25"/>
    <row r="7532" ht="15" customHeight="1" x14ac:dyDescent="0.25"/>
    <row r="7534" ht="15" customHeight="1" x14ac:dyDescent="0.25"/>
    <row r="7536" ht="15" customHeight="1" x14ac:dyDescent="0.25"/>
    <row r="7538" ht="15" customHeight="1" x14ac:dyDescent="0.25"/>
    <row r="7540" ht="15" customHeight="1" x14ac:dyDescent="0.25"/>
    <row r="7542" ht="15" customHeight="1" x14ac:dyDescent="0.25"/>
    <row r="7544" ht="15" customHeight="1" x14ac:dyDescent="0.25"/>
    <row r="7546" ht="15" customHeight="1" x14ac:dyDescent="0.25"/>
    <row r="7548" ht="15" customHeight="1" x14ac:dyDescent="0.25"/>
    <row r="7550" ht="15" customHeight="1" x14ac:dyDescent="0.25"/>
    <row r="7552" ht="15" customHeight="1" x14ac:dyDescent="0.25"/>
    <row r="7554" ht="15" customHeight="1" x14ac:dyDescent="0.25"/>
    <row r="7556" ht="15" customHeight="1" x14ac:dyDescent="0.25"/>
    <row r="7558" ht="15" customHeight="1" x14ac:dyDescent="0.25"/>
    <row r="7560" ht="15" customHeight="1" x14ac:dyDescent="0.25"/>
    <row r="7562" ht="15" customHeight="1" x14ac:dyDescent="0.25"/>
    <row r="7564" ht="15" customHeight="1" x14ac:dyDescent="0.25"/>
    <row r="7566" ht="15" customHeight="1" x14ac:dyDescent="0.25"/>
    <row r="7568" ht="15" customHeight="1" x14ac:dyDescent="0.25"/>
    <row r="7570" ht="15" customHeight="1" x14ac:dyDescent="0.25"/>
    <row r="7572" ht="15" customHeight="1" x14ac:dyDescent="0.25"/>
    <row r="7574" ht="15" customHeight="1" x14ac:dyDescent="0.25"/>
    <row r="7576" ht="15" customHeight="1" x14ac:dyDescent="0.25"/>
    <row r="7578" ht="15" customHeight="1" x14ac:dyDescent="0.25"/>
    <row r="7580" ht="15" customHeight="1" x14ac:dyDescent="0.25"/>
    <row r="7582" ht="15" customHeight="1" x14ac:dyDescent="0.25"/>
    <row r="7584" ht="15" customHeight="1" x14ac:dyDescent="0.25"/>
    <row r="7586" ht="15" customHeight="1" x14ac:dyDescent="0.25"/>
    <row r="7588" ht="15" customHeight="1" x14ac:dyDescent="0.25"/>
    <row r="7590" ht="15" customHeight="1" x14ac:dyDescent="0.25"/>
    <row r="7592" ht="15" customHeight="1" x14ac:dyDescent="0.25"/>
    <row r="7594" ht="15" customHeight="1" x14ac:dyDescent="0.25"/>
    <row r="7596" ht="15" customHeight="1" x14ac:dyDescent="0.25"/>
    <row r="7598" ht="15" customHeight="1" x14ac:dyDescent="0.25"/>
    <row r="7600" ht="15" customHeight="1" x14ac:dyDescent="0.25"/>
    <row r="7602" ht="15" customHeight="1" x14ac:dyDescent="0.25"/>
    <row r="7604" ht="15" customHeight="1" x14ac:dyDescent="0.25"/>
    <row r="7606" ht="15" customHeight="1" x14ac:dyDescent="0.25"/>
    <row r="7608" ht="15" customHeight="1" x14ac:dyDescent="0.25"/>
    <row r="7610" ht="15" customHeight="1" x14ac:dyDescent="0.25"/>
    <row r="7612" ht="15" customHeight="1" x14ac:dyDescent="0.25"/>
    <row r="7614" ht="15" customHeight="1" x14ac:dyDescent="0.25"/>
    <row r="7616" ht="15" customHeight="1" x14ac:dyDescent="0.25"/>
    <row r="7618" ht="15" customHeight="1" x14ac:dyDescent="0.25"/>
    <row r="7620" ht="15" customHeight="1" x14ac:dyDescent="0.25"/>
    <row r="7622" ht="15" customHeight="1" x14ac:dyDescent="0.25"/>
    <row r="7624" ht="15" customHeight="1" x14ac:dyDescent="0.25"/>
    <row r="7626" ht="15" customHeight="1" x14ac:dyDescent="0.25"/>
    <row r="7628" ht="15" customHeight="1" x14ac:dyDescent="0.25"/>
    <row r="7630" ht="15" customHeight="1" x14ac:dyDescent="0.25"/>
    <row r="7632" ht="15" customHeight="1" x14ac:dyDescent="0.25"/>
    <row r="7634" ht="15" customHeight="1" x14ac:dyDescent="0.25"/>
    <row r="7636" ht="15" customHeight="1" x14ac:dyDescent="0.25"/>
    <row r="7638" ht="15" customHeight="1" x14ac:dyDescent="0.25"/>
    <row r="7640" ht="15" customHeight="1" x14ac:dyDescent="0.25"/>
    <row r="7642" ht="15" customHeight="1" x14ac:dyDescent="0.25"/>
    <row r="7644" ht="15" customHeight="1" x14ac:dyDescent="0.25"/>
    <row r="7646" ht="15" customHeight="1" x14ac:dyDescent="0.25"/>
    <row r="7648" ht="15" customHeight="1" x14ac:dyDescent="0.25"/>
    <row r="7650" ht="15" customHeight="1" x14ac:dyDescent="0.25"/>
    <row r="7652" ht="15" customHeight="1" x14ac:dyDescent="0.25"/>
    <row r="7654" ht="15" customHeight="1" x14ac:dyDescent="0.25"/>
    <row r="7656" ht="15" customHeight="1" x14ac:dyDescent="0.25"/>
    <row r="7658" ht="15" customHeight="1" x14ac:dyDescent="0.25"/>
    <row r="7660" ht="15" customHeight="1" x14ac:dyDescent="0.25"/>
    <row r="7662" ht="15" customHeight="1" x14ac:dyDescent="0.25"/>
    <row r="7664" ht="15" customHeight="1" x14ac:dyDescent="0.25"/>
    <row r="7666" ht="15" customHeight="1" x14ac:dyDescent="0.25"/>
    <row r="7668" ht="15" customHeight="1" x14ac:dyDescent="0.25"/>
    <row r="7670" ht="15" customHeight="1" x14ac:dyDescent="0.25"/>
    <row r="7672" ht="15" customHeight="1" x14ac:dyDescent="0.25"/>
    <row r="7674" ht="15" customHeight="1" x14ac:dyDescent="0.25"/>
    <row r="7676" ht="15" customHeight="1" x14ac:dyDescent="0.25"/>
    <row r="7678" ht="15" customHeight="1" x14ac:dyDescent="0.25"/>
    <row r="7680" ht="15" customHeight="1" x14ac:dyDescent="0.25"/>
    <row r="7682" ht="15" customHeight="1" x14ac:dyDescent="0.25"/>
    <row r="7684" ht="15" customHeight="1" x14ac:dyDescent="0.25"/>
    <row r="7686" ht="15" customHeight="1" x14ac:dyDescent="0.25"/>
    <row r="7688" ht="15" customHeight="1" x14ac:dyDescent="0.25"/>
    <row r="7690" ht="15" customHeight="1" x14ac:dyDescent="0.25"/>
    <row r="7692" ht="15" customHeight="1" x14ac:dyDescent="0.25"/>
    <row r="7694" ht="15" customHeight="1" x14ac:dyDescent="0.25"/>
    <row r="7696" ht="15" customHeight="1" x14ac:dyDescent="0.25"/>
    <row r="7698" ht="15" customHeight="1" x14ac:dyDescent="0.25"/>
    <row r="7700" ht="15" customHeight="1" x14ac:dyDescent="0.25"/>
    <row r="7702" ht="15" customHeight="1" x14ac:dyDescent="0.25"/>
    <row r="7704" ht="15" customHeight="1" x14ac:dyDescent="0.25"/>
    <row r="7706" ht="15" customHeight="1" x14ac:dyDescent="0.25"/>
    <row r="7708" ht="15" customHeight="1" x14ac:dyDescent="0.25"/>
    <row r="7710" ht="15" customHeight="1" x14ac:dyDescent="0.25"/>
    <row r="7712" ht="15" customHeight="1" x14ac:dyDescent="0.25"/>
    <row r="7714" ht="15" customHeight="1" x14ac:dyDescent="0.25"/>
    <row r="7716" ht="15" customHeight="1" x14ac:dyDescent="0.25"/>
    <row r="7718" ht="15" customHeight="1" x14ac:dyDescent="0.25"/>
    <row r="7720" ht="15" customHeight="1" x14ac:dyDescent="0.25"/>
    <row r="7722" ht="15" customHeight="1" x14ac:dyDescent="0.25"/>
    <row r="7724" ht="15" customHeight="1" x14ac:dyDescent="0.25"/>
    <row r="7726" ht="15" customHeight="1" x14ac:dyDescent="0.25"/>
    <row r="7728" ht="15" customHeight="1" x14ac:dyDescent="0.25"/>
    <row r="7730" ht="15" customHeight="1" x14ac:dyDescent="0.25"/>
    <row r="7732" ht="15" customHeight="1" x14ac:dyDescent="0.25"/>
    <row r="7734" ht="15" customHeight="1" x14ac:dyDescent="0.25"/>
    <row r="7736" ht="15" customHeight="1" x14ac:dyDescent="0.25"/>
    <row r="7738" ht="15" customHeight="1" x14ac:dyDescent="0.25"/>
    <row r="7740" ht="15" customHeight="1" x14ac:dyDescent="0.25"/>
    <row r="7742" ht="15" customHeight="1" x14ac:dyDescent="0.25"/>
    <row r="7744" ht="15" customHeight="1" x14ac:dyDescent="0.25"/>
    <row r="7746" ht="15" customHeight="1" x14ac:dyDescent="0.25"/>
    <row r="7748" ht="15" customHeight="1" x14ac:dyDescent="0.25"/>
    <row r="7750" ht="15" customHeight="1" x14ac:dyDescent="0.25"/>
    <row r="7752" ht="15" customHeight="1" x14ac:dyDescent="0.25"/>
    <row r="7754" ht="15" customHeight="1" x14ac:dyDescent="0.25"/>
    <row r="7756" ht="15" customHeight="1" x14ac:dyDescent="0.25"/>
    <row r="7758" ht="15" customHeight="1" x14ac:dyDescent="0.25"/>
    <row r="7760" ht="15" customHeight="1" x14ac:dyDescent="0.25"/>
    <row r="7762" ht="15" customHeight="1" x14ac:dyDescent="0.25"/>
    <row r="7764" ht="15" customHeight="1" x14ac:dyDescent="0.25"/>
    <row r="7766" ht="15" customHeight="1" x14ac:dyDescent="0.25"/>
    <row r="7768" ht="15" customHeight="1" x14ac:dyDescent="0.25"/>
    <row r="7770" ht="15" customHeight="1" x14ac:dyDescent="0.25"/>
    <row r="7772" ht="15" customHeight="1" x14ac:dyDescent="0.25"/>
    <row r="7774" ht="15" customHeight="1" x14ac:dyDescent="0.25"/>
    <row r="7776" ht="15" customHeight="1" x14ac:dyDescent="0.25"/>
    <row r="7778" ht="15" customHeight="1" x14ac:dyDescent="0.25"/>
    <row r="7780" ht="15" customHeight="1" x14ac:dyDescent="0.25"/>
    <row r="7782" ht="15" customHeight="1" x14ac:dyDescent="0.25"/>
    <row r="7784" ht="15" customHeight="1" x14ac:dyDescent="0.25"/>
    <row r="7786" ht="15" customHeight="1" x14ac:dyDescent="0.25"/>
    <row r="7788" ht="15" customHeight="1" x14ac:dyDescent="0.25"/>
    <row r="7790" ht="15" customHeight="1" x14ac:dyDescent="0.25"/>
    <row r="7792" ht="15" customHeight="1" x14ac:dyDescent="0.25"/>
    <row r="7794" ht="15" customHeight="1" x14ac:dyDescent="0.25"/>
    <row r="7796" ht="15" customHeight="1" x14ac:dyDescent="0.25"/>
    <row r="7798" ht="15" customHeight="1" x14ac:dyDescent="0.25"/>
    <row r="7800" ht="15" customHeight="1" x14ac:dyDescent="0.25"/>
    <row r="7802" ht="15" customHeight="1" x14ac:dyDescent="0.25"/>
    <row r="7804" ht="15" customHeight="1" x14ac:dyDescent="0.25"/>
    <row r="7806" ht="15" customHeight="1" x14ac:dyDescent="0.25"/>
    <row r="7808" ht="15" customHeight="1" x14ac:dyDescent="0.25"/>
    <row r="7810" ht="15" customHeight="1" x14ac:dyDescent="0.25"/>
    <row r="7812" ht="15" customHeight="1" x14ac:dyDescent="0.25"/>
    <row r="7814" ht="15" customHeight="1" x14ac:dyDescent="0.25"/>
    <row r="7816" ht="15" customHeight="1" x14ac:dyDescent="0.25"/>
    <row r="7818" ht="15" customHeight="1" x14ac:dyDescent="0.25"/>
    <row r="7820" ht="15" customHeight="1" x14ac:dyDescent="0.25"/>
    <row r="7822" ht="15" customHeight="1" x14ac:dyDescent="0.25"/>
    <row r="7824" ht="15" customHeight="1" x14ac:dyDescent="0.25"/>
    <row r="7826" ht="15" customHeight="1" x14ac:dyDescent="0.25"/>
    <row r="7828" ht="15" customHeight="1" x14ac:dyDescent="0.25"/>
    <row r="7830" ht="15" customHeight="1" x14ac:dyDescent="0.25"/>
    <row r="7832" ht="15" customHeight="1" x14ac:dyDescent="0.25"/>
    <row r="7834" ht="15" customHeight="1" x14ac:dyDescent="0.25"/>
    <row r="7836" ht="15" customHeight="1" x14ac:dyDescent="0.25"/>
    <row r="7838" ht="15" customHeight="1" x14ac:dyDescent="0.25"/>
    <row r="7840" ht="15" customHeight="1" x14ac:dyDescent="0.25"/>
    <row r="7842" ht="15" customHeight="1" x14ac:dyDescent="0.25"/>
    <row r="7844" ht="15" customHeight="1" x14ac:dyDescent="0.25"/>
    <row r="7846" ht="15" customHeight="1" x14ac:dyDescent="0.25"/>
    <row r="7848" ht="15" customHeight="1" x14ac:dyDescent="0.25"/>
    <row r="7850" ht="15" customHeight="1" x14ac:dyDescent="0.25"/>
    <row r="7852" ht="15" customHeight="1" x14ac:dyDescent="0.25"/>
    <row r="7854" ht="15" customHeight="1" x14ac:dyDescent="0.25"/>
    <row r="7856" ht="15" customHeight="1" x14ac:dyDescent="0.25"/>
    <row r="7858" ht="15" customHeight="1" x14ac:dyDescent="0.25"/>
    <row r="7860" ht="15" customHeight="1" x14ac:dyDescent="0.25"/>
    <row r="7862" ht="15" customHeight="1" x14ac:dyDescent="0.25"/>
    <row r="7864" ht="15" customHeight="1" x14ac:dyDescent="0.25"/>
    <row r="7866" ht="15" customHeight="1" x14ac:dyDescent="0.25"/>
    <row r="7868" ht="15" customHeight="1" x14ac:dyDescent="0.25"/>
    <row r="7870" ht="15" customHeight="1" x14ac:dyDescent="0.25"/>
    <row r="7872" ht="15" customHeight="1" x14ac:dyDescent="0.25"/>
    <row r="7874" ht="15" customHeight="1" x14ac:dyDescent="0.25"/>
    <row r="7876" ht="15" customHeight="1" x14ac:dyDescent="0.25"/>
    <row r="7878" ht="15" customHeight="1" x14ac:dyDescent="0.25"/>
    <row r="7880" ht="15" customHeight="1" x14ac:dyDescent="0.25"/>
    <row r="7882" ht="15" customHeight="1" x14ac:dyDescent="0.25"/>
    <row r="7884" ht="15" customHeight="1" x14ac:dyDescent="0.25"/>
    <row r="7886" ht="15" customHeight="1" x14ac:dyDescent="0.25"/>
    <row r="7888" ht="15" customHeight="1" x14ac:dyDescent="0.25"/>
    <row r="7890" ht="15" customHeight="1" x14ac:dyDescent="0.25"/>
    <row r="7892" ht="15" customHeight="1" x14ac:dyDescent="0.25"/>
    <row r="7894" ht="15" customHeight="1" x14ac:dyDescent="0.25"/>
    <row r="7896" ht="15" customHeight="1" x14ac:dyDescent="0.25"/>
    <row r="7898" ht="15" customHeight="1" x14ac:dyDescent="0.25"/>
    <row r="7900" ht="15" customHeight="1" x14ac:dyDescent="0.25"/>
    <row r="7902" ht="15" customHeight="1" x14ac:dyDescent="0.25"/>
    <row r="7904" ht="15" customHeight="1" x14ac:dyDescent="0.25"/>
    <row r="7906" ht="15" customHeight="1" x14ac:dyDescent="0.25"/>
    <row r="7908" ht="15" customHeight="1" x14ac:dyDescent="0.25"/>
    <row r="7910" ht="15" customHeight="1" x14ac:dyDescent="0.25"/>
    <row r="7912" ht="15" customHeight="1" x14ac:dyDescent="0.25"/>
    <row r="7914" ht="15" customHeight="1" x14ac:dyDescent="0.25"/>
    <row r="7916" ht="15" customHeight="1" x14ac:dyDescent="0.25"/>
    <row r="7918" ht="15" customHeight="1" x14ac:dyDescent="0.25"/>
    <row r="7920" ht="15" customHeight="1" x14ac:dyDescent="0.25"/>
    <row r="7922" ht="15" customHeight="1" x14ac:dyDescent="0.25"/>
    <row r="7924" ht="15" customHeight="1" x14ac:dyDescent="0.25"/>
    <row r="7926" ht="15" customHeight="1" x14ac:dyDescent="0.25"/>
    <row r="7928" ht="15" customHeight="1" x14ac:dyDescent="0.25"/>
    <row r="7930" ht="15" customHeight="1" x14ac:dyDescent="0.25"/>
    <row r="7932" ht="15" customHeight="1" x14ac:dyDescent="0.25"/>
    <row r="7934" ht="15" customHeight="1" x14ac:dyDescent="0.25"/>
    <row r="7936" ht="15" customHeight="1" x14ac:dyDescent="0.25"/>
    <row r="7938" ht="15" customHeight="1" x14ac:dyDescent="0.25"/>
    <row r="7940" ht="15" customHeight="1" x14ac:dyDescent="0.25"/>
    <row r="7942" ht="15" customHeight="1" x14ac:dyDescent="0.25"/>
    <row r="7944" ht="15" customHeight="1" x14ac:dyDescent="0.25"/>
    <row r="7946" ht="15" customHeight="1" x14ac:dyDescent="0.25"/>
    <row r="7948" ht="15" customHeight="1" x14ac:dyDescent="0.25"/>
    <row r="7950" ht="15" customHeight="1" x14ac:dyDescent="0.25"/>
    <row r="7952" ht="15" customHeight="1" x14ac:dyDescent="0.25"/>
    <row r="7954" ht="15" customHeight="1" x14ac:dyDescent="0.25"/>
    <row r="7956" ht="15" customHeight="1" x14ac:dyDescent="0.25"/>
    <row r="7958" ht="15" customHeight="1" x14ac:dyDescent="0.25"/>
    <row r="7960" ht="15" customHeight="1" x14ac:dyDescent="0.25"/>
    <row r="7962" ht="15" customHeight="1" x14ac:dyDescent="0.25"/>
    <row r="7964" ht="15" customHeight="1" x14ac:dyDescent="0.25"/>
    <row r="7966" ht="15" customHeight="1" x14ac:dyDescent="0.25"/>
    <row r="7968" ht="15" customHeight="1" x14ac:dyDescent="0.25"/>
    <row r="7970" ht="15" customHeight="1" x14ac:dyDescent="0.25"/>
    <row r="7972" ht="15" customHeight="1" x14ac:dyDescent="0.25"/>
    <row r="7974" ht="15" customHeight="1" x14ac:dyDescent="0.25"/>
    <row r="7976" ht="15" customHeight="1" x14ac:dyDescent="0.25"/>
    <row r="7978" ht="15" customHeight="1" x14ac:dyDescent="0.25"/>
    <row r="7980" ht="15" customHeight="1" x14ac:dyDescent="0.25"/>
    <row r="7982" ht="15" customHeight="1" x14ac:dyDescent="0.25"/>
    <row r="7984" ht="15" customHeight="1" x14ac:dyDescent="0.25"/>
    <row r="7986" ht="15" customHeight="1" x14ac:dyDescent="0.25"/>
    <row r="7988" ht="15" customHeight="1" x14ac:dyDescent="0.25"/>
    <row r="7990" ht="15" customHeight="1" x14ac:dyDescent="0.25"/>
    <row r="7992" ht="15" customHeight="1" x14ac:dyDescent="0.25"/>
    <row r="7994" ht="15" customHeight="1" x14ac:dyDescent="0.25"/>
    <row r="7996" ht="15" customHeight="1" x14ac:dyDescent="0.25"/>
    <row r="7998" ht="15" customHeight="1" x14ac:dyDescent="0.25"/>
    <row r="8000" ht="15" customHeight="1" x14ac:dyDescent="0.25"/>
    <row r="8002" ht="15" customHeight="1" x14ac:dyDescent="0.25"/>
    <row r="8004" ht="15" customHeight="1" x14ac:dyDescent="0.25"/>
    <row r="8006" ht="15" customHeight="1" x14ac:dyDescent="0.25"/>
    <row r="8008" ht="15" customHeight="1" x14ac:dyDescent="0.25"/>
    <row r="8010" ht="15" customHeight="1" x14ac:dyDescent="0.25"/>
    <row r="8012" ht="15" customHeight="1" x14ac:dyDescent="0.25"/>
    <row r="8014" ht="15" customHeight="1" x14ac:dyDescent="0.25"/>
    <row r="8016" ht="15" customHeight="1" x14ac:dyDescent="0.25"/>
    <row r="8018" ht="15" customHeight="1" x14ac:dyDescent="0.25"/>
    <row r="8020" ht="15" customHeight="1" x14ac:dyDescent="0.25"/>
    <row r="8022" ht="15" customHeight="1" x14ac:dyDescent="0.25"/>
    <row r="8024" ht="15" customHeight="1" x14ac:dyDescent="0.25"/>
    <row r="8026" ht="15" customHeight="1" x14ac:dyDescent="0.25"/>
    <row r="8028" ht="15" customHeight="1" x14ac:dyDescent="0.25"/>
    <row r="8030" ht="15" customHeight="1" x14ac:dyDescent="0.25"/>
    <row r="8032" ht="15" customHeight="1" x14ac:dyDescent="0.25"/>
    <row r="8034" ht="15" customHeight="1" x14ac:dyDescent="0.25"/>
    <row r="8036" ht="15" customHeight="1" x14ac:dyDescent="0.25"/>
    <row r="8038" ht="15" customHeight="1" x14ac:dyDescent="0.25"/>
    <row r="8040" ht="15" customHeight="1" x14ac:dyDescent="0.25"/>
    <row r="8042" ht="15" customHeight="1" x14ac:dyDescent="0.25"/>
    <row r="8044" ht="15" customHeight="1" x14ac:dyDescent="0.25"/>
    <row r="8046" ht="15" customHeight="1" x14ac:dyDescent="0.25"/>
    <row r="8048" ht="15" customHeight="1" x14ac:dyDescent="0.25"/>
    <row r="8050" ht="15" customHeight="1" x14ac:dyDescent="0.25"/>
    <row r="8052" ht="15" customHeight="1" x14ac:dyDescent="0.25"/>
    <row r="8054" ht="15" customHeight="1" x14ac:dyDescent="0.25"/>
    <row r="8056" ht="15" customHeight="1" x14ac:dyDescent="0.25"/>
    <row r="8058" ht="15" customHeight="1" x14ac:dyDescent="0.25"/>
    <row r="8060" ht="15" customHeight="1" x14ac:dyDescent="0.25"/>
    <row r="8062" ht="15" customHeight="1" x14ac:dyDescent="0.25"/>
    <row r="8064" ht="15" customHeight="1" x14ac:dyDescent="0.25"/>
    <row r="8066" ht="15" customHeight="1" x14ac:dyDescent="0.25"/>
    <row r="8068" ht="15" customHeight="1" x14ac:dyDescent="0.25"/>
    <row r="8070" ht="15" customHeight="1" x14ac:dyDescent="0.25"/>
    <row r="8072" ht="15" customHeight="1" x14ac:dyDescent="0.25"/>
    <row r="8074" ht="15" customHeight="1" x14ac:dyDescent="0.25"/>
    <row r="8076" ht="15" customHeight="1" x14ac:dyDescent="0.25"/>
    <row r="8078" ht="15" customHeight="1" x14ac:dyDescent="0.25"/>
    <row r="8080" ht="15" customHeight="1" x14ac:dyDescent="0.25"/>
    <row r="8082" ht="15" customHeight="1" x14ac:dyDescent="0.25"/>
    <row r="8084" ht="15" customHeight="1" x14ac:dyDescent="0.25"/>
    <row r="8086" ht="15" customHeight="1" x14ac:dyDescent="0.25"/>
    <row r="8088" ht="15" customHeight="1" x14ac:dyDescent="0.25"/>
    <row r="8090" ht="15" customHeight="1" x14ac:dyDescent="0.25"/>
    <row r="8092" ht="15" customHeight="1" x14ac:dyDescent="0.25"/>
    <row r="8094" ht="15" customHeight="1" x14ac:dyDescent="0.25"/>
    <row r="8096" ht="15" customHeight="1" x14ac:dyDescent="0.25"/>
    <row r="8098" ht="15" customHeight="1" x14ac:dyDescent="0.25"/>
    <row r="8100" ht="15" customHeight="1" x14ac:dyDescent="0.25"/>
    <row r="8102" ht="15" customHeight="1" x14ac:dyDescent="0.25"/>
    <row r="8104" ht="15" customHeight="1" x14ac:dyDescent="0.25"/>
    <row r="8106" ht="15" customHeight="1" x14ac:dyDescent="0.25"/>
    <row r="8108" ht="15" customHeight="1" x14ac:dyDescent="0.25"/>
    <row r="8110" ht="15" customHeight="1" x14ac:dyDescent="0.25"/>
    <row r="8112" ht="15" customHeight="1" x14ac:dyDescent="0.25"/>
    <row r="8114" ht="15" customHeight="1" x14ac:dyDescent="0.25"/>
    <row r="8116" ht="15" customHeight="1" x14ac:dyDescent="0.25"/>
    <row r="8118" ht="15" customHeight="1" x14ac:dyDescent="0.25"/>
    <row r="8120" ht="15" customHeight="1" x14ac:dyDescent="0.25"/>
    <row r="8122" ht="15" customHeight="1" x14ac:dyDescent="0.25"/>
    <row r="8124" ht="15" customHeight="1" x14ac:dyDescent="0.25"/>
    <row r="8126" ht="15" customHeight="1" x14ac:dyDescent="0.25"/>
    <row r="8128" ht="15" customHeight="1" x14ac:dyDescent="0.25"/>
    <row r="8130" ht="15" customHeight="1" x14ac:dyDescent="0.25"/>
    <row r="8132" ht="15" customHeight="1" x14ac:dyDescent="0.25"/>
    <row r="8134" ht="15" customHeight="1" x14ac:dyDescent="0.25"/>
    <row r="8136" ht="15" customHeight="1" x14ac:dyDescent="0.25"/>
    <row r="8138" ht="15" customHeight="1" x14ac:dyDescent="0.25"/>
    <row r="8140" ht="15" customHeight="1" x14ac:dyDescent="0.25"/>
    <row r="8142" ht="15" customHeight="1" x14ac:dyDescent="0.25"/>
    <row r="8144" ht="15" customHeight="1" x14ac:dyDescent="0.25"/>
    <row r="8146" ht="15" customHeight="1" x14ac:dyDescent="0.25"/>
    <row r="8148" ht="15" customHeight="1" x14ac:dyDescent="0.25"/>
    <row r="8150" ht="15" customHeight="1" x14ac:dyDescent="0.25"/>
    <row r="8152" ht="15" customHeight="1" x14ac:dyDescent="0.25"/>
    <row r="8154" ht="15" customHeight="1" x14ac:dyDescent="0.25"/>
    <row r="8156" ht="15" customHeight="1" x14ac:dyDescent="0.25"/>
    <row r="8158" ht="15" customHeight="1" x14ac:dyDescent="0.25"/>
    <row r="8160" ht="15" customHeight="1" x14ac:dyDescent="0.25"/>
    <row r="8162" ht="15" customHeight="1" x14ac:dyDescent="0.25"/>
    <row r="8164" ht="15" customHeight="1" x14ac:dyDescent="0.25"/>
    <row r="8166" ht="15" customHeight="1" x14ac:dyDescent="0.25"/>
    <row r="8168" ht="15" customHeight="1" x14ac:dyDescent="0.25"/>
    <row r="8170" ht="15" customHeight="1" x14ac:dyDescent="0.25"/>
    <row r="8172" ht="15" customHeight="1" x14ac:dyDescent="0.25"/>
    <row r="8174" ht="15" customHeight="1" x14ac:dyDescent="0.25"/>
    <row r="8176" ht="15" customHeight="1" x14ac:dyDescent="0.25"/>
    <row r="8178" ht="15" customHeight="1" x14ac:dyDescent="0.25"/>
    <row r="8180" ht="15" customHeight="1" x14ac:dyDescent="0.25"/>
    <row r="8182" ht="15" customHeight="1" x14ac:dyDescent="0.25"/>
    <row r="8184" ht="15" customHeight="1" x14ac:dyDescent="0.25"/>
    <row r="8186" ht="15" customHeight="1" x14ac:dyDescent="0.25"/>
    <row r="8188" ht="15" customHeight="1" x14ac:dyDescent="0.25"/>
    <row r="8190" ht="15" customHeight="1" x14ac:dyDescent="0.25"/>
    <row r="8192" ht="15" customHeight="1" x14ac:dyDescent="0.25"/>
    <row r="8194" ht="15" customHeight="1" x14ac:dyDescent="0.25"/>
    <row r="8196" ht="15" customHeight="1" x14ac:dyDescent="0.25"/>
    <row r="8198" ht="15" customHeight="1" x14ac:dyDescent="0.25"/>
    <row r="8200" ht="15" customHeight="1" x14ac:dyDescent="0.25"/>
    <row r="8202" ht="15" customHeight="1" x14ac:dyDescent="0.25"/>
    <row r="8204" ht="15" customHeight="1" x14ac:dyDescent="0.25"/>
    <row r="8206" ht="15" customHeight="1" x14ac:dyDescent="0.25"/>
    <row r="8208" ht="15" customHeight="1" x14ac:dyDescent="0.25"/>
    <row r="8210" ht="15" customHeight="1" x14ac:dyDescent="0.25"/>
    <row r="8212" ht="15" customHeight="1" x14ac:dyDescent="0.25"/>
    <row r="8214" ht="15" customHeight="1" x14ac:dyDescent="0.25"/>
    <row r="8216" ht="15" customHeight="1" x14ac:dyDescent="0.25"/>
    <row r="8218" ht="15" customHeight="1" x14ac:dyDescent="0.25"/>
    <row r="8220" ht="15" customHeight="1" x14ac:dyDescent="0.25"/>
    <row r="8222" ht="15" customHeight="1" x14ac:dyDescent="0.25"/>
    <row r="8224" ht="15" customHeight="1" x14ac:dyDescent="0.25"/>
    <row r="8226" ht="15" customHeight="1" x14ac:dyDescent="0.25"/>
    <row r="8228" ht="15" customHeight="1" x14ac:dyDescent="0.25"/>
    <row r="8230" ht="15" customHeight="1" x14ac:dyDescent="0.25"/>
    <row r="8232" ht="15" customHeight="1" x14ac:dyDescent="0.25"/>
    <row r="8234" ht="15" customHeight="1" x14ac:dyDescent="0.25"/>
    <row r="8236" ht="15" customHeight="1" x14ac:dyDescent="0.25"/>
    <row r="8238" ht="15" customHeight="1" x14ac:dyDescent="0.25"/>
    <row r="8240" ht="15" customHeight="1" x14ac:dyDescent="0.25"/>
    <row r="8242" ht="15" customHeight="1" x14ac:dyDescent="0.25"/>
    <row r="8244" ht="15" customHeight="1" x14ac:dyDescent="0.25"/>
    <row r="8246" ht="15" customHeight="1" x14ac:dyDescent="0.25"/>
    <row r="8248" ht="15" customHeight="1" x14ac:dyDescent="0.25"/>
    <row r="8250" ht="15" customHeight="1" x14ac:dyDescent="0.25"/>
    <row r="8252" ht="15" customHeight="1" x14ac:dyDescent="0.25"/>
    <row r="8254" ht="15" customHeight="1" x14ac:dyDescent="0.25"/>
    <row r="8256" ht="15" customHeight="1" x14ac:dyDescent="0.25"/>
    <row r="8258" ht="15" customHeight="1" x14ac:dyDescent="0.25"/>
    <row r="8260" ht="15" customHeight="1" x14ac:dyDescent="0.25"/>
    <row r="8262" ht="15" customHeight="1" x14ac:dyDescent="0.25"/>
    <row r="8264" ht="15" customHeight="1" x14ac:dyDescent="0.25"/>
    <row r="8266" ht="15" customHeight="1" x14ac:dyDescent="0.25"/>
    <row r="8268" ht="15" customHeight="1" x14ac:dyDescent="0.25"/>
    <row r="8270" ht="15" customHeight="1" x14ac:dyDescent="0.25"/>
    <row r="8272" ht="15" customHeight="1" x14ac:dyDescent="0.25"/>
    <row r="8274" ht="15" customHeight="1" x14ac:dyDescent="0.25"/>
    <row r="8276" ht="15" customHeight="1" x14ac:dyDescent="0.25"/>
    <row r="8278" ht="15" customHeight="1" x14ac:dyDescent="0.25"/>
    <row r="8280" ht="15" customHeight="1" x14ac:dyDescent="0.25"/>
    <row r="8282" ht="15" customHeight="1" x14ac:dyDescent="0.25"/>
    <row r="8284" ht="15" customHeight="1" x14ac:dyDescent="0.25"/>
    <row r="8286" ht="15" customHeight="1" x14ac:dyDescent="0.25"/>
    <row r="8288" ht="15" customHeight="1" x14ac:dyDescent="0.25"/>
    <row r="8290" ht="15" customHeight="1" x14ac:dyDescent="0.25"/>
    <row r="8292" ht="15" customHeight="1" x14ac:dyDescent="0.25"/>
    <row r="8294" ht="15" customHeight="1" x14ac:dyDescent="0.25"/>
    <row r="8296" ht="15" customHeight="1" x14ac:dyDescent="0.25"/>
    <row r="8298" ht="15" customHeight="1" x14ac:dyDescent="0.25"/>
    <row r="8300" ht="15" customHeight="1" x14ac:dyDescent="0.25"/>
    <row r="8302" ht="15" customHeight="1" x14ac:dyDescent="0.25"/>
    <row r="8304" ht="15" customHeight="1" x14ac:dyDescent="0.25"/>
    <row r="8306" ht="15" customHeight="1" x14ac:dyDescent="0.25"/>
    <row r="8308" ht="15" customHeight="1" x14ac:dyDescent="0.25"/>
    <row r="8310" ht="15" customHeight="1" x14ac:dyDescent="0.25"/>
    <row r="8312" ht="15" customHeight="1" x14ac:dyDescent="0.25"/>
    <row r="8314" ht="15" customHeight="1" x14ac:dyDescent="0.25"/>
    <row r="8316" ht="15" customHeight="1" x14ac:dyDescent="0.25"/>
    <row r="8318" ht="15" customHeight="1" x14ac:dyDescent="0.25"/>
    <row r="8320" ht="15" customHeight="1" x14ac:dyDescent="0.25"/>
    <row r="8322" ht="15" customHeight="1" x14ac:dyDescent="0.25"/>
    <row r="8324" ht="15" customHeight="1" x14ac:dyDescent="0.25"/>
    <row r="8326" ht="15" customHeight="1" x14ac:dyDescent="0.25"/>
    <row r="8328" ht="15" customHeight="1" x14ac:dyDescent="0.25"/>
    <row r="8330" ht="15" customHeight="1" x14ac:dyDescent="0.25"/>
    <row r="8332" ht="15" customHeight="1" x14ac:dyDescent="0.25"/>
    <row r="8334" ht="15" customHeight="1" x14ac:dyDescent="0.25"/>
    <row r="8336" ht="15" customHeight="1" x14ac:dyDescent="0.25"/>
    <row r="8338" ht="15" customHeight="1" x14ac:dyDescent="0.25"/>
    <row r="8340" ht="15" customHeight="1" x14ac:dyDescent="0.25"/>
    <row r="8342" ht="15" customHeight="1" x14ac:dyDescent="0.25"/>
    <row r="8344" ht="15" customHeight="1" x14ac:dyDescent="0.25"/>
    <row r="8346" ht="15" customHeight="1" x14ac:dyDescent="0.25"/>
    <row r="8348" ht="15" customHeight="1" x14ac:dyDescent="0.25"/>
    <row r="8350" ht="15" customHeight="1" x14ac:dyDescent="0.25"/>
    <row r="8352" ht="15" customHeight="1" x14ac:dyDescent="0.25"/>
    <row r="8354" ht="15" customHeight="1" x14ac:dyDescent="0.25"/>
    <row r="8356" ht="15" customHeight="1" x14ac:dyDescent="0.25"/>
    <row r="8358" ht="15" customHeight="1" x14ac:dyDescent="0.25"/>
    <row r="8360" ht="15" customHeight="1" x14ac:dyDescent="0.25"/>
    <row r="8362" ht="15" customHeight="1" x14ac:dyDescent="0.25"/>
    <row r="8364" ht="15" customHeight="1" x14ac:dyDescent="0.25"/>
    <row r="8366" ht="15" customHeight="1" x14ac:dyDescent="0.25"/>
    <row r="8368" ht="15" customHeight="1" x14ac:dyDescent="0.25"/>
    <row r="8370" ht="15" customHeight="1" x14ac:dyDescent="0.25"/>
    <row r="8372" ht="15" customHeight="1" x14ac:dyDescent="0.25"/>
    <row r="8374" ht="15" customHeight="1" x14ac:dyDescent="0.25"/>
    <row r="8376" ht="15" customHeight="1" x14ac:dyDescent="0.25"/>
    <row r="8378" ht="15" customHeight="1" x14ac:dyDescent="0.25"/>
    <row r="8380" ht="15" customHeight="1" x14ac:dyDescent="0.25"/>
    <row r="8382" ht="15" customHeight="1" x14ac:dyDescent="0.25"/>
    <row r="8384" ht="15" customHeight="1" x14ac:dyDescent="0.25"/>
    <row r="8386" ht="15" customHeight="1" x14ac:dyDescent="0.25"/>
    <row r="8388" ht="15" customHeight="1" x14ac:dyDescent="0.25"/>
    <row r="8390" ht="15" customHeight="1" x14ac:dyDescent="0.25"/>
    <row r="8392" ht="15" customHeight="1" x14ac:dyDescent="0.25"/>
    <row r="8394" ht="15" customHeight="1" x14ac:dyDescent="0.25"/>
    <row r="8396" ht="15" customHeight="1" x14ac:dyDescent="0.25"/>
    <row r="8398" ht="15" customHeight="1" x14ac:dyDescent="0.25"/>
    <row r="8400" ht="15" customHeight="1" x14ac:dyDescent="0.25"/>
    <row r="8402" ht="15" customHeight="1" x14ac:dyDescent="0.25"/>
    <row r="8404" ht="15" customHeight="1" x14ac:dyDescent="0.25"/>
    <row r="8406" ht="15" customHeight="1" x14ac:dyDescent="0.25"/>
    <row r="8408" ht="15" customHeight="1" x14ac:dyDescent="0.25"/>
    <row r="8410" ht="15" customHeight="1" x14ac:dyDescent="0.25"/>
    <row r="8412" ht="15" customHeight="1" x14ac:dyDescent="0.25"/>
    <row r="8414" ht="15" customHeight="1" x14ac:dyDescent="0.25"/>
    <row r="8416" ht="15" customHeight="1" x14ac:dyDescent="0.25"/>
    <row r="8418" ht="15" customHeight="1" x14ac:dyDescent="0.25"/>
    <row r="8420" ht="15" customHeight="1" x14ac:dyDescent="0.25"/>
    <row r="8422" ht="15" customHeight="1" x14ac:dyDescent="0.25"/>
    <row r="8424" ht="15" customHeight="1" x14ac:dyDescent="0.25"/>
    <row r="8426" ht="15" customHeight="1" x14ac:dyDescent="0.25"/>
    <row r="8428" ht="15" customHeight="1" x14ac:dyDescent="0.25"/>
    <row r="8430" ht="15" customHeight="1" x14ac:dyDescent="0.25"/>
    <row r="8432" ht="15" customHeight="1" x14ac:dyDescent="0.25"/>
    <row r="8434" ht="15" customHeight="1" x14ac:dyDescent="0.25"/>
    <row r="8436" ht="15" customHeight="1" x14ac:dyDescent="0.25"/>
    <row r="8438" ht="15" customHeight="1" x14ac:dyDescent="0.25"/>
    <row r="8440" ht="15" customHeight="1" x14ac:dyDescent="0.25"/>
    <row r="8442" ht="15" customHeight="1" x14ac:dyDescent="0.25"/>
    <row r="8444" ht="15" customHeight="1" x14ac:dyDescent="0.25"/>
    <row r="8446" ht="15" customHeight="1" x14ac:dyDescent="0.25"/>
    <row r="8448" ht="15" customHeight="1" x14ac:dyDescent="0.25"/>
    <row r="8450" ht="15" customHeight="1" x14ac:dyDescent="0.25"/>
    <row r="8452" ht="15" customHeight="1" x14ac:dyDescent="0.25"/>
    <row r="8454" ht="15" customHeight="1" x14ac:dyDescent="0.25"/>
    <row r="8456" ht="15" customHeight="1" x14ac:dyDescent="0.25"/>
    <row r="8458" ht="15" customHeight="1" x14ac:dyDescent="0.25"/>
    <row r="8460" ht="15" customHeight="1" x14ac:dyDescent="0.25"/>
    <row r="8462" ht="15" customHeight="1" x14ac:dyDescent="0.25"/>
    <row r="8464" ht="15" customHeight="1" x14ac:dyDescent="0.25"/>
    <row r="8466" ht="15" customHeight="1" x14ac:dyDescent="0.25"/>
    <row r="8468" ht="15" customHeight="1" x14ac:dyDescent="0.25"/>
    <row r="8470" ht="15" customHeight="1" x14ac:dyDescent="0.25"/>
    <row r="8472" ht="15" customHeight="1" x14ac:dyDescent="0.25"/>
    <row r="8474" ht="15" customHeight="1" x14ac:dyDescent="0.25"/>
    <row r="8476" ht="15" customHeight="1" x14ac:dyDescent="0.25"/>
    <row r="8478" ht="15" customHeight="1" x14ac:dyDescent="0.25"/>
    <row r="8480" ht="15" customHeight="1" x14ac:dyDescent="0.25"/>
    <row r="8482" ht="15" customHeight="1" x14ac:dyDescent="0.25"/>
    <row r="8484" ht="15" customHeight="1" x14ac:dyDescent="0.25"/>
    <row r="8486" ht="15" customHeight="1" x14ac:dyDescent="0.25"/>
    <row r="8488" ht="15" customHeight="1" x14ac:dyDescent="0.25"/>
    <row r="8490" ht="15" customHeight="1" x14ac:dyDescent="0.25"/>
    <row r="8492" ht="15" customHeight="1" x14ac:dyDescent="0.25"/>
    <row r="8494" ht="15" customHeight="1" x14ac:dyDescent="0.25"/>
    <row r="8496" ht="15" customHeight="1" x14ac:dyDescent="0.25"/>
    <row r="8498" ht="15" customHeight="1" x14ac:dyDescent="0.25"/>
    <row r="8500" ht="15" customHeight="1" x14ac:dyDescent="0.25"/>
    <row r="8502" ht="15" customHeight="1" x14ac:dyDescent="0.25"/>
    <row r="8504" ht="15" customHeight="1" x14ac:dyDescent="0.25"/>
    <row r="8506" ht="15" customHeight="1" x14ac:dyDescent="0.25"/>
    <row r="8508" ht="15" customHeight="1" x14ac:dyDescent="0.25"/>
    <row r="8510" ht="15" customHeight="1" x14ac:dyDescent="0.25"/>
    <row r="8512" ht="15" customHeight="1" x14ac:dyDescent="0.25"/>
    <row r="8514" ht="15" customHeight="1" x14ac:dyDescent="0.25"/>
    <row r="8516" ht="15" customHeight="1" x14ac:dyDescent="0.25"/>
    <row r="8518" ht="15" customHeight="1" x14ac:dyDescent="0.25"/>
    <row r="8520" ht="15" customHeight="1" x14ac:dyDescent="0.25"/>
    <row r="8522" ht="15" customHeight="1" x14ac:dyDescent="0.25"/>
    <row r="8524" ht="15" customHeight="1" x14ac:dyDescent="0.25"/>
    <row r="8526" ht="15" customHeight="1" x14ac:dyDescent="0.25"/>
    <row r="8528" ht="15" customHeight="1" x14ac:dyDescent="0.25"/>
    <row r="8530" ht="15" customHeight="1" x14ac:dyDescent="0.25"/>
    <row r="8532" ht="15" customHeight="1" x14ac:dyDescent="0.25"/>
    <row r="8534" ht="15" customHeight="1" x14ac:dyDescent="0.25"/>
    <row r="8536" ht="15" customHeight="1" x14ac:dyDescent="0.25"/>
    <row r="8538" ht="15" customHeight="1" x14ac:dyDescent="0.25"/>
    <row r="8540" ht="15" customHeight="1" x14ac:dyDescent="0.25"/>
    <row r="8542" ht="15" customHeight="1" x14ac:dyDescent="0.25"/>
    <row r="8544" ht="15" customHeight="1" x14ac:dyDescent="0.25"/>
    <row r="8546" ht="15" customHeight="1" x14ac:dyDescent="0.25"/>
    <row r="8548" ht="15" customHeight="1" x14ac:dyDescent="0.25"/>
    <row r="8550" ht="15" customHeight="1" x14ac:dyDescent="0.25"/>
    <row r="8552" ht="15" customHeight="1" x14ac:dyDescent="0.25"/>
    <row r="8554" ht="15" customHeight="1" x14ac:dyDescent="0.25"/>
    <row r="8556" ht="15" customHeight="1" x14ac:dyDescent="0.25"/>
    <row r="8558" ht="15" customHeight="1" x14ac:dyDescent="0.25"/>
    <row r="8560" ht="15" customHeight="1" x14ac:dyDescent="0.25"/>
    <row r="8562" ht="15" customHeight="1" x14ac:dyDescent="0.25"/>
    <row r="8564" ht="15" customHeight="1" x14ac:dyDescent="0.25"/>
    <row r="8566" ht="15" customHeight="1" x14ac:dyDescent="0.25"/>
    <row r="8568" ht="15" customHeight="1" x14ac:dyDescent="0.25"/>
    <row r="8570" ht="15" customHeight="1" x14ac:dyDescent="0.25"/>
    <row r="8572" ht="15" customHeight="1" x14ac:dyDescent="0.25"/>
    <row r="8574" ht="15" customHeight="1" x14ac:dyDescent="0.25"/>
    <row r="8576" ht="15" customHeight="1" x14ac:dyDescent="0.25"/>
    <row r="8578" ht="15" customHeight="1" x14ac:dyDescent="0.25"/>
    <row r="8580" ht="15" customHeight="1" x14ac:dyDescent="0.25"/>
    <row r="8582" ht="15" customHeight="1" x14ac:dyDescent="0.25"/>
    <row r="8584" ht="15" customHeight="1" x14ac:dyDescent="0.25"/>
    <row r="8586" ht="15" customHeight="1" x14ac:dyDescent="0.25"/>
    <row r="8588" ht="15" customHeight="1" x14ac:dyDescent="0.25"/>
    <row r="8590" ht="15" customHeight="1" x14ac:dyDescent="0.25"/>
    <row r="8592" ht="15" customHeight="1" x14ac:dyDescent="0.25"/>
    <row r="8594" ht="15" customHeight="1" x14ac:dyDescent="0.25"/>
    <row r="8596" ht="15" customHeight="1" x14ac:dyDescent="0.25"/>
    <row r="8598" ht="15" customHeight="1" x14ac:dyDescent="0.25"/>
    <row r="8600" ht="15" customHeight="1" x14ac:dyDescent="0.25"/>
    <row r="8602" ht="15" customHeight="1" x14ac:dyDescent="0.25"/>
    <row r="8604" ht="15" customHeight="1" x14ac:dyDescent="0.25"/>
    <row r="8606" ht="15" customHeight="1" x14ac:dyDescent="0.25"/>
    <row r="8608" ht="15" customHeight="1" x14ac:dyDescent="0.25"/>
    <row r="8610" ht="15" customHeight="1" x14ac:dyDescent="0.25"/>
    <row r="8612" ht="15" customHeight="1" x14ac:dyDescent="0.25"/>
    <row r="8614" ht="15" customHeight="1" x14ac:dyDescent="0.25"/>
    <row r="8616" ht="15" customHeight="1" x14ac:dyDescent="0.25"/>
    <row r="8618" ht="15" customHeight="1" x14ac:dyDescent="0.25"/>
    <row r="8620" ht="15" customHeight="1" x14ac:dyDescent="0.25"/>
    <row r="8622" ht="15" customHeight="1" x14ac:dyDescent="0.25"/>
    <row r="8624" ht="15" customHeight="1" x14ac:dyDescent="0.25"/>
    <row r="8626" ht="15" customHeight="1" x14ac:dyDescent="0.25"/>
    <row r="8628" ht="15" customHeight="1" x14ac:dyDescent="0.25"/>
    <row r="8630" ht="15" customHeight="1" x14ac:dyDescent="0.25"/>
    <row r="8632" ht="15" customHeight="1" x14ac:dyDescent="0.25"/>
    <row r="8634" ht="15" customHeight="1" x14ac:dyDescent="0.25"/>
    <row r="8636" ht="15" customHeight="1" x14ac:dyDescent="0.25"/>
    <row r="8638" ht="15" customHeight="1" x14ac:dyDescent="0.25"/>
    <row r="8640" ht="15" customHeight="1" x14ac:dyDescent="0.25"/>
    <row r="8642" ht="15" customHeight="1" x14ac:dyDescent="0.25"/>
    <row r="8644" ht="15" customHeight="1" x14ac:dyDescent="0.25"/>
    <row r="8646" ht="15" customHeight="1" x14ac:dyDescent="0.25"/>
    <row r="8648" ht="15" customHeight="1" x14ac:dyDescent="0.25"/>
    <row r="8650" ht="15" customHeight="1" x14ac:dyDescent="0.25"/>
    <row r="8652" ht="15" customHeight="1" x14ac:dyDescent="0.25"/>
    <row r="8654" ht="15" customHeight="1" x14ac:dyDescent="0.25"/>
    <row r="8656" ht="15" customHeight="1" x14ac:dyDescent="0.25"/>
    <row r="8658" ht="15" customHeight="1" x14ac:dyDescent="0.25"/>
    <row r="8660" ht="15" customHeight="1" x14ac:dyDescent="0.25"/>
    <row r="8662" ht="15" customHeight="1" x14ac:dyDescent="0.25"/>
    <row r="8664" ht="15" customHeight="1" x14ac:dyDescent="0.25"/>
    <row r="8666" ht="15" customHeight="1" x14ac:dyDescent="0.25"/>
    <row r="8668" ht="15" customHeight="1" x14ac:dyDescent="0.25"/>
    <row r="8670" ht="15" customHeight="1" x14ac:dyDescent="0.25"/>
    <row r="8672" ht="15" customHeight="1" x14ac:dyDescent="0.25"/>
    <row r="8674" ht="15" customHeight="1" x14ac:dyDescent="0.25"/>
    <row r="8676" ht="15" customHeight="1" x14ac:dyDescent="0.25"/>
    <row r="8678" ht="15" customHeight="1" x14ac:dyDescent="0.25"/>
    <row r="8680" ht="15" customHeight="1" x14ac:dyDescent="0.25"/>
    <row r="8682" ht="15" customHeight="1" x14ac:dyDescent="0.25"/>
    <row r="8684" ht="15" customHeight="1" x14ac:dyDescent="0.25"/>
    <row r="8686" ht="15" customHeight="1" x14ac:dyDescent="0.25"/>
    <row r="8688" ht="15" customHeight="1" x14ac:dyDescent="0.25"/>
    <row r="8690" ht="15" customHeight="1" x14ac:dyDescent="0.25"/>
    <row r="8692" ht="15" customHeight="1" x14ac:dyDescent="0.25"/>
    <row r="8694" ht="15" customHeight="1" x14ac:dyDescent="0.25"/>
    <row r="8696" ht="15" customHeight="1" x14ac:dyDescent="0.25"/>
    <row r="8698" ht="15" customHeight="1" x14ac:dyDescent="0.25"/>
    <row r="8700" ht="15" customHeight="1" x14ac:dyDescent="0.25"/>
    <row r="8702" ht="15" customHeight="1" x14ac:dyDescent="0.25"/>
    <row r="8704" ht="15" customHeight="1" x14ac:dyDescent="0.25"/>
    <row r="8706" ht="15" customHeight="1" x14ac:dyDescent="0.25"/>
    <row r="8708" ht="15" customHeight="1" x14ac:dyDescent="0.25"/>
    <row r="8710" ht="15" customHeight="1" x14ac:dyDescent="0.25"/>
    <row r="8712" ht="15" customHeight="1" x14ac:dyDescent="0.25"/>
    <row r="8714" ht="15" customHeight="1" x14ac:dyDescent="0.25"/>
    <row r="8716" ht="15" customHeight="1" x14ac:dyDescent="0.25"/>
    <row r="8718" ht="15" customHeight="1" x14ac:dyDescent="0.25"/>
    <row r="8720" ht="15" customHeight="1" x14ac:dyDescent="0.25"/>
    <row r="8722" ht="15" customHeight="1" x14ac:dyDescent="0.25"/>
    <row r="8724" ht="15" customHeight="1" x14ac:dyDescent="0.25"/>
    <row r="8726" ht="15" customHeight="1" x14ac:dyDescent="0.25"/>
    <row r="8728" ht="15" customHeight="1" x14ac:dyDescent="0.25"/>
    <row r="8730" ht="15" customHeight="1" x14ac:dyDescent="0.25"/>
    <row r="8732" ht="15" customHeight="1" x14ac:dyDescent="0.25"/>
    <row r="8734" ht="15" customHeight="1" x14ac:dyDescent="0.25"/>
    <row r="8736" ht="15" customHeight="1" x14ac:dyDescent="0.25"/>
    <row r="8738" ht="15" customHeight="1" x14ac:dyDescent="0.25"/>
    <row r="8740" ht="15" customHeight="1" x14ac:dyDescent="0.25"/>
    <row r="8742" ht="15" customHeight="1" x14ac:dyDescent="0.25"/>
    <row r="8744" ht="15" customHeight="1" x14ac:dyDescent="0.25"/>
    <row r="8746" ht="15" customHeight="1" x14ac:dyDescent="0.25"/>
    <row r="8748" ht="15" customHeight="1" x14ac:dyDescent="0.25"/>
    <row r="8750" ht="15" customHeight="1" x14ac:dyDescent="0.25"/>
    <row r="8752" ht="15" customHeight="1" x14ac:dyDescent="0.25"/>
    <row r="8754" ht="15" customHeight="1" x14ac:dyDescent="0.25"/>
    <row r="8756" ht="15" customHeight="1" x14ac:dyDescent="0.25"/>
    <row r="8758" ht="15" customHeight="1" x14ac:dyDescent="0.25"/>
    <row r="8760" ht="15" customHeight="1" x14ac:dyDescent="0.25"/>
    <row r="8762" ht="15" customHeight="1" x14ac:dyDescent="0.25"/>
    <row r="8764" ht="15" customHeight="1" x14ac:dyDescent="0.25"/>
    <row r="8766" ht="15" customHeight="1" x14ac:dyDescent="0.25"/>
    <row r="8768" ht="15" customHeight="1" x14ac:dyDescent="0.25"/>
    <row r="8770" ht="15" customHeight="1" x14ac:dyDescent="0.25"/>
    <row r="8772" ht="15" customHeight="1" x14ac:dyDescent="0.25"/>
    <row r="8774" ht="15" customHeight="1" x14ac:dyDescent="0.25"/>
    <row r="8776" ht="15" customHeight="1" x14ac:dyDescent="0.25"/>
    <row r="8778" ht="15" customHeight="1" x14ac:dyDescent="0.25"/>
    <row r="8780" ht="15" customHeight="1" x14ac:dyDescent="0.25"/>
    <row r="8782" ht="15" customHeight="1" x14ac:dyDescent="0.25"/>
    <row r="8784" ht="15" customHeight="1" x14ac:dyDescent="0.25"/>
    <row r="8786" ht="15" customHeight="1" x14ac:dyDescent="0.25"/>
    <row r="8788" ht="15" customHeight="1" x14ac:dyDescent="0.25"/>
    <row r="8790" ht="15" customHeight="1" x14ac:dyDescent="0.25"/>
    <row r="8792" ht="15" customHeight="1" x14ac:dyDescent="0.25"/>
    <row r="8794" ht="15" customHeight="1" x14ac:dyDescent="0.25"/>
    <row r="8796" ht="15" customHeight="1" x14ac:dyDescent="0.25"/>
    <row r="8798" ht="15" customHeight="1" x14ac:dyDescent="0.25"/>
    <row r="8800" ht="15" customHeight="1" x14ac:dyDescent="0.25"/>
    <row r="8802" ht="15" customHeight="1" x14ac:dyDescent="0.25"/>
    <row r="8804" ht="15" customHeight="1" x14ac:dyDescent="0.25"/>
    <row r="8806" ht="15" customHeight="1" x14ac:dyDescent="0.25"/>
    <row r="8808" ht="15" customHeight="1" x14ac:dyDescent="0.25"/>
    <row r="8810" ht="15" customHeight="1" x14ac:dyDescent="0.25"/>
    <row r="8812" ht="15" customHeight="1" x14ac:dyDescent="0.25"/>
    <row r="8814" ht="15" customHeight="1" x14ac:dyDescent="0.25"/>
    <row r="8816" ht="15" customHeight="1" x14ac:dyDescent="0.25"/>
    <row r="8818" ht="15" customHeight="1" x14ac:dyDescent="0.25"/>
    <row r="8820" ht="15" customHeight="1" x14ac:dyDescent="0.25"/>
    <row r="8822" ht="15" customHeight="1" x14ac:dyDescent="0.25"/>
    <row r="8824" ht="15" customHeight="1" x14ac:dyDescent="0.25"/>
    <row r="8826" ht="15" customHeight="1" x14ac:dyDescent="0.25"/>
    <row r="8828" ht="15" customHeight="1" x14ac:dyDescent="0.25"/>
    <row r="8830" ht="15" customHeight="1" x14ac:dyDescent="0.25"/>
    <row r="8832" ht="15" customHeight="1" x14ac:dyDescent="0.25"/>
    <row r="8834" ht="15" customHeight="1" x14ac:dyDescent="0.25"/>
    <row r="8836" ht="15" customHeight="1" x14ac:dyDescent="0.25"/>
    <row r="8838" ht="15" customHeight="1" x14ac:dyDescent="0.25"/>
    <row r="8840" ht="15" customHeight="1" x14ac:dyDescent="0.25"/>
    <row r="8842" ht="15" customHeight="1" x14ac:dyDescent="0.25"/>
    <row r="8844" ht="15" customHeight="1" x14ac:dyDescent="0.25"/>
    <row r="8846" ht="15" customHeight="1" x14ac:dyDescent="0.25"/>
    <row r="8848" ht="15" customHeight="1" x14ac:dyDescent="0.25"/>
    <row r="8850" ht="15" customHeight="1" x14ac:dyDescent="0.25"/>
    <row r="8852" ht="15" customHeight="1" x14ac:dyDescent="0.25"/>
    <row r="8854" ht="15" customHeight="1" x14ac:dyDescent="0.25"/>
    <row r="8856" ht="15" customHeight="1" x14ac:dyDescent="0.25"/>
    <row r="8858" ht="15" customHeight="1" x14ac:dyDescent="0.25"/>
    <row r="8860" ht="15" customHeight="1" x14ac:dyDescent="0.25"/>
    <row r="8862" ht="15" customHeight="1" x14ac:dyDescent="0.25"/>
    <row r="8864" ht="15" customHeight="1" x14ac:dyDescent="0.25"/>
    <row r="8866" ht="15" customHeight="1" x14ac:dyDescent="0.25"/>
    <row r="8868" ht="15" customHeight="1" x14ac:dyDescent="0.25"/>
    <row r="8870" ht="15" customHeight="1" x14ac:dyDescent="0.25"/>
    <row r="8872" ht="15" customHeight="1" x14ac:dyDescent="0.25"/>
    <row r="8874" ht="15" customHeight="1" x14ac:dyDescent="0.25"/>
    <row r="8876" ht="15" customHeight="1" x14ac:dyDescent="0.25"/>
    <row r="8878" ht="15" customHeight="1" x14ac:dyDescent="0.25"/>
    <row r="8880" ht="15" customHeight="1" x14ac:dyDescent="0.25"/>
    <row r="8882" ht="15" customHeight="1" x14ac:dyDescent="0.25"/>
    <row r="8884" ht="15" customHeight="1" x14ac:dyDescent="0.25"/>
    <row r="8886" ht="15" customHeight="1" x14ac:dyDescent="0.25"/>
    <row r="8888" ht="15" customHeight="1" x14ac:dyDescent="0.25"/>
    <row r="8890" ht="15" customHeight="1" x14ac:dyDescent="0.25"/>
    <row r="8892" ht="15" customHeight="1" x14ac:dyDescent="0.25"/>
    <row r="8894" ht="15" customHeight="1" x14ac:dyDescent="0.25"/>
    <row r="8896" ht="15" customHeight="1" x14ac:dyDescent="0.25"/>
    <row r="8898" ht="15" customHeight="1" x14ac:dyDescent="0.25"/>
    <row r="8900" ht="15" customHeight="1" x14ac:dyDescent="0.25"/>
    <row r="8902" ht="15" customHeight="1" x14ac:dyDescent="0.25"/>
    <row r="8904" ht="15" customHeight="1" x14ac:dyDescent="0.25"/>
    <row r="8906" ht="15" customHeight="1" x14ac:dyDescent="0.25"/>
    <row r="8908" ht="15" customHeight="1" x14ac:dyDescent="0.25"/>
    <row r="8910" ht="15" customHeight="1" x14ac:dyDescent="0.25"/>
    <row r="8912" ht="15" customHeight="1" x14ac:dyDescent="0.25"/>
    <row r="8914" ht="15" customHeight="1" x14ac:dyDescent="0.25"/>
    <row r="8916" ht="15" customHeight="1" x14ac:dyDescent="0.25"/>
    <row r="8918" ht="15" customHeight="1" x14ac:dyDescent="0.25"/>
    <row r="8920" ht="15" customHeight="1" x14ac:dyDescent="0.25"/>
    <row r="8922" ht="15" customHeight="1" x14ac:dyDescent="0.25"/>
    <row r="8924" ht="15" customHeight="1" x14ac:dyDescent="0.25"/>
    <row r="8926" ht="15" customHeight="1" x14ac:dyDescent="0.25"/>
    <row r="8928" ht="15" customHeight="1" x14ac:dyDescent="0.25"/>
    <row r="8930" ht="15" customHeight="1" x14ac:dyDescent="0.25"/>
    <row r="8932" ht="15" customHeight="1" x14ac:dyDescent="0.25"/>
    <row r="8934" ht="15" customHeight="1" x14ac:dyDescent="0.25"/>
    <row r="8936" ht="15" customHeight="1" x14ac:dyDescent="0.25"/>
    <row r="8938" ht="15" customHeight="1" x14ac:dyDescent="0.25"/>
    <row r="8940" ht="15" customHeight="1" x14ac:dyDescent="0.25"/>
    <row r="8942" ht="15" customHeight="1" x14ac:dyDescent="0.25"/>
    <row r="8944" ht="15" customHeight="1" x14ac:dyDescent="0.25"/>
    <row r="8946" ht="15" customHeight="1" x14ac:dyDescent="0.25"/>
    <row r="8948" ht="15" customHeight="1" x14ac:dyDescent="0.25"/>
    <row r="8950" ht="15" customHeight="1" x14ac:dyDescent="0.25"/>
    <row r="8952" ht="15" customHeight="1" x14ac:dyDescent="0.25"/>
    <row r="8954" ht="15" customHeight="1" x14ac:dyDescent="0.25"/>
    <row r="8956" ht="15" customHeight="1" x14ac:dyDescent="0.25"/>
    <row r="8958" ht="15" customHeight="1" x14ac:dyDescent="0.25"/>
    <row r="8960" ht="15" customHeight="1" x14ac:dyDescent="0.25"/>
    <row r="8962" ht="15" customHeight="1" x14ac:dyDescent="0.25"/>
    <row r="8964" ht="15" customHeight="1" x14ac:dyDescent="0.25"/>
    <row r="8966" ht="15" customHeight="1" x14ac:dyDescent="0.25"/>
    <row r="8968" ht="15" customHeight="1" x14ac:dyDescent="0.25"/>
    <row r="8970" ht="15" customHeight="1" x14ac:dyDescent="0.25"/>
    <row r="8972" ht="15" customHeight="1" x14ac:dyDescent="0.25"/>
    <row r="8974" ht="15" customHeight="1" x14ac:dyDescent="0.25"/>
    <row r="8976" ht="15" customHeight="1" x14ac:dyDescent="0.25"/>
    <row r="8978" ht="15" customHeight="1" x14ac:dyDescent="0.25"/>
    <row r="8980" ht="15" customHeight="1" x14ac:dyDescent="0.25"/>
    <row r="8982" ht="15" customHeight="1" x14ac:dyDescent="0.25"/>
    <row r="8984" ht="15" customHeight="1" x14ac:dyDescent="0.25"/>
    <row r="8986" ht="15" customHeight="1" x14ac:dyDescent="0.25"/>
    <row r="8988" ht="15" customHeight="1" x14ac:dyDescent="0.25"/>
    <row r="8990" ht="15" customHeight="1" x14ac:dyDescent="0.25"/>
    <row r="8992" ht="15" customHeight="1" x14ac:dyDescent="0.25"/>
    <row r="8994" ht="15" customHeight="1" x14ac:dyDescent="0.25"/>
    <row r="8996" ht="15" customHeight="1" x14ac:dyDescent="0.25"/>
    <row r="8998" ht="15" customHeight="1" x14ac:dyDescent="0.25"/>
    <row r="9000" ht="15" customHeight="1" x14ac:dyDescent="0.25"/>
    <row r="9002" ht="15" customHeight="1" x14ac:dyDescent="0.25"/>
    <row r="9004" ht="15" customHeight="1" x14ac:dyDescent="0.25"/>
    <row r="9006" ht="15" customHeight="1" x14ac:dyDescent="0.25"/>
    <row r="9008" ht="15" customHeight="1" x14ac:dyDescent="0.25"/>
    <row r="9010" ht="15" customHeight="1" x14ac:dyDescent="0.25"/>
    <row r="9012" ht="15" customHeight="1" x14ac:dyDescent="0.25"/>
    <row r="9014" ht="15" customHeight="1" x14ac:dyDescent="0.25"/>
    <row r="9016" ht="15" customHeight="1" x14ac:dyDescent="0.25"/>
    <row r="9018" ht="15" customHeight="1" x14ac:dyDescent="0.25"/>
    <row r="9020" ht="15" customHeight="1" x14ac:dyDescent="0.25"/>
    <row r="9022" ht="15" customHeight="1" x14ac:dyDescent="0.25"/>
    <row r="9024" ht="15" customHeight="1" x14ac:dyDescent="0.25"/>
    <row r="9026" ht="15" customHeight="1" x14ac:dyDescent="0.25"/>
    <row r="9028" ht="15" customHeight="1" x14ac:dyDescent="0.25"/>
    <row r="9030" ht="15" customHeight="1" x14ac:dyDescent="0.25"/>
    <row r="9032" ht="15" customHeight="1" x14ac:dyDescent="0.25"/>
    <row r="9034" ht="15" customHeight="1" x14ac:dyDescent="0.25"/>
    <row r="9036" ht="15" customHeight="1" x14ac:dyDescent="0.25"/>
    <row r="9038" ht="15" customHeight="1" x14ac:dyDescent="0.25"/>
    <row r="9040" ht="15" customHeight="1" x14ac:dyDescent="0.25"/>
    <row r="9042" ht="15" customHeight="1" x14ac:dyDescent="0.25"/>
    <row r="9044" ht="15" customHeight="1" x14ac:dyDescent="0.25"/>
    <row r="9046" ht="15" customHeight="1" x14ac:dyDescent="0.25"/>
    <row r="9048" ht="15" customHeight="1" x14ac:dyDescent="0.25"/>
    <row r="9050" ht="15" customHeight="1" x14ac:dyDescent="0.25"/>
    <row r="9052" ht="15" customHeight="1" x14ac:dyDescent="0.25"/>
    <row r="9054" ht="15" customHeight="1" x14ac:dyDescent="0.25"/>
    <row r="9056" ht="15" customHeight="1" x14ac:dyDescent="0.25"/>
    <row r="9058" ht="15" customHeight="1" x14ac:dyDescent="0.25"/>
    <row r="9060" ht="15" customHeight="1" x14ac:dyDescent="0.25"/>
    <row r="9062" ht="15" customHeight="1" x14ac:dyDescent="0.25"/>
    <row r="9064" ht="15" customHeight="1" x14ac:dyDescent="0.25"/>
    <row r="9066" ht="15" customHeight="1" x14ac:dyDescent="0.25"/>
    <row r="9068" ht="15" customHeight="1" x14ac:dyDescent="0.25"/>
    <row r="9070" ht="15" customHeight="1" x14ac:dyDescent="0.25"/>
    <row r="9072" ht="15" customHeight="1" x14ac:dyDescent="0.25"/>
    <row r="9074" ht="15" customHeight="1" x14ac:dyDescent="0.25"/>
    <row r="9076" ht="15" customHeight="1" x14ac:dyDescent="0.25"/>
    <row r="9078" ht="15" customHeight="1" x14ac:dyDescent="0.25"/>
    <row r="9080" ht="15" customHeight="1" x14ac:dyDescent="0.25"/>
    <row r="9082" ht="15" customHeight="1" x14ac:dyDescent="0.25"/>
    <row r="9084" ht="15" customHeight="1" x14ac:dyDescent="0.25"/>
    <row r="9086" ht="15" customHeight="1" x14ac:dyDescent="0.25"/>
    <row r="9088" ht="15" customHeight="1" x14ac:dyDescent="0.25"/>
    <row r="9090" ht="15" customHeight="1" x14ac:dyDescent="0.25"/>
    <row r="9092" ht="15" customHeight="1" x14ac:dyDescent="0.25"/>
    <row r="9094" ht="15" customHeight="1" x14ac:dyDescent="0.25"/>
    <row r="9096" ht="15" customHeight="1" x14ac:dyDescent="0.25"/>
    <row r="9098" ht="15" customHeight="1" x14ac:dyDescent="0.25"/>
    <row r="9100" ht="15" customHeight="1" x14ac:dyDescent="0.25"/>
    <row r="9102" ht="15" customHeight="1" x14ac:dyDescent="0.25"/>
    <row r="9104" ht="15" customHeight="1" x14ac:dyDescent="0.25"/>
    <row r="9106" ht="15" customHeight="1" x14ac:dyDescent="0.25"/>
    <row r="9108" ht="15" customHeight="1" x14ac:dyDescent="0.25"/>
    <row r="9110" ht="15" customHeight="1" x14ac:dyDescent="0.25"/>
    <row r="9112" ht="15" customHeight="1" x14ac:dyDescent="0.25"/>
    <row r="9114" ht="15" customHeight="1" x14ac:dyDescent="0.25"/>
    <row r="9116" ht="15" customHeight="1" x14ac:dyDescent="0.25"/>
    <row r="9118" ht="15" customHeight="1" x14ac:dyDescent="0.25"/>
    <row r="9120" ht="15" customHeight="1" x14ac:dyDescent="0.25"/>
    <row r="9122" ht="15" customHeight="1" x14ac:dyDescent="0.25"/>
    <row r="9124" ht="15" customHeight="1" x14ac:dyDescent="0.25"/>
    <row r="9126" ht="15" customHeight="1" x14ac:dyDescent="0.25"/>
    <row r="9128" ht="15" customHeight="1" x14ac:dyDescent="0.25"/>
    <row r="9130" ht="15" customHeight="1" x14ac:dyDescent="0.25"/>
    <row r="9132" ht="15" customHeight="1" x14ac:dyDescent="0.25"/>
    <row r="9134" ht="15" customHeight="1" x14ac:dyDescent="0.25"/>
    <row r="9136" ht="15" customHeight="1" x14ac:dyDescent="0.25"/>
    <row r="9138" ht="15" customHeight="1" x14ac:dyDescent="0.25"/>
    <row r="9140" ht="15" customHeight="1" x14ac:dyDescent="0.25"/>
    <row r="9142" ht="15" customHeight="1" x14ac:dyDescent="0.25"/>
    <row r="9144" ht="15" customHeight="1" x14ac:dyDescent="0.25"/>
    <row r="9146" ht="15" customHeight="1" x14ac:dyDescent="0.25"/>
    <row r="9148" ht="15" customHeight="1" x14ac:dyDescent="0.25"/>
    <row r="9150" ht="15" customHeight="1" x14ac:dyDescent="0.25"/>
    <row r="9152" ht="15" customHeight="1" x14ac:dyDescent="0.25"/>
    <row r="9154" ht="15" customHeight="1" x14ac:dyDescent="0.25"/>
    <row r="9156" ht="15" customHeight="1" x14ac:dyDescent="0.25"/>
    <row r="9158" ht="15" customHeight="1" x14ac:dyDescent="0.25"/>
    <row r="9160" ht="15" customHeight="1" x14ac:dyDescent="0.25"/>
    <row r="9162" ht="15" customHeight="1" x14ac:dyDescent="0.25"/>
    <row r="9164" ht="15" customHeight="1" x14ac:dyDescent="0.25"/>
    <row r="9166" ht="15" customHeight="1" x14ac:dyDescent="0.25"/>
    <row r="9168" ht="15" customHeight="1" x14ac:dyDescent="0.25"/>
    <row r="9170" ht="15" customHeight="1" x14ac:dyDescent="0.25"/>
    <row r="9172" ht="15" customHeight="1" x14ac:dyDescent="0.25"/>
    <row r="9174" ht="15" customHeight="1" x14ac:dyDescent="0.25"/>
    <row r="9176" ht="15" customHeight="1" x14ac:dyDescent="0.25"/>
    <row r="9178" ht="15" customHeight="1" x14ac:dyDescent="0.25"/>
    <row r="9180" ht="15" customHeight="1" x14ac:dyDescent="0.25"/>
    <row r="9182" ht="15" customHeight="1" x14ac:dyDescent="0.25"/>
    <row r="9184" ht="15" customHeight="1" x14ac:dyDescent="0.25"/>
    <row r="9186" ht="15" customHeight="1" x14ac:dyDescent="0.25"/>
    <row r="9188" ht="15" customHeight="1" x14ac:dyDescent="0.25"/>
    <row r="9190" ht="15" customHeight="1" x14ac:dyDescent="0.25"/>
    <row r="9192" ht="15" customHeight="1" x14ac:dyDescent="0.25"/>
    <row r="9194" ht="15" customHeight="1" x14ac:dyDescent="0.25"/>
    <row r="9196" ht="15" customHeight="1" x14ac:dyDescent="0.25"/>
    <row r="9198" ht="15" customHeight="1" x14ac:dyDescent="0.25"/>
    <row r="9200" ht="15" customHeight="1" x14ac:dyDescent="0.25"/>
    <row r="9202" ht="15" customHeight="1" x14ac:dyDescent="0.25"/>
    <row r="9204" ht="15" customHeight="1" x14ac:dyDescent="0.25"/>
    <row r="9206" ht="15" customHeight="1" x14ac:dyDescent="0.25"/>
    <row r="9208" ht="15" customHeight="1" x14ac:dyDescent="0.25"/>
    <row r="9210" ht="15" customHeight="1" x14ac:dyDescent="0.25"/>
    <row r="9212" ht="15" customHeight="1" x14ac:dyDescent="0.25"/>
    <row r="9214" ht="15" customHeight="1" x14ac:dyDescent="0.25"/>
    <row r="9216" ht="15" customHeight="1" x14ac:dyDescent="0.25"/>
    <row r="9218" ht="15" customHeight="1" x14ac:dyDescent="0.25"/>
    <row r="9220" ht="15" customHeight="1" x14ac:dyDescent="0.25"/>
    <row r="9222" ht="15" customHeight="1" x14ac:dyDescent="0.25"/>
    <row r="9224" ht="15" customHeight="1" x14ac:dyDescent="0.25"/>
    <row r="9226" ht="15" customHeight="1" x14ac:dyDescent="0.25"/>
    <row r="9228" ht="15" customHeight="1" x14ac:dyDescent="0.25"/>
    <row r="9230" ht="15" customHeight="1" x14ac:dyDescent="0.25"/>
    <row r="9232" ht="15" customHeight="1" x14ac:dyDescent="0.25"/>
    <row r="9234" ht="15" customHeight="1" x14ac:dyDescent="0.25"/>
    <row r="9236" ht="15" customHeight="1" x14ac:dyDescent="0.25"/>
    <row r="9238" ht="15" customHeight="1" x14ac:dyDescent="0.25"/>
    <row r="9240" ht="15" customHeight="1" x14ac:dyDescent="0.25"/>
    <row r="9242" ht="15" customHeight="1" x14ac:dyDescent="0.25"/>
    <row r="9244" ht="15" customHeight="1" x14ac:dyDescent="0.25"/>
    <row r="9246" ht="15" customHeight="1" x14ac:dyDescent="0.25"/>
    <row r="9248" ht="15" customHeight="1" x14ac:dyDescent="0.25"/>
    <row r="9250" ht="15" customHeight="1" x14ac:dyDescent="0.25"/>
    <row r="9252" ht="15" customHeight="1" x14ac:dyDescent="0.25"/>
    <row r="9254" ht="15" customHeight="1" x14ac:dyDescent="0.25"/>
    <row r="9256" ht="15" customHeight="1" x14ac:dyDescent="0.25"/>
    <row r="9258" ht="15" customHeight="1" x14ac:dyDescent="0.25"/>
    <row r="9260" ht="15" customHeight="1" x14ac:dyDescent="0.25"/>
    <row r="9262" ht="15" customHeight="1" x14ac:dyDescent="0.25"/>
    <row r="9264" ht="15" customHeight="1" x14ac:dyDescent="0.25"/>
    <row r="9266" ht="15" customHeight="1" x14ac:dyDescent="0.25"/>
    <row r="9268" ht="15" customHeight="1" x14ac:dyDescent="0.25"/>
    <row r="9270" ht="15" customHeight="1" x14ac:dyDescent="0.25"/>
    <row r="9272" ht="15" customHeight="1" x14ac:dyDescent="0.25"/>
    <row r="9274" ht="15" customHeight="1" x14ac:dyDescent="0.25"/>
    <row r="9276" ht="15" customHeight="1" x14ac:dyDescent="0.25"/>
    <row r="9278" ht="15" customHeight="1" x14ac:dyDescent="0.25"/>
    <row r="9280" ht="15" customHeight="1" x14ac:dyDescent="0.25"/>
    <row r="9282" ht="15" customHeight="1" x14ac:dyDescent="0.25"/>
    <row r="9284" ht="15" customHeight="1" x14ac:dyDescent="0.25"/>
    <row r="9286" ht="15" customHeight="1" x14ac:dyDescent="0.25"/>
    <row r="9288" ht="15" customHeight="1" x14ac:dyDescent="0.25"/>
    <row r="9290" ht="15" customHeight="1" x14ac:dyDescent="0.25"/>
    <row r="9292" ht="15" customHeight="1" x14ac:dyDescent="0.25"/>
    <row r="9294" ht="15" customHeight="1" x14ac:dyDescent="0.25"/>
    <row r="9296" ht="15" customHeight="1" x14ac:dyDescent="0.25"/>
    <row r="9298" ht="15" customHeight="1" x14ac:dyDescent="0.25"/>
    <row r="9300" ht="15" customHeight="1" x14ac:dyDescent="0.25"/>
    <row r="9302" ht="15" customHeight="1" x14ac:dyDescent="0.25"/>
    <row r="9304" ht="15" customHeight="1" x14ac:dyDescent="0.25"/>
    <row r="9306" ht="15" customHeight="1" x14ac:dyDescent="0.25"/>
    <row r="9308" ht="15" customHeight="1" x14ac:dyDescent="0.25"/>
    <row r="9310" ht="15" customHeight="1" x14ac:dyDescent="0.25"/>
    <row r="9312" ht="15" customHeight="1" x14ac:dyDescent="0.25"/>
    <row r="9314" ht="15" customHeight="1" x14ac:dyDescent="0.25"/>
    <row r="9316" ht="15" customHeight="1" x14ac:dyDescent="0.25"/>
    <row r="9318" ht="15" customHeight="1" x14ac:dyDescent="0.25"/>
    <row r="9320" ht="15" customHeight="1" x14ac:dyDescent="0.25"/>
    <row r="9322" ht="15" customHeight="1" x14ac:dyDescent="0.25"/>
    <row r="9324" ht="15" customHeight="1" x14ac:dyDescent="0.25"/>
    <row r="9326" ht="15" customHeight="1" x14ac:dyDescent="0.25"/>
    <row r="9328" ht="15" customHeight="1" x14ac:dyDescent="0.25"/>
    <row r="9330" ht="15" customHeight="1" x14ac:dyDescent="0.25"/>
    <row r="9332" ht="15" customHeight="1" x14ac:dyDescent="0.25"/>
    <row r="9334" ht="15" customHeight="1" x14ac:dyDescent="0.25"/>
    <row r="9336" ht="15" customHeight="1" x14ac:dyDescent="0.25"/>
    <row r="9338" ht="15" customHeight="1" x14ac:dyDescent="0.25"/>
    <row r="9340" ht="15" customHeight="1" x14ac:dyDescent="0.25"/>
    <row r="9342" ht="15" customHeight="1" x14ac:dyDescent="0.25"/>
    <row r="9344" ht="15" customHeight="1" x14ac:dyDescent="0.25"/>
    <row r="9346" ht="15" customHeight="1" x14ac:dyDescent="0.25"/>
    <row r="9348" ht="15" customHeight="1" x14ac:dyDescent="0.25"/>
    <row r="9350" ht="15" customHeight="1" x14ac:dyDescent="0.25"/>
    <row r="9352" ht="15" customHeight="1" x14ac:dyDescent="0.25"/>
    <row r="9354" ht="15" customHeight="1" x14ac:dyDescent="0.25"/>
    <row r="9356" ht="15" customHeight="1" x14ac:dyDescent="0.25"/>
    <row r="9358" ht="15" customHeight="1" x14ac:dyDescent="0.25"/>
    <row r="9360" ht="15" customHeight="1" x14ac:dyDescent="0.25"/>
    <row r="9362" ht="15" customHeight="1" x14ac:dyDescent="0.25"/>
    <row r="9364" ht="15" customHeight="1" x14ac:dyDescent="0.25"/>
    <row r="9366" ht="15" customHeight="1" x14ac:dyDescent="0.25"/>
    <row r="9368" ht="15" customHeight="1" x14ac:dyDescent="0.25"/>
    <row r="9370" ht="15" customHeight="1" x14ac:dyDescent="0.25"/>
    <row r="9372" ht="15" customHeight="1" x14ac:dyDescent="0.25"/>
    <row r="9374" ht="15" customHeight="1" x14ac:dyDescent="0.25"/>
    <row r="9376" ht="15" customHeight="1" x14ac:dyDescent="0.25"/>
    <row r="9378" ht="15" customHeight="1" x14ac:dyDescent="0.25"/>
    <row r="9380" ht="15" customHeight="1" x14ac:dyDescent="0.25"/>
    <row r="9382" ht="15" customHeight="1" x14ac:dyDescent="0.25"/>
    <row r="9384" ht="15" customHeight="1" x14ac:dyDescent="0.25"/>
    <row r="9386" ht="15" customHeight="1" x14ac:dyDescent="0.25"/>
    <row r="9388" ht="15" customHeight="1" x14ac:dyDescent="0.25"/>
    <row r="9390" ht="15" customHeight="1" x14ac:dyDescent="0.25"/>
    <row r="9392" ht="15" customHeight="1" x14ac:dyDescent="0.25"/>
    <row r="9394" ht="15" customHeight="1" x14ac:dyDescent="0.25"/>
    <row r="9396" ht="15" customHeight="1" x14ac:dyDescent="0.25"/>
    <row r="9398" ht="15" customHeight="1" x14ac:dyDescent="0.25"/>
    <row r="9400" ht="15" customHeight="1" x14ac:dyDescent="0.25"/>
    <row r="9402" ht="15" customHeight="1" x14ac:dyDescent="0.25"/>
    <row r="9404" ht="15" customHeight="1" x14ac:dyDescent="0.25"/>
    <row r="9406" ht="15" customHeight="1" x14ac:dyDescent="0.25"/>
    <row r="9408" ht="15" customHeight="1" x14ac:dyDescent="0.25"/>
    <row r="9410" ht="15" customHeight="1" x14ac:dyDescent="0.25"/>
    <row r="9412" ht="15" customHeight="1" x14ac:dyDescent="0.25"/>
    <row r="9414" ht="15" customHeight="1" x14ac:dyDescent="0.25"/>
    <row r="9416" ht="15" customHeight="1" x14ac:dyDescent="0.25"/>
    <row r="9418" ht="15" customHeight="1" x14ac:dyDescent="0.25"/>
    <row r="9420" ht="15" customHeight="1" x14ac:dyDescent="0.25"/>
    <row r="9422" ht="15" customHeight="1" x14ac:dyDescent="0.25"/>
    <row r="9424" ht="15" customHeight="1" x14ac:dyDescent="0.25"/>
    <row r="9426" ht="15" customHeight="1" x14ac:dyDescent="0.25"/>
    <row r="9428" ht="15" customHeight="1" x14ac:dyDescent="0.25"/>
    <row r="9430" ht="15" customHeight="1" x14ac:dyDescent="0.25"/>
    <row r="9432" ht="15" customHeight="1" x14ac:dyDescent="0.25"/>
    <row r="9434" ht="15" customHeight="1" x14ac:dyDescent="0.25"/>
    <row r="9436" ht="15" customHeight="1" x14ac:dyDescent="0.25"/>
    <row r="9438" ht="15" customHeight="1" x14ac:dyDescent="0.25"/>
    <row r="9440" ht="15" customHeight="1" x14ac:dyDescent="0.25"/>
    <row r="9442" ht="15" customHeight="1" x14ac:dyDescent="0.25"/>
    <row r="9444" ht="15" customHeight="1" x14ac:dyDescent="0.25"/>
    <row r="9446" ht="15" customHeight="1" x14ac:dyDescent="0.25"/>
    <row r="9448" ht="15" customHeight="1" x14ac:dyDescent="0.25"/>
    <row r="9450" ht="15" customHeight="1" x14ac:dyDescent="0.25"/>
    <row r="9452" ht="15" customHeight="1" x14ac:dyDescent="0.25"/>
    <row r="9454" ht="15" customHeight="1" x14ac:dyDescent="0.25"/>
    <row r="9456" ht="15" customHeight="1" x14ac:dyDescent="0.25"/>
    <row r="9458" ht="15" customHeight="1" x14ac:dyDescent="0.25"/>
    <row r="9460" ht="15" customHeight="1" x14ac:dyDescent="0.25"/>
    <row r="9462" ht="15" customHeight="1" x14ac:dyDescent="0.25"/>
    <row r="9464" ht="15" customHeight="1" x14ac:dyDescent="0.25"/>
    <row r="9466" ht="15" customHeight="1" x14ac:dyDescent="0.25"/>
    <row r="9468" ht="15" customHeight="1" x14ac:dyDescent="0.25"/>
    <row r="9470" ht="15" customHeight="1" x14ac:dyDescent="0.25"/>
    <row r="9472" ht="15" customHeight="1" x14ac:dyDescent="0.25"/>
    <row r="9474" ht="15" customHeight="1" x14ac:dyDescent="0.25"/>
    <row r="9476" ht="15" customHeight="1" x14ac:dyDescent="0.25"/>
    <row r="9478" ht="15" customHeight="1" x14ac:dyDescent="0.25"/>
    <row r="9480" ht="15" customHeight="1" x14ac:dyDescent="0.25"/>
    <row r="9482" ht="15" customHeight="1" x14ac:dyDescent="0.25"/>
    <row r="9484" ht="15" customHeight="1" x14ac:dyDescent="0.25"/>
    <row r="9486" ht="15" customHeight="1" x14ac:dyDescent="0.25"/>
    <row r="9488" ht="15" customHeight="1" x14ac:dyDescent="0.25"/>
    <row r="9490" ht="15" customHeight="1" x14ac:dyDescent="0.25"/>
    <row r="9492" ht="15" customHeight="1" x14ac:dyDescent="0.25"/>
    <row r="9494" ht="15" customHeight="1" x14ac:dyDescent="0.25"/>
    <row r="9496" ht="15" customHeight="1" x14ac:dyDescent="0.25"/>
    <row r="9498" ht="15" customHeight="1" x14ac:dyDescent="0.25"/>
    <row r="9500" ht="15" customHeight="1" x14ac:dyDescent="0.25"/>
    <row r="9502" ht="15" customHeight="1" x14ac:dyDescent="0.25"/>
    <row r="9504" ht="15" customHeight="1" x14ac:dyDescent="0.25"/>
    <row r="9506" ht="15" customHeight="1" x14ac:dyDescent="0.25"/>
    <row r="9508" ht="15" customHeight="1" x14ac:dyDescent="0.25"/>
    <row r="9510" ht="15" customHeight="1" x14ac:dyDescent="0.25"/>
    <row r="9512" ht="15" customHeight="1" x14ac:dyDescent="0.25"/>
    <row r="9514" ht="15" customHeight="1" x14ac:dyDescent="0.25"/>
    <row r="9516" ht="15" customHeight="1" x14ac:dyDescent="0.25"/>
    <row r="9518" ht="15" customHeight="1" x14ac:dyDescent="0.25"/>
    <row r="9520" ht="15" customHeight="1" x14ac:dyDescent="0.25"/>
    <row r="9522" ht="15" customHeight="1" x14ac:dyDescent="0.25"/>
    <row r="9524" ht="15" customHeight="1" x14ac:dyDescent="0.25"/>
    <row r="9526" ht="15" customHeight="1" x14ac:dyDescent="0.25"/>
    <row r="9528" ht="15" customHeight="1" x14ac:dyDescent="0.25"/>
    <row r="9530" ht="15" customHeight="1" x14ac:dyDescent="0.25"/>
    <row r="9532" ht="15" customHeight="1" x14ac:dyDescent="0.25"/>
    <row r="9534" ht="15" customHeight="1" x14ac:dyDescent="0.25"/>
    <row r="9536" ht="15" customHeight="1" x14ac:dyDescent="0.25"/>
    <row r="9538" ht="15" customHeight="1" x14ac:dyDescent="0.25"/>
    <row r="9540" ht="15" customHeight="1" x14ac:dyDescent="0.25"/>
    <row r="9542" ht="15" customHeight="1" x14ac:dyDescent="0.25"/>
    <row r="9544" ht="15" customHeight="1" x14ac:dyDescent="0.25"/>
    <row r="9546" ht="15" customHeight="1" x14ac:dyDescent="0.25"/>
    <row r="9548" ht="15" customHeight="1" x14ac:dyDescent="0.25"/>
    <row r="9550" ht="15" customHeight="1" x14ac:dyDescent="0.25"/>
    <row r="9552" ht="15" customHeight="1" x14ac:dyDescent="0.25"/>
    <row r="9554" ht="15" customHeight="1" x14ac:dyDescent="0.25"/>
    <row r="9556" ht="15" customHeight="1" x14ac:dyDescent="0.25"/>
    <row r="9558" ht="15" customHeight="1" x14ac:dyDescent="0.25"/>
    <row r="9560" ht="15" customHeight="1" x14ac:dyDescent="0.25"/>
    <row r="9562" ht="15" customHeight="1" x14ac:dyDescent="0.25"/>
    <row r="9564" ht="15" customHeight="1" x14ac:dyDescent="0.25"/>
    <row r="9566" ht="15" customHeight="1" x14ac:dyDescent="0.25"/>
    <row r="9568" ht="15" customHeight="1" x14ac:dyDescent="0.25"/>
    <row r="9570" ht="15" customHeight="1" x14ac:dyDescent="0.25"/>
    <row r="9572" ht="15" customHeight="1" x14ac:dyDescent="0.25"/>
    <row r="9574" ht="15" customHeight="1" x14ac:dyDescent="0.25"/>
    <row r="9576" ht="15" customHeight="1" x14ac:dyDescent="0.25"/>
    <row r="9578" ht="15" customHeight="1" x14ac:dyDescent="0.25"/>
    <row r="9580" ht="15" customHeight="1" x14ac:dyDescent="0.25"/>
    <row r="9582" ht="15" customHeight="1" x14ac:dyDescent="0.25"/>
    <row r="9584" ht="15" customHeight="1" x14ac:dyDescent="0.25"/>
    <row r="9586" ht="15" customHeight="1" x14ac:dyDescent="0.25"/>
    <row r="9588" ht="15" customHeight="1" x14ac:dyDescent="0.25"/>
    <row r="9590" ht="15" customHeight="1" x14ac:dyDescent="0.25"/>
    <row r="9592" ht="15" customHeight="1" x14ac:dyDescent="0.25"/>
    <row r="9594" ht="15" customHeight="1" x14ac:dyDescent="0.25"/>
    <row r="9596" ht="15" customHeight="1" x14ac:dyDescent="0.25"/>
    <row r="9598" ht="15" customHeight="1" x14ac:dyDescent="0.25"/>
    <row r="9600" ht="15" customHeight="1" x14ac:dyDescent="0.25"/>
    <row r="9602" ht="15" customHeight="1" x14ac:dyDescent="0.25"/>
    <row r="9604" ht="15" customHeight="1" x14ac:dyDescent="0.25"/>
    <row r="9606" ht="15" customHeight="1" x14ac:dyDescent="0.25"/>
    <row r="9608" ht="15" customHeight="1" x14ac:dyDescent="0.25"/>
    <row r="9610" ht="15" customHeight="1" x14ac:dyDescent="0.25"/>
    <row r="9612" ht="15" customHeight="1" x14ac:dyDescent="0.25"/>
    <row r="9614" ht="15" customHeight="1" x14ac:dyDescent="0.25"/>
    <row r="9616" ht="15" customHeight="1" x14ac:dyDescent="0.25"/>
    <row r="9618" ht="15" customHeight="1" x14ac:dyDescent="0.25"/>
    <row r="9620" ht="15" customHeight="1" x14ac:dyDescent="0.25"/>
    <row r="9622" ht="15" customHeight="1" x14ac:dyDescent="0.25"/>
    <row r="9624" ht="15" customHeight="1" x14ac:dyDescent="0.25"/>
    <row r="9626" ht="15" customHeight="1" x14ac:dyDescent="0.25"/>
    <row r="9628" ht="15" customHeight="1" x14ac:dyDescent="0.25"/>
    <row r="9630" ht="15" customHeight="1" x14ac:dyDescent="0.25"/>
    <row r="9632" ht="15" customHeight="1" x14ac:dyDescent="0.25"/>
    <row r="9634" ht="15" customHeight="1" x14ac:dyDescent="0.25"/>
    <row r="9636" ht="15" customHeight="1" x14ac:dyDescent="0.25"/>
    <row r="9638" ht="15" customHeight="1" x14ac:dyDescent="0.25"/>
    <row r="9640" ht="15" customHeight="1" x14ac:dyDescent="0.25"/>
    <row r="9642" ht="15" customHeight="1" x14ac:dyDescent="0.25"/>
    <row r="9644" ht="15" customHeight="1" x14ac:dyDescent="0.25"/>
    <row r="9646" ht="15" customHeight="1" x14ac:dyDescent="0.25"/>
    <row r="9648" ht="15" customHeight="1" x14ac:dyDescent="0.25"/>
    <row r="9650" ht="15" customHeight="1" x14ac:dyDescent="0.25"/>
    <row r="9652" ht="15" customHeight="1" x14ac:dyDescent="0.25"/>
    <row r="9654" ht="15" customHeight="1" x14ac:dyDescent="0.25"/>
    <row r="9656" ht="15" customHeight="1" x14ac:dyDescent="0.25"/>
    <row r="9658" ht="15" customHeight="1" x14ac:dyDescent="0.25"/>
    <row r="9660" ht="15" customHeight="1" x14ac:dyDescent="0.25"/>
    <row r="9662" ht="15" customHeight="1" x14ac:dyDescent="0.25"/>
    <row r="9664" ht="15" customHeight="1" x14ac:dyDescent="0.25"/>
    <row r="9666" ht="15" customHeight="1" x14ac:dyDescent="0.25"/>
    <row r="9668" ht="15" customHeight="1" x14ac:dyDescent="0.25"/>
    <row r="9670" ht="15" customHeight="1" x14ac:dyDescent="0.25"/>
    <row r="9672" ht="15" customHeight="1" x14ac:dyDescent="0.25"/>
    <row r="9674" ht="15" customHeight="1" x14ac:dyDescent="0.25"/>
    <row r="9676" ht="15" customHeight="1" x14ac:dyDescent="0.25"/>
    <row r="9678" ht="15" customHeight="1" x14ac:dyDescent="0.25"/>
    <row r="9680" ht="15" customHeight="1" x14ac:dyDescent="0.25"/>
    <row r="9682" ht="15" customHeight="1" x14ac:dyDescent="0.25"/>
    <row r="9684" ht="15" customHeight="1" x14ac:dyDescent="0.25"/>
    <row r="9686" ht="15" customHeight="1" x14ac:dyDescent="0.25"/>
    <row r="9688" ht="15" customHeight="1" x14ac:dyDescent="0.25"/>
    <row r="9690" ht="15" customHeight="1" x14ac:dyDescent="0.25"/>
    <row r="9692" ht="15" customHeight="1" x14ac:dyDescent="0.25"/>
    <row r="9694" ht="15" customHeight="1" x14ac:dyDescent="0.25"/>
    <row r="9696" ht="15" customHeight="1" x14ac:dyDescent="0.25"/>
    <row r="9698" ht="15" customHeight="1" x14ac:dyDescent="0.25"/>
    <row r="9700" ht="15" customHeight="1" x14ac:dyDescent="0.25"/>
    <row r="9702" ht="15" customHeight="1" x14ac:dyDescent="0.25"/>
    <row r="9704" ht="15" customHeight="1" x14ac:dyDescent="0.25"/>
    <row r="9706" ht="15" customHeight="1" x14ac:dyDescent="0.25"/>
    <row r="9708" ht="15" customHeight="1" x14ac:dyDescent="0.25"/>
    <row r="9710" ht="15" customHeight="1" x14ac:dyDescent="0.25"/>
    <row r="9712" ht="15" customHeight="1" x14ac:dyDescent="0.25"/>
    <row r="9714" ht="15" customHeight="1" x14ac:dyDescent="0.25"/>
    <row r="9716" ht="15" customHeight="1" x14ac:dyDescent="0.25"/>
    <row r="9718" ht="15" customHeight="1" x14ac:dyDescent="0.25"/>
    <row r="9720" ht="15" customHeight="1" x14ac:dyDescent="0.25"/>
    <row r="9722" ht="15" customHeight="1" x14ac:dyDescent="0.25"/>
    <row r="9724" ht="15" customHeight="1" x14ac:dyDescent="0.25"/>
    <row r="9726" ht="15" customHeight="1" x14ac:dyDescent="0.25"/>
    <row r="9728" ht="15" customHeight="1" x14ac:dyDescent="0.25"/>
    <row r="9730" ht="15" customHeight="1" x14ac:dyDescent="0.25"/>
    <row r="9732" ht="15" customHeight="1" x14ac:dyDescent="0.25"/>
    <row r="9734" ht="15" customHeight="1" x14ac:dyDescent="0.25"/>
    <row r="9736" ht="15" customHeight="1" x14ac:dyDescent="0.25"/>
    <row r="9738" ht="15" customHeight="1" x14ac:dyDescent="0.25"/>
    <row r="9740" ht="15" customHeight="1" x14ac:dyDescent="0.25"/>
    <row r="9742" ht="15" customHeight="1" x14ac:dyDescent="0.25"/>
    <row r="9744" ht="15" customHeight="1" x14ac:dyDescent="0.25"/>
    <row r="9746" ht="15" customHeight="1" x14ac:dyDescent="0.25"/>
    <row r="9748" ht="15" customHeight="1" x14ac:dyDescent="0.25"/>
    <row r="9750" ht="15" customHeight="1" x14ac:dyDescent="0.25"/>
    <row r="9752" ht="15" customHeight="1" x14ac:dyDescent="0.25"/>
    <row r="9754" ht="15" customHeight="1" x14ac:dyDescent="0.25"/>
    <row r="9756" ht="15" customHeight="1" x14ac:dyDescent="0.25"/>
    <row r="9758" ht="15" customHeight="1" x14ac:dyDescent="0.25"/>
    <row r="9760" ht="15" customHeight="1" x14ac:dyDescent="0.25"/>
    <row r="9762" ht="15" customHeight="1" x14ac:dyDescent="0.25"/>
    <row r="9764" ht="15" customHeight="1" x14ac:dyDescent="0.25"/>
    <row r="9766" ht="15" customHeight="1" x14ac:dyDescent="0.25"/>
    <row r="9768" ht="15" customHeight="1" x14ac:dyDescent="0.25"/>
    <row r="9770" ht="15" customHeight="1" x14ac:dyDescent="0.25"/>
    <row r="9772" ht="15" customHeight="1" x14ac:dyDescent="0.25"/>
    <row r="9774" ht="15" customHeight="1" x14ac:dyDescent="0.25"/>
    <row r="9776" ht="15" customHeight="1" x14ac:dyDescent="0.25"/>
    <row r="9778" ht="15" customHeight="1" x14ac:dyDescent="0.25"/>
    <row r="9780" ht="15" customHeight="1" x14ac:dyDescent="0.25"/>
    <row r="9782" ht="15" customHeight="1" x14ac:dyDescent="0.25"/>
    <row r="9784" ht="15" customHeight="1" x14ac:dyDescent="0.25"/>
    <row r="9786" ht="15" customHeight="1" x14ac:dyDescent="0.25"/>
    <row r="9788" ht="15" customHeight="1" x14ac:dyDescent="0.25"/>
    <row r="9790" ht="15" customHeight="1" x14ac:dyDescent="0.25"/>
    <row r="9792" ht="15" customHeight="1" x14ac:dyDescent="0.25"/>
    <row r="9794" ht="15" customHeight="1" x14ac:dyDescent="0.25"/>
    <row r="9796" ht="15" customHeight="1" x14ac:dyDescent="0.25"/>
    <row r="9798" ht="15" customHeight="1" x14ac:dyDescent="0.25"/>
    <row r="9800" ht="15" customHeight="1" x14ac:dyDescent="0.25"/>
    <row r="9802" ht="15" customHeight="1" x14ac:dyDescent="0.25"/>
    <row r="9804" ht="15" customHeight="1" x14ac:dyDescent="0.25"/>
    <row r="9806" ht="15" customHeight="1" x14ac:dyDescent="0.25"/>
    <row r="9808" ht="15" customHeight="1" x14ac:dyDescent="0.25"/>
    <row r="9810" ht="15" customHeight="1" x14ac:dyDescent="0.25"/>
    <row r="9812" ht="15" customHeight="1" x14ac:dyDescent="0.25"/>
    <row r="9814" ht="15" customHeight="1" x14ac:dyDescent="0.25"/>
    <row r="9816" ht="15" customHeight="1" x14ac:dyDescent="0.25"/>
    <row r="9818" ht="15" customHeight="1" x14ac:dyDescent="0.25"/>
    <row r="9820" ht="15" customHeight="1" x14ac:dyDescent="0.25"/>
    <row r="9822" ht="15" customHeight="1" x14ac:dyDescent="0.25"/>
    <row r="9824" ht="15" customHeight="1" x14ac:dyDescent="0.25"/>
    <row r="9826" ht="15" customHeight="1" x14ac:dyDescent="0.25"/>
    <row r="9828" ht="15" customHeight="1" x14ac:dyDescent="0.25"/>
    <row r="9830" ht="15" customHeight="1" x14ac:dyDescent="0.25"/>
    <row r="9832" ht="15" customHeight="1" x14ac:dyDescent="0.25"/>
    <row r="9834" ht="15" customHeight="1" x14ac:dyDescent="0.25"/>
    <row r="9836" ht="15" customHeight="1" x14ac:dyDescent="0.25"/>
    <row r="9838" ht="15" customHeight="1" x14ac:dyDescent="0.25"/>
    <row r="9840" ht="15" customHeight="1" x14ac:dyDescent="0.25"/>
    <row r="9842" ht="15" customHeight="1" x14ac:dyDescent="0.25"/>
    <row r="9844" ht="15" customHeight="1" x14ac:dyDescent="0.25"/>
    <row r="9846" ht="15" customHeight="1" x14ac:dyDescent="0.25"/>
    <row r="9848" ht="15" customHeight="1" x14ac:dyDescent="0.25"/>
    <row r="9850" ht="15" customHeight="1" x14ac:dyDescent="0.25"/>
    <row r="9852" ht="15" customHeight="1" x14ac:dyDescent="0.25"/>
    <row r="9854" ht="15" customHeight="1" x14ac:dyDescent="0.25"/>
    <row r="9856" ht="15" customHeight="1" x14ac:dyDescent="0.25"/>
    <row r="9858" ht="15" customHeight="1" x14ac:dyDescent="0.25"/>
    <row r="9860" ht="15" customHeight="1" x14ac:dyDescent="0.25"/>
    <row r="9862" ht="15" customHeight="1" x14ac:dyDescent="0.25"/>
    <row r="9864" ht="15" customHeight="1" x14ac:dyDescent="0.25"/>
    <row r="9866" ht="15" customHeight="1" x14ac:dyDescent="0.25"/>
    <row r="9868" ht="15" customHeight="1" x14ac:dyDescent="0.25"/>
    <row r="9870" ht="15" customHeight="1" x14ac:dyDescent="0.25"/>
    <row r="9872" ht="15" customHeight="1" x14ac:dyDescent="0.25"/>
    <row r="9874" ht="15" customHeight="1" x14ac:dyDescent="0.25"/>
    <row r="9876" ht="15" customHeight="1" x14ac:dyDescent="0.25"/>
    <row r="9878" ht="15" customHeight="1" x14ac:dyDescent="0.25"/>
    <row r="9880" ht="15" customHeight="1" x14ac:dyDescent="0.25"/>
    <row r="9882" ht="15" customHeight="1" x14ac:dyDescent="0.25"/>
    <row r="9884" ht="15" customHeight="1" x14ac:dyDescent="0.25"/>
    <row r="9886" ht="15" customHeight="1" x14ac:dyDescent="0.25"/>
    <row r="9888" ht="15" customHeight="1" x14ac:dyDescent="0.25"/>
    <row r="9890" ht="15" customHeight="1" x14ac:dyDescent="0.25"/>
    <row r="9892" ht="15" customHeight="1" x14ac:dyDescent="0.25"/>
    <row r="9894" ht="15" customHeight="1" x14ac:dyDescent="0.25"/>
    <row r="9896" ht="15" customHeight="1" x14ac:dyDescent="0.25"/>
    <row r="9898" ht="15" customHeight="1" x14ac:dyDescent="0.25"/>
    <row r="9900" ht="15" customHeight="1" x14ac:dyDescent="0.25"/>
    <row r="9902" ht="15" customHeight="1" x14ac:dyDescent="0.25"/>
    <row r="9904" ht="15" customHeight="1" x14ac:dyDescent="0.25"/>
    <row r="9906" ht="15" customHeight="1" x14ac:dyDescent="0.25"/>
    <row r="9908" ht="15" customHeight="1" x14ac:dyDescent="0.25"/>
    <row r="9910" ht="15" customHeight="1" x14ac:dyDescent="0.25"/>
    <row r="9912" ht="15" customHeight="1" x14ac:dyDescent="0.25"/>
    <row r="9914" ht="15" customHeight="1" x14ac:dyDescent="0.25"/>
    <row r="9916" ht="15" customHeight="1" x14ac:dyDescent="0.25"/>
    <row r="9918" ht="15" customHeight="1" x14ac:dyDescent="0.25"/>
    <row r="9920" ht="15" customHeight="1" x14ac:dyDescent="0.25"/>
    <row r="9922" ht="15" customHeight="1" x14ac:dyDescent="0.25"/>
    <row r="9924" ht="15" customHeight="1" x14ac:dyDescent="0.25"/>
    <row r="9926" ht="15" customHeight="1" x14ac:dyDescent="0.25"/>
    <row r="9928" ht="15" customHeight="1" x14ac:dyDescent="0.25"/>
    <row r="9930" ht="15" customHeight="1" x14ac:dyDescent="0.25"/>
    <row r="9932" ht="15" customHeight="1" x14ac:dyDescent="0.25"/>
    <row r="9934" ht="15" customHeight="1" x14ac:dyDescent="0.25"/>
    <row r="9936" ht="15" customHeight="1" x14ac:dyDescent="0.25"/>
    <row r="9938" ht="15" customHeight="1" x14ac:dyDescent="0.25"/>
    <row r="9940" ht="15" customHeight="1" x14ac:dyDescent="0.25"/>
    <row r="9942" ht="15" customHeight="1" x14ac:dyDescent="0.25"/>
    <row r="9944" ht="15" customHeight="1" x14ac:dyDescent="0.25"/>
    <row r="9946" ht="15" customHeight="1" x14ac:dyDescent="0.25"/>
    <row r="9948" ht="15" customHeight="1" x14ac:dyDescent="0.25"/>
    <row r="9950" ht="15" customHeight="1" x14ac:dyDescent="0.25"/>
    <row r="9952" ht="15" customHeight="1" x14ac:dyDescent="0.25"/>
    <row r="9954" ht="15" customHeight="1" x14ac:dyDescent="0.25"/>
    <row r="9956" ht="15" customHeight="1" x14ac:dyDescent="0.25"/>
    <row r="9958" ht="15" customHeight="1" x14ac:dyDescent="0.25"/>
    <row r="9960" ht="15" customHeight="1" x14ac:dyDescent="0.25"/>
    <row r="9962" ht="15" customHeight="1" x14ac:dyDescent="0.25"/>
    <row r="9964" ht="15" customHeight="1" x14ac:dyDescent="0.25"/>
    <row r="9966" ht="15" customHeight="1" x14ac:dyDescent="0.25"/>
    <row r="9968" ht="15" customHeight="1" x14ac:dyDescent="0.25"/>
    <row r="9970" ht="15" customHeight="1" x14ac:dyDescent="0.25"/>
    <row r="9972" ht="15" customHeight="1" x14ac:dyDescent="0.25"/>
    <row r="9974" ht="15" customHeight="1" x14ac:dyDescent="0.25"/>
    <row r="9976" ht="15" customHeight="1" x14ac:dyDescent="0.25"/>
    <row r="9978" ht="15" customHeight="1" x14ac:dyDescent="0.25"/>
    <row r="9980" ht="15" customHeight="1" x14ac:dyDescent="0.25"/>
    <row r="9982" ht="15" customHeight="1" x14ac:dyDescent="0.25"/>
    <row r="9984" ht="15" customHeight="1" x14ac:dyDescent="0.25"/>
    <row r="9986" ht="15" customHeight="1" x14ac:dyDescent="0.25"/>
    <row r="9988" ht="15" customHeight="1" x14ac:dyDescent="0.25"/>
    <row r="9990" ht="15" customHeight="1" x14ac:dyDescent="0.25"/>
    <row r="9992" ht="15" customHeight="1" x14ac:dyDescent="0.25"/>
    <row r="9994" ht="15" customHeight="1" x14ac:dyDescent="0.25"/>
    <row r="9996" ht="15" customHeight="1" x14ac:dyDescent="0.25"/>
    <row r="9998" ht="15" customHeight="1" x14ac:dyDescent="0.25"/>
    <row r="10000" ht="15" customHeight="1" x14ac:dyDescent="0.25"/>
    <row r="10002" ht="15" customHeight="1" x14ac:dyDescent="0.25"/>
    <row r="10004" ht="15" customHeight="1" x14ac:dyDescent="0.25"/>
    <row r="10006" ht="15" customHeight="1" x14ac:dyDescent="0.25"/>
    <row r="10008" ht="15" customHeight="1" x14ac:dyDescent="0.25"/>
    <row r="10010" ht="15" customHeight="1" x14ac:dyDescent="0.25"/>
    <row r="10012" ht="15" customHeight="1" x14ac:dyDescent="0.25"/>
    <row r="10014" ht="15" customHeight="1" x14ac:dyDescent="0.25"/>
    <row r="10016" ht="15" customHeight="1" x14ac:dyDescent="0.25"/>
    <row r="10018" ht="15" customHeight="1" x14ac:dyDescent="0.25"/>
    <row r="10020" ht="15" customHeight="1" x14ac:dyDescent="0.25"/>
    <row r="10022" ht="15" customHeight="1" x14ac:dyDescent="0.25"/>
    <row r="10024" ht="15" customHeight="1" x14ac:dyDescent="0.25"/>
    <row r="10026" ht="15" customHeight="1" x14ac:dyDescent="0.25"/>
    <row r="10028" ht="15" customHeight="1" x14ac:dyDescent="0.25"/>
    <row r="10030" ht="15" customHeight="1" x14ac:dyDescent="0.25"/>
    <row r="10032" ht="15" customHeight="1" x14ac:dyDescent="0.25"/>
    <row r="10034" ht="15" customHeight="1" x14ac:dyDescent="0.25"/>
    <row r="10036" ht="15" customHeight="1" x14ac:dyDescent="0.25"/>
    <row r="10038" ht="15" customHeight="1" x14ac:dyDescent="0.25"/>
    <row r="10040" ht="15" customHeight="1" x14ac:dyDescent="0.25"/>
    <row r="10042" ht="15" customHeight="1" x14ac:dyDescent="0.25"/>
    <row r="10044" ht="15" customHeight="1" x14ac:dyDescent="0.25"/>
    <row r="10046" ht="15" customHeight="1" x14ac:dyDescent="0.25"/>
    <row r="10048" ht="15" customHeight="1" x14ac:dyDescent="0.25"/>
    <row r="10050" ht="15" customHeight="1" x14ac:dyDescent="0.25"/>
    <row r="10052" ht="15" customHeight="1" x14ac:dyDescent="0.25"/>
    <row r="10054" ht="15" customHeight="1" x14ac:dyDescent="0.25"/>
    <row r="10056" ht="15" customHeight="1" x14ac:dyDescent="0.25"/>
    <row r="10058" ht="15" customHeight="1" x14ac:dyDescent="0.25"/>
    <row r="10060" ht="15" customHeight="1" x14ac:dyDescent="0.25"/>
    <row r="10062" ht="15" customHeight="1" x14ac:dyDescent="0.25"/>
    <row r="10064" ht="15" customHeight="1" x14ac:dyDescent="0.25"/>
    <row r="10066" ht="15" customHeight="1" x14ac:dyDescent="0.25"/>
    <row r="10068" ht="15" customHeight="1" x14ac:dyDescent="0.25"/>
    <row r="10070" ht="15" customHeight="1" x14ac:dyDescent="0.25"/>
    <row r="10072" ht="15" customHeight="1" x14ac:dyDescent="0.25"/>
    <row r="10074" ht="15" customHeight="1" x14ac:dyDescent="0.25"/>
    <row r="10076" ht="15" customHeight="1" x14ac:dyDescent="0.25"/>
    <row r="10078" ht="15" customHeight="1" x14ac:dyDescent="0.25"/>
    <row r="10080" ht="15" customHeight="1" x14ac:dyDescent="0.25"/>
    <row r="10082" ht="15" customHeight="1" x14ac:dyDescent="0.25"/>
    <row r="10084" ht="15" customHeight="1" x14ac:dyDescent="0.25"/>
    <row r="10086" ht="15" customHeight="1" x14ac:dyDescent="0.25"/>
    <row r="10088" ht="15" customHeight="1" x14ac:dyDescent="0.25"/>
    <row r="10090" ht="15" customHeight="1" x14ac:dyDescent="0.25"/>
    <row r="10092" ht="15" customHeight="1" x14ac:dyDescent="0.25"/>
    <row r="10094" ht="15" customHeight="1" x14ac:dyDescent="0.25"/>
    <row r="10096" ht="15" customHeight="1" x14ac:dyDescent="0.25"/>
    <row r="10098" ht="15" customHeight="1" x14ac:dyDescent="0.25"/>
    <row r="10100" ht="15" customHeight="1" x14ac:dyDescent="0.25"/>
    <row r="10102" ht="15" customHeight="1" x14ac:dyDescent="0.25"/>
    <row r="10104" ht="15" customHeight="1" x14ac:dyDescent="0.25"/>
    <row r="10106" ht="15" customHeight="1" x14ac:dyDescent="0.25"/>
    <row r="10108" ht="15" customHeight="1" x14ac:dyDescent="0.25"/>
    <row r="10110" ht="15" customHeight="1" x14ac:dyDescent="0.25"/>
    <row r="10112" ht="15" customHeight="1" x14ac:dyDescent="0.25"/>
    <row r="10114" ht="15" customHeight="1" x14ac:dyDescent="0.25"/>
    <row r="10116" ht="15" customHeight="1" x14ac:dyDescent="0.25"/>
    <row r="10118" ht="15" customHeight="1" x14ac:dyDescent="0.25"/>
    <row r="10120" ht="15" customHeight="1" x14ac:dyDescent="0.25"/>
    <row r="10122" ht="15" customHeight="1" x14ac:dyDescent="0.25"/>
    <row r="10124" ht="15" customHeight="1" x14ac:dyDescent="0.25"/>
    <row r="10126" ht="15" customHeight="1" x14ac:dyDescent="0.25"/>
    <row r="10128" ht="15" customHeight="1" x14ac:dyDescent="0.25"/>
    <row r="10130" ht="15" customHeight="1" x14ac:dyDescent="0.25"/>
    <row r="10132" ht="15" customHeight="1" x14ac:dyDescent="0.25"/>
    <row r="10134" ht="15" customHeight="1" x14ac:dyDescent="0.25"/>
    <row r="10136" ht="15" customHeight="1" x14ac:dyDescent="0.25"/>
    <row r="10138" ht="15" customHeight="1" x14ac:dyDescent="0.25"/>
    <row r="10140" ht="15" customHeight="1" x14ac:dyDescent="0.25"/>
    <row r="10142" ht="15" customHeight="1" x14ac:dyDescent="0.25"/>
    <row r="10144" ht="15" customHeight="1" x14ac:dyDescent="0.25"/>
    <row r="10146" ht="15" customHeight="1" x14ac:dyDescent="0.25"/>
    <row r="10148" ht="15" customHeight="1" x14ac:dyDescent="0.25"/>
    <row r="10150" ht="15" customHeight="1" x14ac:dyDescent="0.25"/>
    <row r="10152" ht="15" customHeight="1" x14ac:dyDescent="0.25"/>
    <row r="10154" ht="15" customHeight="1" x14ac:dyDescent="0.25"/>
    <row r="10156" ht="15" customHeight="1" x14ac:dyDescent="0.25"/>
    <row r="10158" ht="15" customHeight="1" x14ac:dyDescent="0.25"/>
    <row r="10160" ht="15" customHeight="1" x14ac:dyDescent="0.25"/>
    <row r="10162" ht="15" customHeight="1" x14ac:dyDescent="0.25"/>
    <row r="10164" ht="15" customHeight="1" x14ac:dyDescent="0.25"/>
    <row r="10166" ht="15" customHeight="1" x14ac:dyDescent="0.25"/>
    <row r="10168" ht="15" customHeight="1" x14ac:dyDescent="0.25"/>
    <row r="10170" ht="15" customHeight="1" x14ac:dyDescent="0.25"/>
    <row r="10172" ht="15" customHeight="1" x14ac:dyDescent="0.25"/>
    <row r="10174" ht="15" customHeight="1" x14ac:dyDescent="0.25"/>
    <row r="10176" ht="15" customHeight="1" x14ac:dyDescent="0.25"/>
    <row r="10178" ht="15" customHeight="1" x14ac:dyDescent="0.25"/>
    <row r="10180" ht="15" customHeight="1" x14ac:dyDescent="0.25"/>
    <row r="10182" ht="15" customHeight="1" x14ac:dyDescent="0.25"/>
    <row r="10184" ht="15" customHeight="1" x14ac:dyDescent="0.25"/>
    <row r="10186" ht="15" customHeight="1" x14ac:dyDescent="0.25"/>
    <row r="10188" ht="15" customHeight="1" x14ac:dyDescent="0.25"/>
    <row r="10190" ht="15" customHeight="1" x14ac:dyDescent="0.25"/>
    <row r="10192" ht="15" customHeight="1" x14ac:dyDescent="0.25"/>
    <row r="10194" ht="15" customHeight="1" x14ac:dyDescent="0.25"/>
    <row r="10196" ht="15" customHeight="1" x14ac:dyDescent="0.25"/>
    <row r="10198" ht="15" customHeight="1" x14ac:dyDescent="0.25"/>
    <row r="10200" ht="15" customHeight="1" x14ac:dyDescent="0.25"/>
    <row r="10202" ht="15" customHeight="1" x14ac:dyDescent="0.25"/>
    <row r="10204" ht="15" customHeight="1" x14ac:dyDescent="0.25"/>
    <row r="10206" ht="15" customHeight="1" x14ac:dyDescent="0.25"/>
    <row r="10208" ht="15" customHeight="1" x14ac:dyDescent="0.25"/>
    <row r="10210" ht="15" customHeight="1" x14ac:dyDescent="0.25"/>
    <row r="10212" ht="15" customHeight="1" x14ac:dyDescent="0.25"/>
    <row r="10214" ht="15" customHeight="1" x14ac:dyDescent="0.25"/>
    <row r="10216" ht="15" customHeight="1" x14ac:dyDescent="0.25"/>
    <row r="10218" ht="15" customHeight="1" x14ac:dyDescent="0.25"/>
    <row r="10220" ht="15" customHeight="1" x14ac:dyDescent="0.25"/>
    <row r="10222" ht="15" customHeight="1" x14ac:dyDescent="0.25"/>
    <row r="10224" ht="15" customHeight="1" x14ac:dyDescent="0.25"/>
    <row r="10226" ht="15" customHeight="1" x14ac:dyDescent="0.25"/>
    <row r="10228" ht="15" customHeight="1" x14ac:dyDescent="0.25"/>
    <row r="10230" ht="15" customHeight="1" x14ac:dyDescent="0.25"/>
    <row r="10232" ht="15" customHeight="1" x14ac:dyDescent="0.25"/>
    <row r="10234" ht="15" customHeight="1" x14ac:dyDescent="0.25"/>
    <row r="10236" ht="15" customHeight="1" x14ac:dyDescent="0.25"/>
    <row r="10238" ht="15" customHeight="1" x14ac:dyDescent="0.25"/>
    <row r="10240" ht="15" customHeight="1" x14ac:dyDescent="0.25"/>
    <row r="10242" ht="15" customHeight="1" x14ac:dyDescent="0.25"/>
    <row r="10244" ht="15" customHeight="1" x14ac:dyDescent="0.25"/>
    <row r="10246" ht="15" customHeight="1" x14ac:dyDescent="0.25"/>
    <row r="10248" ht="15" customHeight="1" x14ac:dyDescent="0.25"/>
    <row r="10250" ht="15" customHeight="1" x14ac:dyDescent="0.25"/>
    <row r="10252" ht="15" customHeight="1" x14ac:dyDescent="0.25"/>
    <row r="10254" ht="15" customHeight="1" x14ac:dyDescent="0.25"/>
    <row r="10256" ht="15" customHeight="1" x14ac:dyDescent="0.25"/>
    <row r="10258" ht="15" customHeight="1" x14ac:dyDescent="0.25"/>
    <row r="10260" ht="15" customHeight="1" x14ac:dyDescent="0.25"/>
    <row r="10262" ht="15" customHeight="1" x14ac:dyDescent="0.25"/>
    <row r="10264" ht="15" customHeight="1" x14ac:dyDescent="0.25"/>
    <row r="10266" ht="15" customHeight="1" x14ac:dyDescent="0.25"/>
    <row r="10268" ht="15" customHeight="1" x14ac:dyDescent="0.25"/>
    <row r="10270" ht="15" customHeight="1" x14ac:dyDescent="0.25"/>
    <row r="10272" ht="15" customHeight="1" x14ac:dyDescent="0.25"/>
    <row r="10274" ht="15" customHeight="1" x14ac:dyDescent="0.25"/>
    <row r="10276" ht="15" customHeight="1" x14ac:dyDescent="0.25"/>
    <row r="10278" ht="15" customHeight="1" x14ac:dyDescent="0.25"/>
    <row r="10280" ht="15" customHeight="1" x14ac:dyDescent="0.25"/>
    <row r="10282" ht="15" customHeight="1" x14ac:dyDescent="0.25"/>
    <row r="10284" ht="15" customHeight="1" x14ac:dyDescent="0.25"/>
    <row r="10286" ht="15" customHeight="1" x14ac:dyDescent="0.25"/>
    <row r="10288" ht="15" customHeight="1" x14ac:dyDescent="0.25"/>
    <row r="10290" ht="15" customHeight="1" x14ac:dyDescent="0.25"/>
    <row r="10292" ht="15" customHeight="1" x14ac:dyDescent="0.25"/>
    <row r="10294" ht="15" customHeight="1" x14ac:dyDescent="0.25"/>
    <row r="10296" ht="15" customHeight="1" x14ac:dyDescent="0.25"/>
    <row r="10298" ht="15" customHeight="1" x14ac:dyDescent="0.25"/>
    <row r="10300" ht="15" customHeight="1" x14ac:dyDescent="0.25"/>
    <row r="10302" ht="15" customHeight="1" x14ac:dyDescent="0.25"/>
    <row r="10304" ht="15" customHeight="1" x14ac:dyDescent="0.25"/>
    <row r="10306" ht="15" customHeight="1" x14ac:dyDescent="0.25"/>
    <row r="10308" ht="15" customHeight="1" x14ac:dyDescent="0.25"/>
    <row r="10310" ht="15" customHeight="1" x14ac:dyDescent="0.25"/>
    <row r="10312" ht="15" customHeight="1" x14ac:dyDescent="0.25"/>
    <row r="10314" ht="15" customHeight="1" x14ac:dyDescent="0.25"/>
    <row r="10316" ht="15" customHeight="1" x14ac:dyDescent="0.25"/>
    <row r="10318" ht="15" customHeight="1" x14ac:dyDescent="0.25"/>
    <row r="10320" ht="15" customHeight="1" x14ac:dyDescent="0.25"/>
    <row r="10322" ht="15" customHeight="1" x14ac:dyDescent="0.25"/>
    <row r="10324" ht="15" customHeight="1" x14ac:dyDescent="0.25"/>
    <row r="10326" ht="15" customHeight="1" x14ac:dyDescent="0.25"/>
    <row r="10328" ht="15" customHeight="1" x14ac:dyDescent="0.25"/>
    <row r="10330" ht="15" customHeight="1" x14ac:dyDescent="0.25"/>
    <row r="10332" ht="15" customHeight="1" x14ac:dyDescent="0.25"/>
    <row r="10334" ht="15" customHeight="1" x14ac:dyDescent="0.25"/>
    <row r="10336" ht="15" customHeight="1" x14ac:dyDescent="0.25"/>
    <row r="10338" ht="15" customHeight="1" x14ac:dyDescent="0.25"/>
    <row r="10340" ht="15" customHeight="1" x14ac:dyDescent="0.25"/>
    <row r="10342" ht="15" customHeight="1" x14ac:dyDescent="0.25"/>
    <row r="10344" ht="15" customHeight="1" x14ac:dyDescent="0.25"/>
    <row r="10346" ht="15" customHeight="1" x14ac:dyDescent="0.25"/>
    <row r="10348" ht="15" customHeight="1" x14ac:dyDescent="0.25"/>
    <row r="10350" ht="15" customHeight="1" x14ac:dyDescent="0.25"/>
    <row r="10352" ht="15" customHeight="1" x14ac:dyDescent="0.25"/>
    <row r="10354" ht="15" customHeight="1" x14ac:dyDescent="0.25"/>
    <row r="10356" ht="15" customHeight="1" x14ac:dyDescent="0.25"/>
    <row r="10358" ht="15" customHeight="1" x14ac:dyDescent="0.25"/>
    <row r="10360" ht="15" customHeight="1" x14ac:dyDescent="0.25"/>
    <row r="10362" ht="15" customHeight="1" x14ac:dyDescent="0.25"/>
    <row r="10364" ht="15" customHeight="1" x14ac:dyDescent="0.25"/>
    <row r="10366" ht="15" customHeight="1" x14ac:dyDescent="0.25"/>
    <row r="10368" ht="15" customHeight="1" x14ac:dyDescent="0.25"/>
    <row r="10370" ht="15" customHeight="1" x14ac:dyDescent="0.25"/>
    <row r="10372" ht="15" customHeight="1" x14ac:dyDescent="0.25"/>
    <row r="10374" ht="15" customHeight="1" x14ac:dyDescent="0.25"/>
    <row r="10376" ht="15" customHeight="1" x14ac:dyDescent="0.25"/>
    <row r="10378" ht="15" customHeight="1" x14ac:dyDescent="0.25"/>
    <row r="10380" ht="15" customHeight="1" x14ac:dyDescent="0.25"/>
    <row r="10382" ht="15" customHeight="1" x14ac:dyDescent="0.25"/>
    <row r="10384" ht="15" customHeight="1" x14ac:dyDescent="0.25"/>
    <row r="10386" ht="15" customHeight="1" x14ac:dyDescent="0.25"/>
    <row r="10388" ht="15" customHeight="1" x14ac:dyDescent="0.25"/>
    <row r="10390" ht="15" customHeight="1" x14ac:dyDescent="0.25"/>
    <row r="10392" ht="15" customHeight="1" x14ac:dyDescent="0.25"/>
    <row r="10394" ht="15" customHeight="1" x14ac:dyDescent="0.25"/>
    <row r="10396" ht="15" customHeight="1" x14ac:dyDescent="0.25"/>
    <row r="10398" ht="15" customHeight="1" x14ac:dyDescent="0.25"/>
    <row r="10400" ht="15" customHeight="1" x14ac:dyDescent="0.25"/>
    <row r="10402" ht="15" customHeight="1" x14ac:dyDescent="0.25"/>
    <row r="10404" ht="15" customHeight="1" x14ac:dyDescent="0.25"/>
    <row r="10406" ht="15" customHeight="1" x14ac:dyDescent="0.25"/>
    <row r="10408" ht="15" customHeight="1" x14ac:dyDescent="0.25"/>
    <row r="10410" ht="15" customHeight="1" x14ac:dyDescent="0.25"/>
    <row r="10412" ht="15" customHeight="1" x14ac:dyDescent="0.25"/>
    <row r="10414" ht="15" customHeight="1" x14ac:dyDescent="0.25"/>
    <row r="10416" ht="15" customHeight="1" x14ac:dyDescent="0.25"/>
    <row r="10418" ht="15" customHeight="1" x14ac:dyDescent="0.25"/>
    <row r="10420" ht="15" customHeight="1" x14ac:dyDescent="0.25"/>
    <row r="10422" ht="15" customHeight="1" x14ac:dyDescent="0.25"/>
    <row r="10424" ht="15" customHeight="1" x14ac:dyDescent="0.25"/>
    <row r="10426" ht="15" customHeight="1" x14ac:dyDescent="0.25"/>
    <row r="10428" ht="15" customHeight="1" x14ac:dyDescent="0.25"/>
    <row r="10430" ht="15" customHeight="1" x14ac:dyDescent="0.25"/>
    <row r="10432" ht="15" customHeight="1" x14ac:dyDescent="0.25"/>
    <row r="10434" ht="15" customHeight="1" x14ac:dyDescent="0.25"/>
    <row r="10436" ht="15" customHeight="1" x14ac:dyDescent="0.25"/>
    <row r="10438" ht="15" customHeight="1" x14ac:dyDescent="0.25"/>
    <row r="10440" ht="15" customHeight="1" x14ac:dyDescent="0.25"/>
    <row r="10442" ht="15" customHeight="1" x14ac:dyDescent="0.25"/>
    <row r="10444" ht="15" customHeight="1" x14ac:dyDescent="0.25"/>
    <row r="10446" ht="15" customHeight="1" x14ac:dyDescent="0.25"/>
    <row r="10448" ht="15" customHeight="1" x14ac:dyDescent="0.25"/>
    <row r="10450" ht="15" customHeight="1" x14ac:dyDescent="0.25"/>
    <row r="10452" ht="15" customHeight="1" x14ac:dyDescent="0.25"/>
    <row r="10454" ht="15" customHeight="1" x14ac:dyDescent="0.25"/>
    <row r="10456" ht="15" customHeight="1" x14ac:dyDescent="0.25"/>
    <row r="10458" ht="15" customHeight="1" x14ac:dyDescent="0.25"/>
    <row r="10460" ht="15" customHeight="1" x14ac:dyDescent="0.25"/>
    <row r="10462" ht="15" customHeight="1" x14ac:dyDescent="0.25"/>
    <row r="10464" ht="15" customHeight="1" x14ac:dyDescent="0.25"/>
    <row r="10466" ht="15" customHeight="1" x14ac:dyDescent="0.25"/>
    <row r="10468" ht="15" customHeight="1" x14ac:dyDescent="0.25"/>
    <row r="10470" ht="15" customHeight="1" x14ac:dyDescent="0.25"/>
    <row r="10472" ht="15" customHeight="1" x14ac:dyDescent="0.25"/>
    <row r="10474" ht="15" customHeight="1" x14ac:dyDescent="0.25"/>
    <row r="10476" ht="15" customHeight="1" x14ac:dyDescent="0.25"/>
    <row r="10478" ht="15" customHeight="1" x14ac:dyDescent="0.25"/>
    <row r="10480" ht="15" customHeight="1" x14ac:dyDescent="0.25"/>
    <row r="10482" ht="15" customHeight="1" x14ac:dyDescent="0.25"/>
    <row r="10484" ht="15" customHeight="1" x14ac:dyDescent="0.25"/>
    <row r="10486" ht="15" customHeight="1" x14ac:dyDescent="0.25"/>
    <row r="10488" ht="15" customHeight="1" x14ac:dyDescent="0.25"/>
    <row r="10490" ht="15" customHeight="1" x14ac:dyDescent="0.25"/>
    <row r="10492" ht="15" customHeight="1" x14ac:dyDescent="0.25"/>
    <row r="10494" ht="15" customHeight="1" x14ac:dyDescent="0.25"/>
    <row r="10496" ht="15" customHeight="1" x14ac:dyDescent="0.25"/>
    <row r="10498" ht="15" customHeight="1" x14ac:dyDescent="0.25"/>
    <row r="10500" ht="15" customHeight="1" x14ac:dyDescent="0.25"/>
    <row r="10502" ht="15" customHeight="1" x14ac:dyDescent="0.25"/>
    <row r="10504" ht="15" customHeight="1" x14ac:dyDescent="0.25"/>
    <row r="10506" ht="15" customHeight="1" x14ac:dyDescent="0.25"/>
    <row r="10508" ht="15" customHeight="1" x14ac:dyDescent="0.25"/>
    <row r="10510" ht="15" customHeight="1" x14ac:dyDescent="0.25"/>
    <row r="10512" ht="15" customHeight="1" x14ac:dyDescent="0.25"/>
    <row r="10514" ht="15" customHeight="1" x14ac:dyDescent="0.25"/>
    <row r="10516" ht="15" customHeight="1" x14ac:dyDescent="0.25"/>
    <row r="10518" ht="15" customHeight="1" x14ac:dyDescent="0.25"/>
    <row r="10520" ht="15" customHeight="1" x14ac:dyDescent="0.25"/>
    <row r="10522" ht="15" customHeight="1" x14ac:dyDescent="0.25"/>
    <row r="10524" ht="15" customHeight="1" x14ac:dyDescent="0.25"/>
    <row r="10526" ht="15" customHeight="1" x14ac:dyDescent="0.25"/>
    <row r="10528" ht="15" customHeight="1" x14ac:dyDescent="0.25"/>
    <row r="10530" ht="15" customHeight="1" x14ac:dyDescent="0.25"/>
    <row r="10532" ht="15" customHeight="1" x14ac:dyDescent="0.25"/>
    <row r="10534" ht="15" customHeight="1" x14ac:dyDescent="0.25"/>
    <row r="10536" ht="15" customHeight="1" x14ac:dyDescent="0.25"/>
    <row r="10538" ht="15" customHeight="1" x14ac:dyDescent="0.25"/>
    <row r="10540" ht="15" customHeight="1" x14ac:dyDescent="0.25"/>
    <row r="10542" ht="15" customHeight="1" x14ac:dyDescent="0.25"/>
    <row r="10544" ht="15" customHeight="1" x14ac:dyDescent="0.25"/>
    <row r="10546" ht="15" customHeight="1" x14ac:dyDescent="0.25"/>
    <row r="10548" ht="15" customHeight="1" x14ac:dyDescent="0.25"/>
    <row r="10550" ht="15" customHeight="1" x14ac:dyDescent="0.25"/>
    <row r="10552" ht="15" customHeight="1" x14ac:dyDescent="0.25"/>
    <row r="10554" ht="15" customHeight="1" x14ac:dyDescent="0.25"/>
    <row r="10556" ht="15" customHeight="1" x14ac:dyDescent="0.25"/>
    <row r="10558" ht="15" customHeight="1" x14ac:dyDescent="0.25"/>
    <row r="10560" ht="15" customHeight="1" x14ac:dyDescent="0.25"/>
    <row r="10562" ht="15" customHeight="1" x14ac:dyDescent="0.25"/>
    <row r="10564" ht="15" customHeight="1" x14ac:dyDescent="0.25"/>
    <row r="10566" ht="15" customHeight="1" x14ac:dyDescent="0.25"/>
    <row r="10568" ht="15" customHeight="1" x14ac:dyDescent="0.25"/>
    <row r="10570" ht="15" customHeight="1" x14ac:dyDescent="0.25"/>
    <row r="10572" ht="15" customHeight="1" x14ac:dyDescent="0.25"/>
    <row r="10574" ht="15" customHeight="1" x14ac:dyDescent="0.25"/>
    <row r="10576" ht="15" customHeight="1" x14ac:dyDescent="0.25"/>
    <row r="10578" ht="15" customHeight="1" x14ac:dyDescent="0.25"/>
    <row r="10580" ht="15" customHeight="1" x14ac:dyDescent="0.25"/>
    <row r="10582" ht="15" customHeight="1" x14ac:dyDescent="0.25"/>
    <row r="10584" ht="15" customHeight="1" x14ac:dyDescent="0.25"/>
    <row r="10586" ht="15" customHeight="1" x14ac:dyDescent="0.25"/>
    <row r="10588" ht="15" customHeight="1" x14ac:dyDescent="0.25"/>
    <row r="10590" ht="15" customHeight="1" x14ac:dyDescent="0.25"/>
    <row r="10592" ht="15" customHeight="1" x14ac:dyDescent="0.25"/>
    <row r="10594" ht="15" customHeight="1" x14ac:dyDescent="0.25"/>
    <row r="10596" ht="15" customHeight="1" x14ac:dyDescent="0.25"/>
    <row r="10598" ht="15" customHeight="1" x14ac:dyDescent="0.25"/>
    <row r="10600" ht="15" customHeight="1" x14ac:dyDescent="0.25"/>
    <row r="10602" ht="15" customHeight="1" x14ac:dyDescent="0.25"/>
    <row r="10604" ht="15" customHeight="1" x14ac:dyDescent="0.25"/>
    <row r="10606" ht="15" customHeight="1" x14ac:dyDescent="0.25"/>
    <row r="10608" ht="15" customHeight="1" x14ac:dyDescent="0.25"/>
    <row r="10610" ht="15" customHeight="1" x14ac:dyDescent="0.25"/>
    <row r="10612" ht="15" customHeight="1" x14ac:dyDescent="0.25"/>
    <row r="10614" ht="15" customHeight="1" x14ac:dyDescent="0.25"/>
    <row r="10616" ht="15" customHeight="1" x14ac:dyDescent="0.25"/>
    <row r="10618" ht="15" customHeight="1" x14ac:dyDescent="0.25"/>
    <row r="10620" ht="15" customHeight="1" x14ac:dyDescent="0.25"/>
    <row r="10622" ht="15" customHeight="1" x14ac:dyDescent="0.25"/>
    <row r="10624" ht="15" customHeight="1" x14ac:dyDescent="0.25"/>
    <row r="10626" ht="15" customHeight="1" x14ac:dyDescent="0.25"/>
    <row r="10628" ht="15" customHeight="1" x14ac:dyDescent="0.25"/>
    <row r="10630" ht="15" customHeight="1" x14ac:dyDescent="0.25"/>
    <row r="10632" ht="15" customHeight="1" x14ac:dyDescent="0.25"/>
    <row r="10634" ht="15" customHeight="1" x14ac:dyDescent="0.25"/>
    <row r="10636" ht="15" customHeight="1" x14ac:dyDescent="0.25"/>
    <row r="10638" ht="15" customHeight="1" x14ac:dyDescent="0.25"/>
    <row r="10640" ht="15" customHeight="1" x14ac:dyDescent="0.25"/>
    <row r="10642" ht="15" customHeight="1" x14ac:dyDescent="0.25"/>
    <row r="10644" ht="15" customHeight="1" x14ac:dyDescent="0.25"/>
    <row r="10646" ht="15" customHeight="1" x14ac:dyDescent="0.25"/>
    <row r="10648" ht="15" customHeight="1" x14ac:dyDescent="0.25"/>
    <row r="10650" ht="15" customHeight="1" x14ac:dyDescent="0.25"/>
    <row r="10652" ht="15" customHeight="1" x14ac:dyDescent="0.25"/>
    <row r="10654" ht="15" customHeight="1" x14ac:dyDescent="0.25"/>
    <row r="10656" ht="15" customHeight="1" x14ac:dyDescent="0.25"/>
    <row r="10658" ht="15" customHeight="1" x14ac:dyDescent="0.25"/>
    <row r="10660" ht="15" customHeight="1" x14ac:dyDescent="0.25"/>
    <row r="10662" ht="15" customHeight="1" x14ac:dyDescent="0.25"/>
    <row r="10664" ht="15" customHeight="1" x14ac:dyDescent="0.25"/>
    <row r="10666" ht="15" customHeight="1" x14ac:dyDescent="0.25"/>
    <row r="10668" ht="15" customHeight="1" x14ac:dyDescent="0.25"/>
    <row r="10670" ht="15" customHeight="1" x14ac:dyDescent="0.25"/>
    <row r="10672" ht="15" customHeight="1" x14ac:dyDescent="0.25"/>
    <row r="10674" ht="15" customHeight="1" x14ac:dyDescent="0.25"/>
    <row r="10676" ht="15" customHeight="1" x14ac:dyDescent="0.25"/>
    <row r="10678" ht="15" customHeight="1" x14ac:dyDescent="0.25"/>
    <row r="10680" ht="15" customHeight="1" x14ac:dyDescent="0.25"/>
    <row r="10682" ht="15" customHeight="1" x14ac:dyDescent="0.25"/>
    <row r="10684" ht="15" customHeight="1" x14ac:dyDescent="0.25"/>
    <row r="10686" ht="15" customHeight="1" x14ac:dyDescent="0.25"/>
    <row r="10688" ht="15" customHeight="1" x14ac:dyDescent="0.25"/>
    <row r="10690" ht="15" customHeight="1" x14ac:dyDescent="0.25"/>
    <row r="10692" ht="15" customHeight="1" x14ac:dyDescent="0.25"/>
    <row r="10694" ht="15" customHeight="1" x14ac:dyDescent="0.25"/>
    <row r="10696" ht="15" customHeight="1" x14ac:dyDescent="0.25"/>
    <row r="10698" ht="15" customHeight="1" x14ac:dyDescent="0.25"/>
    <row r="10700" ht="15" customHeight="1" x14ac:dyDescent="0.25"/>
    <row r="10702" ht="15" customHeight="1" x14ac:dyDescent="0.25"/>
    <row r="10704" ht="15" customHeight="1" x14ac:dyDescent="0.25"/>
    <row r="10706" ht="15" customHeight="1" x14ac:dyDescent="0.25"/>
    <row r="10708" ht="15" customHeight="1" x14ac:dyDescent="0.25"/>
    <row r="10710" ht="15" customHeight="1" x14ac:dyDescent="0.25"/>
    <row r="10712" ht="15" customHeight="1" x14ac:dyDescent="0.25"/>
    <row r="10714" ht="15" customHeight="1" x14ac:dyDescent="0.25"/>
    <row r="10716" ht="15" customHeight="1" x14ac:dyDescent="0.25"/>
    <row r="10718" ht="15" customHeight="1" x14ac:dyDescent="0.25"/>
    <row r="10720" ht="15" customHeight="1" x14ac:dyDescent="0.25"/>
    <row r="10722" ht="15" customHeight="1" x14ac:dyDescent="0.25"/>
    <row r="10724" ht="15" customHeight="1" x14ac:dyDescent="0.25"/>
    <row r="10726" ht="15" customHeight="1" x14ac:dyDescent="0.25"/>
    <row r="10728" ht="15" customHeight="1" x14ac:dyDescent="0.25"/>
    <row r="10730" ht="15" customHeight="1" x14ac:dyDescent="0.25"/>
    <row r="10732" ht="15" customHeight="1" x14ac:dyDescent="0.25"/>
    <row r="10734" ht="15" customHeight="1" x14ac:dyDescent="0.25"/>
    <row r="10736" ht="15" customHeight="1" x14ac:dyDescent="0.25"/>
    <row r="10738" ht="15" customHeight="1" x14ac:dyDescent="0.25"/>
    <row r="10740" ht="15" customHeight="1" x14ac:dyDescent="0.25"/>
    <row r="10742" ht="15" customHeight="1" x14ac:dyDescent="0.25"/>
    <row r="10744" ht="15" customHeight="1" x14ac:dyDescent="0.25"/>
    <row r="10746" ht="15" customHeight="1" x14ac:dyDescent="0.25"/>
    <row r="10748" ht="15" customHeight="1" x14ac:dyDescent="0.25"/>
    <row r="10750" ht="15" customHeight="1" x14ac:dyDescent="0.25"/>
    <row r="10752" ht="15" customHeight="1" x14ac:dyDescent="0.25"/>
    <row r="10754" ht="15" customHeight="1" x14ac:dyDescent="0.25"/>
    <row r="10756" ht="15" customHeight="1" x14ac:dyDescent="0.25"/>
    <row r="10758" ht="15" customHeight="1" x14ac:dyDescent="0.25"/>
    <row r="10760" ht="15" customHeight="1" x14ac:dyDescent="0.25"/>
    <row r="10762" ht="15" customHeight="1" x14ac:dyDescent="0.25"/>
    <row r="10764" ht="15" customHeight="1" x14ac:dyDescent="0.25"/>
    <row r="10766" ht="15" customHeight="1" x14ac:dyDescent="0.25"/>
    <row r="10768" ht="15" customHeight="1" x14ac:dyDescent="0.25"/>
    <row r="10770" ht="15" customHeight="1" x14ac:dyDescent="0.25"/>
    <row r="10772" ht="15" customHeight="1" x14ac:dyDescent="0.25"/>
    <row r="10774" ht="15" customHeight="1" x14ac:dyDescent="0.25"/>
    <row r="10776" ht="15" customHeight="1" x14ac:dyDescent="0.25"/>
    <row r="10778" ht="15" customHeight="1" x14ac:dyDescent="0.25"/>
    <row r="10780" ht="15" customHeight="1" x14ac:dyDescent="0.25"/>
    <row r="10782" ht="15" customHeight="1" x14ac:dyDescent="0.25"/>
    <row r="10784" ht="15" customHeight="1" x14ac:dyDescent="0.25"/>
    <row r="10786" ht="15" customHeight="1" x14ac:dyDescent="0.25"/>
    <row r="10788" ht="15" customHeight="1" x14ac:dyDescent="0.25"/>
    <row r="10790" ht="15" customHeight="1" x14ac:dyDescent="0.25"/>
    <row r="10792" ht="15" customHeight="1" x14ac:dyDescent="0.25"/>
    <row r="10794" ht="15" customHeight="1" x14ac:dyDescent="0.25"/>
    <row r="10796" ht="15" customHeight="1" x14ac:dyDescent="0.25"/>
    <row r="10798" ht="15" customHeight="1" x14ac:dyDescent="0.25"/>
    <row r="10800" ht="15" customHeight="1" x14ac:dyDescent="0.25"/>
    <row r="10802" ht="15" customHeight="1" x14ac:dyDescent="0.25"/>
    <row r="10804" ht="15" customHeight="1" x14ac:dyDescent="0.25"/>
    <row r="10806" ht="15" customHeight="1" x14ac:dyDescent="0.25"/>
    <row r="10808" ht="15" customHeight="1" x14ac:dyDescent="0.25"/>
    <row r="10810" ht="15" customHeight="1" x14ac:dyDescent="0.25"/>
    <row r="10812" ht="15" customHeight="1" x14ac:dyDescent="0.25"/>
    <row r="10814" ht="15" customHeight="1" x14ac:dyDescent="0.25"/>
    <row r="10816" ht="15" customHeight="1" x14ac:dyDescent="0.25"/>
    <row r="10818" ht="15" customHeight="1" x14ac:dyDescent="0.25"/>
    <row r="10820" ht="15" customHeight="1" x14ac:dyDescent="0.25"/>
    <row r="10822" ht="15" customHeight="1" x14ac:dyDescent="0.25"/>
    <row r="10824" ht="15" customHeight="1" x14ac:dyDescent="0.25"/>
    <row r="10826" ht="15" customHeight="1" x14ac:dyDescent="0.25"/>
    <row r="10828" ht="15" customHeight="1" x14ac:dyDescent="0.25"/>
    <row r="10830" ht="15" customHeight="1" x14ac:dyDescent="0.25"/>
    <row r="10832" ht="15" customHeight="1" x14ac:dyDescent="0.25"/>
    <row r="10834" ht="15" customHeight="1" x14ac:dyDescent="0.25"/>
    <row r="10836" ht="15" customHeight="1" x14ac:dyDescent="0.25"/>
    <row r="10838" ht="15" customHeight="1" x14ac:dyDescent="0.25"/>
    <row r="10840" ht="15" customHeight="1" x14ac:dyDescent="0.25"/>
    <row r="10842" ht="15" customHeight="1" x14ac:dyDescent="0.25"/>
    <row r="10844" ht="15" customHeight="1" x14ac:dyDescent="0.25"/>
    <row r="10846" ht="15" customHeight="1" x14ac:dyDescent="0.25"/>
    <row r="10848" ht="15" customHeight="1" x14ac:dyDescent="0.25"/>
    <row r="10850" ht="15" customHeight="1" x14ac:dyDescent="0.25"/>
    <row r="10852" ht="15" customHeight="1" x14ac:dyDescent="0.25"/>
    <row r="10854" ht="15" customHeight="1" x14ac:dyDescent="0.25"/>
    <row r="10856" ht="15" customHeight="1" x14ac:dyDescent="0.25"/>
    <row r="10858" ht="15" customHeight="1" x14ac:dyDescent="0.25"/>
    <row r="10860" ht="15" customHeight="1" x14ac:dyDescent="0.25"/>
    <row r="10862" ht="15" customHeight="1" x14ac:dyDescent="0.25"/>
    <row r="10864" ht="15" customHeight="1" x14ac:dyDescent="0.25"/>
    <row r="10866" ht="15" customHeight="1" x14ac:dyDescent="0.25"/>
    <row r="10868" ht="15" customHeight="1" x14ac:dyDescent="0.25"/>
    <row r="10870" ht="15" customHeight="1" x14ac:dyDescent="0.25"/>
    <row r="10872" ht="15" customHeight="1" x14ac:dyDescent="0.25"/>
    <row r="10874" ht="15" customHeight="1" x14ac:dyDescent="0.25"/>
    <row r="10876" ht="15" customHeight="1" x14ac:dyDescent="0.25"/>
    <row r="10878" ht="15" customHeight="1" x14ac:dyDescent="0.25"/>
    <row r="10880" ht="15" customHeight="1" x14ac:dyDescent="0.25"/>
    <row r="10882" ht="15" customHeight="1" x14ac:dyDescent="0.25"/>
    <row r="10884" ht="15" customHeight="1" x14ac:dyDescent="0.25"/>
    <row r="10886" ht="15" customHeight="1" x14ac:dyDescent="0.25"/>
    <row r="10888" ht="15" customHeight="1" x14ac:dyDescent="0.25"/>
    <row r="10890" ht="15" customHeight="1" x14ac:dyDescent="0.25"/>
    <row r="10892" ht="15" customHeight="1" x14ac:dyDescent="0.25"/>
    <row r="10894" ht="15" customHeight="1" x14ac:dyDescent="0.25"/>
    <row r="10896" ht="15" customHeight="1" x14ac:dyDescent="0.25"/>
    <row r="10898" ht="15" customHeight="1" x14ac:dyDescent="0.25"/>
    <row r="10900" ht="15" customHeight="1" x14ac:dyDescent="0.25"/>
    <row r="10902" ht="15" customHeight="1" x14ac:dyDescent="0.25"/>
    <row r="10904" ht="15" customHeight="1" x14ac:dyDescent="0.25"/>
    <row r="10906" ht="15" customHeight="1" x14ac:dyDescent="0.25"/>
    <row r="10908" ht="15" customHeight="1" x14ac:dyDescent="0.25"/>
    <row r="10910" ht="15" customHeight="1" x14ac:dyDescent="0.25"/>
    <row r="10912" ht="15" customHeight="1" x14ac:dyDescent="0.25"/>
    <row r="10914" ht="15" customHeight="1" x14ac:dyDescent="0.25"/>
    <row r="10916" ht="15" customHeight="1" x14ac:dyDescent="0.25"/>
    <row r="10918" ht="15" customHeight="1" x14ac:dyDescent="0.25"/>
    <row r="10920" ht="15" customHeight="1" x14ac:dyDescent="0.25"/>
    <row r="10922" ht="15" customHeight="1" x14ac:dyDescent="0.25"/>
    <row r="10924" ht="15" customHeight="1" x14ac:dyDescent="0.25"/>
    <row r="10926" ht="15" customHeight="1" x14ac:dyDescent="0.25"/>
    <row r="10928" ht="15" customHeight="1" x14ac:dyDescent="0.25"/>
    <row r="10930" ht="15" customHeight="1" x14ac:dyDescent="0.25"/>
    <row r="10932" ht="15" customHeight="1" x14ac:dyDescent="0.25"/>
    <row r="10934" ht="15" customHeight="1" x14ac:dyDescent="0.25"/>
    <row r="10936" ht="15" customHeight="1" x14ac:dyDescent="0.25"/>
    <row r="10938" ht="15" customHeight="1" x14ac:dyDescent="0.25"/>
    <row r="10940" ht="15" customHeight="1" x14ac:dyDescent="0.25"/>
    <row r="10942" ht="15" customHeight="1" x14ac:dyDescent="0.25"/>
    <row r="10944" ht="15" customHeight="1" x14ac:dyDescent="0.25"/>
    <row r="10946" ht="15" customHeight="1" x14ac:dyDescent="0.25"/>
    <row r="10948" ht="15" customHeight="1" x14ac:dyDescent="0.25"/>
    <row r="10950" ht="15" customHeight="1" x14ac:dyDescent="0.25"/>
    <row r="10952" ht="15" customHeight="1" x14ac:dyDescent="0.25"/>
    <row r="10954" ht="15" customHeight="1" x14ac:dyDescent="0.25"/>
    <row r="10956" ht="15" customHeight="1" x14ac:dyDescent="0.25"/>
    <row r="10958" ht="15" customHeight="1" x14ac:dyDescent="0.25"/>
    <row r="10960" ht="15" customHeight="1" x14ac:dyDescent="0.25"/>
    <row r="10962" ht="15" customHeight="1" x14ac:dyDescent="0.25"/>
    <row r="10964" ht="15" customHeight="1" x14ac:dyDescent="0.25"/>
    <row r="10966" ht="15" customHeight="1" x14ac:dyDescent="0.25"/>
    <row r="10968" ht="15" customHeight="1" x14ac:dyDescent="0.25"/>
    <row r="10970" ht="15" customHeight="1" x14ac:dyDescent="0.25"/>
    <row r="10972" ht="15" customHeight="1" x14ac:dyDescent="0.25"/>
    <row r="10974" ht="15" customHeight="1" x14ac:dyDescent="0.25"/>
    <row r="10976" ht="15" customHeight="1" x14ac:dyDescent="0.25"/>
    <row r="10978" ht="15" customHeight="1" x14ac:dyDescent="0.25"/>
    <row r="10980" ht="15" customHeight="1" x14ac:dyDescent="0.25"/>
    <row r="10982" ht="15" customHeight="1" x14ac:dyDescent="0.25"/>
    <row r="10984" ht="15" customHeight="1" x14ac:dyDescent="0.25"/>
    <row r="10986" ht="15" customHeight="1" x14ac:dyDescent="0.25"/>
    <row r="10988" ht="15" customHeight="1" x14ac:dyDescent="0.25"/>
    <row r="10990" ht="15" customHeight="1" x14ac:dyDescent="0.25"/>
    <row r="10992" ht="15" customHeight="1" x14ac:dyDescent="0.25"/>
    <row r="10994" ht="15" customHeight="1" x14ac:dyDescent="0.25"/>
    <row r="10996" ht="15" customHeight="1" x14ac:dyDescent="0.25"/>
    <row r="10998" ht="15" customHeight="1" x14ac:dyDescent="0.25"/>
    <row r="11000" ht="15" customHeight="1" x14ac:dyDescent="0.25"/>
    <row r="11002" ht="15" customHeight="1" x14ac:dyDescent="0.25"/>
    <row r="11004" ht="15" customHeight="1" x14ac:dyDescent="0.25"/>
    <row r="11006" ht="15" customHeight="1" x14ac:dyDescent="0.25"/>
    <row r="11008" ht="15" customHeight="1" x14ac:dyDescent="0.25"/>
    <row r="11010" ht="15" customHeight="1" x14ac:dyDescent="0.25"/>
    <row r="11012" ht="15" customHeight="1" x14ac:dyDescent="0.25"/>
    <row r="11014" ht="15" customHeight="1" x14ac:dyDescent="0.25"/>
    <row r="11016" ht="15" customHeight="1" x14ac:dyDescent="0.25"/>
    <row r="11018" ht="15" customHeight="1" x14ac:dyDescent="0.25"/>
    <row r="11020" ht="15" customHeight="1" x14ac:dyDescent="0.25"/>
    <row r="11022" ht="15" customHeight="1" x14ac:dyDescent="0.25"/>
    <row r="11024" ht="15" customHeight="1" x14ac:dyDescent="0.25"/>
    <row r="11026" ht="15" customHeight="1" x14ac:dyDescent="0.25"/>
    <row r="11028" ht="15" customHeight="1" x14ac:dyDescent="0.25"/>
    <row r="11030" ht="15" customHeight="1" x14ac:dyDescent="0.25"/>
    <row r="11032" ht="15" customHeight="1" x14ac:dyDescent="0.25"/>
    <row r="11034" ht="15" customHeight="1" x14ac:dyDescent="0.25"/>
    <row r="11036" ht="15" customHeight="1" x14ac:dyDescent="0.25"/>
    <row r="11038" ht="15" customHeight="1" x14ac:dyDescent="0.25"/>
    <row r="11040" ht="15" customHeight="1" x14ac:dyDescent="0.25"/>
    <row r="11042" ht="15" customHeight="1" x14ac:dyDescent="0.25"/>
    <row r="11044" ht="15" customHeight="1" x14ac:dyDescent="0.25"/>
    <row r="11046" ht="15" customHeight="1" x14ac:dyDescent="0.25"/>
    <row r="11048" ht="15" customHeight="1" x14ac:dyDescent="0.25"/>
    <row r="11050" ht="15" customHeight="1" x14ac:dyDescent="0.25"/>
    <row r="11052" ht="15" customHeight="1" x14ac:dyDescent="0.25"/>
    <row r="11054" ht="15" customHeight="1" x14ac:dyDescent="0.25"/>
    <row r="11056" ht="15" customHeight="1" x14ac:dyDescent="0.25"/>
    <row r="11058" ht="15" customHeight="1" x14ac:dyDescent="0.25"/>
    <row r="11060" ht="15" customHeight="1" x14ac:dyDescent="0.25"/>
    <row r="11062" ht="15" customHeight="1" x14ac:dyDescent="0.25"/>
    <row r="11064" ht="15" customHeight="1" x14ac:dyDescent="0.25"/>
    <row r="11066" ht="15" customHeight="1" x14ac:dyDescent="0.25"/>
    <row r="11068" ht="15" customHeight="1" x14ac:dyDescent="0.25"/>
    <row r="11070" ht="15" customHeight="1" x14ac:dyDescent="0.25"/>
    <row r="11072" ht="15" customHeight="1" x14ac:dyDescent="0.25"/>
    <row r="11074" ht="15" customHeight="1" x14ac:dyDescent="0.25"/>
    <row r="11076" ht="15" customHeight="1" x14ac:dyDescent="0.25"/>
    <row r="11078" ht="15" customHeight="1" x14ac:dyDescent="0.25"/>
    <row r="11080" ht="15" customHeight="1" x14ac:dyDescent="0.25"/>
    <row r="11082" ht="15" customHeight="1" x14ac:dyDescent="0.25"/>
    <row r="11084" ht="15" customHeight="1" x14ac:dyDescent="0.25"/>
    <row r="11086" ht="15" customHeight="1" x14ac:dyDescent="0.25"/>
    <row r="11088" ht="15" customHeight="1" x14ac:dyDescent="0.25"/>
    <row r="11090" ht="15" customHeight="1" x14ac:dyDescent="0.25"/>
    <row r="11092" ht="15" customHeight="1" x14ac:dyDescent="0.25"/>
    <row r="11094" ht="15" customHeight="1" x14ac:dyDescent="0.25"/>
    <row r="11096" ht="15" customHeight="1" x14ac:dyDescent="0.25"/>
    <row r="11098" ht="15" customHeight="1" x14ac:dyDescent="0.25"/>
    <row r="11100" ht="15" customHeight="1" x14ac:dyDescent="0.25"/>
    <row r="11102" ht="15" customHeight="1" x14ac:dyDescent="0.25"/>
    <row r="11104" ht="15" customHeight="1" x14ac:dyDescent="0.25"/>
    <row r="11106" ht="15" customHeight="1" x14ac:dyDescent="0.25"/>
    <row r="11108" ht="15" customHeight="1" x14ac:dyDescent="0.25"/>
    <row r="11110" ht="15" customHeight="1" x14ac:dyDescent="0.25"/>
    <row r="11112" ht="15" customHeight="1" x14ac:dyDescent="0.25"/>
    <row r="11114" ht="15" customHeight="1" x14ac:dyDescent="0.25"/>
    <row r="11116" ht="15" customHeight="1" x14ac:dyDescent="0.25"/>
    <row r="11118" ht="15" customHeight="1" x14ac:dyDescent="0.25"/>
    <row r="11120" ht="15" customHeight="1" x14ac:dyDescent="0.25"/>
    <row r="11122" ht="15" customHeight="1" x14ac:dyDescent="0.25"/>
    <row r="11124" ht="15" customHeight="1" x14ac:dyDescent="0.25"/>
    <row r="11126" ht="15" customHeight="1" x14ac:dyDescent="0.25"/>
    <row r="11128" ht="15" customHeight="1" x14ac:dyDescent="0.25"/>
    <row r="11130" ht="15" customHeight="1" x14ac:dyDescent="0.25"/>
    <row r="11132" ht="15" customHeight="1" x14ac:dyDescent="0.25"/>
    <row r="11134" ht="15" customHeight="1" x14ac:dyDescent="0.25"/>
    <row r="11136" ht="15" customHeight="1" x14ac:dyDescent="0.25"/>
    <row r="11138" ht="15" customHeight="1" x14ac:dyDescent="0.25"/>
    <row r="11140" ht="15" customHeight="1" x14ac:dyDescent="0.25"/>
    <row r="11142" ht="15" customHeight="1" x14ac:dyDescent="0.25"/>
    <row r="11144" ht="15" customHeight="1" x14ac:dyDescent="0.25"/>
    <row r="11146" ht="15" customHeight="1" x14ac:dyDescent="0.25"/>
    <row r="11148" ht="15" customHeight="1" x14ac:dyDescent="0.25"/>
    <row r="11150" ht="15" customHeight="1" x14ac:dyDescent="0.25"/>
    <row r="11152" ht="15" customHeight="1" x14ac:dyDescent="0.25"/>
    <row r="11154" ht="15" customHeight="1" x14ac:dyDescent="0.25"/>
    <row r="11156" ht="15" customHeight="1" x14ac:dyDescent="0.25"/>
    <row r="11158" ht="15" customHeight="1" x14ac:dyDescent="0.25"/>
    <row r="11160" ht="15" customHeight="1" x14ac:dyDescent="0.25"/>
    <row r="11162" ht="15" customHeight="1" x14ac:dyDescent="0.25"/>
    <row r="11164" ht="15" customHeight="1" x14ac:dyDescent="0.25"/>
    <row r="11166" ht="15" customHeight="1" x14ac:dyDescent="0.25"/>
    <row r="11168" ht="15" customHeight="1" x14ac:dyDescent="0.25"/>
    <row r="11170" ht="15" customHeight="1" x14ac:dyDescent="0.25"/>
    <row r="11172" ht="15" customHeight="1" x14ac:dyDescent="0.25"/>
    <row r="11174" ht="15" customHeight="1" x14ac:dyDescent="0.25"/>
    <row r="11176" ht="15" customHeight="1" x14ac:dyDescent="0.25"/>
    <row r="11178" ht="15" customHeight="1" x14ac:dyDescent="0.25"/>
    <row r="11180" ht="15" customHeight="1" x14ac:dyDescent="0.25"/>
    <row r="11182" ht="15" customHeight="1" x14ac:dyDescent="0.25"/>
    <row r="11184" ht="15" customHeight="1" x14ac:dyDescent="0.25"/>
    <row r="11186" ht="15" customHeight="1" x14ac:dyDescent="0.25"/>
    <row r="11188" ht="15" customHeight="1" x14ac:dyDescent="0.25"/>
    <row r="11190" ht="15" customHeight="1" x14ac:dyDescent="0.25"/>
    <row r="11192" ht="15" customHeight="1" x14ac:dyDescent="0.25"/>
    <row r="11194" ht="15" customHeight="1" x14ac:dyDescent="0.25"/>
    <row r="11196" ht="15" customHeight="1" x14ac:dyDescent="0.25"/>
    <row r="11198" ht="15" customHeight="1" x14ac:dyDescent="0.25"/>
    <row r="11200" ht="15" customHeight="1" x14ac:dyDescent="0.25"/>
    <row r="11202" ht="15" customHeight="1" x14ac:dyDescent="0.25"/>
    <row r="11204" ht="15" customHeight="1" x14ac:dyDescent="0.25"/>
    <row r="11206" ht="15" customHeight="1" x14ac:dyDescent="0.25"/>
    <row r="11208" ht="15" customHeight="1" x14ac:dyDescent="0.25"/>
    <row r="11210" ht="15" customHeight="1" x14ac:dyDescent="0.25"/>
    <row r="11212" ht="15" customHeight="1" x14ac:dyDescent="0.25"/>
    <row r="11214" ht="15" customHeight="1" x14ac:dyDescent="0.25"/>
    <row r="11216" ht="15" customHeight="1" x14ac:dyDescent="0.25"/>
    <row r="11218" ht="15" customHeight="1" x14ac:dyDescent="0.25"/>
    <row r="11220" ht="15" customHeight="1" x14ac:dyDescent="0.25"/>
    <row r="11222" ht="15" customHeight="1" x14ac:dyDescent="0.25"/>
    <row r="11224" ht="15" customHeight="1" x14ac:dyDescent="0.25"/>
    <row r="11226" ht="15" customHeight="1" x14ac:dyDescent="0.25"/>
    <row r="11228" ht="15" customHeight="1" x14ac:dyDescent="0.25"/>
    <row r="11230" ht="15" customHeight="1" x14ac:dyDescent="0.25"/>
    <row r="11232" ht="15" customHeight="1" x14ac:dyDescent="0.25"/>
    <row r="11234" ht="15" customHeight="1" x14ac:dyDescent="0.25"/>
    <row r="11236" ht="15" customHeight="1" x14ac:dyDescent="0.25"/>
    <row r="11238" ht="15" customHeight="1" x14ac:dyDescent="0.25"/>
    <row r="11240" ht="15" customHeight="1" x14ac:dyDescent="0.25"/>
    <row r="11242" ht="15" customHeight="1" x14ac:dyDescent="0.25"/>
    <row r="11244" ht="15" customHeight="1" x14ac:dyDescent="0.25"/>
    <row r="11246" ht="15" customHeight="1" x14ac:dyDescent="0.25"/>
    <row r="11248" ht="15" customHeight="1" x14ac:dyDescent="0.25"/>
    <row r="11250" ht="15" customHeight="1" x14ac:dyDescent="0.25"/>
    <row r="11252" ht="15" customHeight="1" x14ac:dyDescent="0.25"/>
    <row r="11254" ht="15" customHeight="1" x14ac:dyDescent="0.25"/>
    <row r="11256" ht="15" customHeight="1" x14ac:dyDescent="0.25"/>
    <row r="11258" ht="15" customHeight="1" x14ac:dyDescent="0.25"/>
    <row r="11260" ht="15" customHeight="1" x14ac:dyDescent="0.25"/>
    <row r="11262" ht="15" customHeight="1" x14ac:dyDescent="0.25"/>
    <row r="11264" ht="15" customHeight="1" x14ac:dyDescent="0.25"/>
    <row r="11266" ht="15" customHeight="1" x14ac:dyDescent="0.25"/>
    <row r="11268" ht="15" customHeight="1" x14ac:dyDescent="0.25"/>
    <row r="11270" ht="15" customHeight="1" x14ac:dyDescent="0.25"/>
    <row r="11272" ht="15" customHeight="1" x14ac:dyDescent="0.25"/>
    <row r="11274" ht="15" customHeight="1" x14ac:dyDescent="0.25"/>
    <row r="11276" ht="15" customHeight="1" x14ac:dyDescent="0.25"/>
    <row r="11278" ht="15" customHeight="1" x14ac:dyDescent="0.25"/>
    <row r="11280" ht="15" customHeight="1" x14ac:dyDescent="0.25"/>
    <row r="11282" ht="15" customHeight="1" x14ac:dyDescent="0.25"/>
    <row r="11284" ht="15" customHeight="1" x14ac:dyDescent="0.25"/>
    <row r="11286" ht="15" customHeight="1" x14ac:dyDescent="0.25"/>
    <row r="11288" ht="15" customHeight="1" x14ac:dyDescent="0.25"/>
    <row r="11290" ht="15" customHeight="1" x14ac:dyDescent="0.25"/>
    <row r="11292" ht="15" customHeight="1" x14ac:dyDescent="0.25"/>
    <row r="11294" ht="15" customHeight="1" x14ac:dyDescent="0.25"/>
    <row r="11296" ht="15" customHeight="1" x14ac:dyDescent="0.25"/>
    <row r="11298" ht="15" customHeight="1" x14ac:dyDescent="0.25"/>
    <row r="11300" ht="15" customHeight="1" x14ac:dyDescent="0.25"/>
    <row r="11302" ht="15" customHeight="1" x14ac:dyDescent="0.25"/>
    <row r="11304" ht="15" customHeight="1" x14ac:dyDescent="0.25"/>
    <row r="11306" ht="15" customHeight="1" x14ac:dyDescent="0.25"/>
    <row r="11308" ht="15" customHeight="1" x14ac:dyDescent="0.25"/>
    <row r="11310" ht="15" customHeight="1" x14ac:dyDescent="0.25"/>
    <row r="11312" ht="15" customHeight="1" x14ac:dyDescent="0.25"/>
    <row r="11314" ht="15" customHeight="1" x14ac:dyDescent="0.25"/>
    <row r="11316" ht="15" customHeight="1" x14ac:dyDescent="0.25"/>
    <row r="11318" ht="15" customHeight="1" x14ac:dyDescent="0.25"/>
    <row r="11320" ht="15" customHeight="1" x14ac:dyDescent="0.25"/>
    <row r="11322" ht="15" customHeight="1" x14ac:dyDescent="0.25"/>
    <row r="11324" ht="15" customHeight="1" x14ac:dyDescent="0.25"/>
    <row r="11326" ht="15" customHeight="1" x14ac:dyDescent="0.25"/>
    <row r="11328" ht="15" customHeight="1" x14ac:dyDescent="0.25"/>
    <row r="11330" ht="15" customHeight="1" x14ac:dyDescent="0.25"/>
    <row r="11332" ht="15" customHeight="1" x14ac:dyDescent="0.25"/>
    <row r="11334" ht="15" customHeight="1" x14ac:dyDescent="0.25"/>
    <row r="11336" ht="15" customHeight="1" x14ac:dyDescent="0.25"/>
    <row r="11338" ht="15" customHeight="1" x14ac:dyDescent="0.25"/>
    <row r="11340" ht="15" customHeight="1" x14ac:dyDescent="0.25"/>
    <row r="11342" ht="15" customHeight="1" x14ac:dyDescent="0.25"/>
    <row r="11344" ht="15" customHeight="1" x14ac:dyDescent="0.25"/>
    <row r="11346" ht="15" customHeight="1" x14ac:dyDescent="0.25"/>
    <row r="11348" ht="15" customHeight="1" x14ac:dyDescent="0.25"/>
    <row r="11350" ht="15" customHeight="1" x14ac:dyDescent="0.25"/>
    <row r="11352" ht="15" customHeight="1" x14ac:dyDescent="0.25"/>
    <row r="11354" ht="15" customHeight="1" x14ac:dyDescent="0.25"/>
    <row r="11356" ht="15" customHeight="1" x14ac:dyDescent="0.25"/>
    <row r="11358" ht="15" customHeight="1" x14ac:dyDescent="0.25"/>
    <row r="11360" ht="15" customHeight="1" x14ac:dyDescent="0.25"/>
    <row r="11362" ht="15" customHeight="1" x14ac:dyDescent="0.25"/>
    <row r="11364" ht="15" customHeight="1" x14ac:dyDescent="0.25"/>
    <row r="11366" ht="15" customHeight="1" x14ac:dyDescent="0.25"/>
    <row r="11368" ht="15" customHeight="1" x14ac:dyDescent="0.25"/>
    <row r="11370" ht="15" customHeight="1" x14ac:dyDescent="0.25"/>
    <row r="11372" ht="15" customHeight="1" x14ac:dyDescent="0.25"/>
    <row r="11374" ht="15" customHeight="1" x14ac:dyDescent="0.25"/>
    <row r="11376" ht="15" customHeight="1" x14ac:dyDescent="0.25"/>
    <row r="11378" ht="15" customHeight="1" x14ac:dyDescent="0.25"/>
    <row r="11380" ht="15" customHeight="1" x14ac:dyDescent="0.25"/>
    <row r="11382" ht="15" customHeight="1" x14ac:dyDescent="0.25"/>
    <row r="11384" ht="15" customHeight="1" x14ac:dyDescent="0.25"/>
    <row r="11386" ht="15" customHeight="1" x14ac:dyDescent="0.25"/>
    <row r="11388" ht="15" customHeight="1" x14ac:dyDescent="0.25"/>
    <row r="11390" ht="15" customHeight="1" x14ac:dyDescent="0.25"/>
    <row r="11392" ht="15" customHeight="1" x14ac:dyDescent="0.25"/>
    <row r="11394" ht="15" customHeight="1" x14ac:dyDescent="0.25"/>
    <row r="11396" ht="15" customHeight="1" x14ac:dyDescent="0.25"/>
    <row r="11398" ht="15" customHeight="1" x14ac:dyDescent="0.25"/>
    <row r="11400" ht="15" customHeight="1" x14ac:dyDescent="0.25"/>
    <row r="11402" ht="15" customHeight="1" x14ac:dyDescent="0.25"/>
    <row r="11404" ht="15" customHeight="1" x14ac:dyDescent="0.25"/>
    <row r="11406" ht="15" customHeight="1" x14ac:dyDescent="0.25"/>
    <row r="11408" ht="15" customHeight="1" x14ac:dyDescent="0.25"/>
    <row r="11410" ht="15" customHeight="1" x14ac:dyDescent="0.25"/>
    <row r="11412" ht="15" customHeight="1" x14ac:dyDescent="0.25"/>
    <row r="11414" ht="15" customHeight="1" x14ac:dyDescent="0.25"/>
    <row r="11416" ht="15" customHeight="1" x14ac:dyDescent="0.25"/>
    <row r="11418" ht="15" customHeight="1" x14ac:dyDescent="0.25"/>
    <row r="11420" ht="15" customHeight="1" x14ac:dyDescent="0.25"/>
    <row r="11422" ht="15" customHeight="1" x14ac:dyDescent="0.25"/>
    <row r="11424" ht="15" customHeight="1" x14ac:dyDescent="0.25"/>
    <row r="11426" ht="15" customHeight="1" x14ac:dyDescent="0.25"/>
    <row r="11428" ht="15" customHeight="1" x14ac:dyDescent="0.25"/>
    <row r="11430" ht="15" customHeight="1" x14ac:dyDescent="0.25"/>
    <row r="11432" ht="15" customHeight="1" x14ac:dyDescent="0.25"/>
    <row r="11434" ht="15" customHeight="1" x14ac:dyDescent="0.25"/>
    <row r="11436" ht="15" customHeight="1" x14ac:dyDescent="0.25"/>
    <row r="11438" ht="15" customHeight="1" x14ac:dyDescent="0.25"/>
    <row r="11440" ht="15" customHeight="1" x14ac:dyDescent="0.25"/>
    <row r="11442" ht="15" customHeight="1" x14ac:dyDescent="0.25"/>
    <row r="11444" ht="15" customHeight="1" x14ac:dyDescent="0.25"/>
    <row r="11446" ht="15" customHeight="1" x14ac:dyDescent="0.25"/>
    <row r="11448" ht="15" customHeight="1" x14ac:dyDescent="0.25"/>
    <row r="11450" ht="15" customHeight="1" x14ac:dyDescent="0.25"/>
    <row r="11452" ht="15" customHeight="1" x14ac:dyDescent="0.25"/>
    <row r="11454" ht="15" customHeight="1" x14ac:dyDescent="0.25"/>
    <row r="11456" ht="15" customHeight="1" x14ac:dyDescent="0.25"/>
    <row r="11458" ht="15" customHeight="1" x14ac:dyDescent="0.25"/>
    <row r="11460" ht="15" customHeight="1" x14ac:dyDescent="0.25"/>
    <row r="11462" ht="15" customHeight="1" x14ac:dyDescent="0.25"/>
    <row r="11464" ht="15" customHeight="1" x14ac:dyDescent="0.25"/>
    <row r="11466" ht="15" customHeight="1" x14ac:dyDescent="0.25"/>
    <row r="11468" ht="15" customHeight="1" x14ac:dyDescent="0.25"/>
    <row r="11470" ht="15" customHeight="1" x14ac:dyDescent="0.25"/>
    <row r="11472" ht="15" customHeight="1" x14ac:dyDescent="0.25"/>
    <row r="11474" ht="15" customHeight="1" x14ac:dyDescent="0.25"/>
    <row r="11476" ht="15" customHeight="1" x14ac:dyDescent="0.25"/>
    <row r="11478" ht="15" customHeight="1" x14ac:dyDescent="0.25"/>
    <row r="11480" ht="15" customHeight="1" x14ac:dyDescent="0.25"/>
    <row r="11482" ht="15" customHeight="1" x14ac:dyDescent="0.25"/>
    <row r="11484" ht="15" customHeight="1" x14ac:dyDescent="0.25"/>
    <row r="11486" ht="15" customHeight="1" x14ac:dyDescent="0.25"/>
    <row r="11488" ht="15" customHeight="1" x14ac:dyDescent="0.25"/>
    <row r="11490" ht="15" customHeight="1" x14ac:dyDescent="0.25"/>
    <row r="11492" ht="15" customHeight="1" x14ac:dyDescent="0.25"/>
    <row r="11494" ht="15" customHeight="1" x14ac:dyDescent="0.25"/>
    <row r="11496" ht="15" customHeight="1" x14ac:dyDescent="0.25"/>
    <row r="11498" ht="15" customHeight="1" x14ac:dyDescent="0.25"/>
    <row r="11500" ht="15" customHeight="1" x14ac:dyDescent="0.25"/>
    <row r="11502" ht="15" customHeight="1" x14ac:dyDescent="0.25"/>
    <row r="11504" ht="15" customHeight="1" x14ac:dyDescent="0.25"/>
    <row r="11506" ht="15" customHeight="1" x14ac:dyDescent="0.25"/>
    <row r="11508" ht="15" customHeight="1" x14ac:dyDescent="0.25"/>
    <row r="11510" ht="15" customHeight="1" x14ac:dyDescent="0.25"/>
    <row r="11512" ht="15" customHeight="1" x14ac:dyDescent="0.25"/>
    <row r="11514" ht="15" customHeight="1" x14ac:dyDescent="0.25"/>
    <row r="11516" ht="15" customHeight="1" x14ac:dyDescent="0.25"/>
    <row r="11518" ht="15" customHeight="1" x14ac:dyDescent="0.25"/>
    <row r="11520" ht="15" customHeight="1" x14ac:dyDescent="0.25"/>
    <row r="11522" ht="15" customHeight="1" x14ac:dyDescent="0.25"/>
    <row r="11524" ht="15" customHeight="1" x14ac:dyDescent="0.25"/>
    <row r="11526" ht="15" customHeight="1" x14ac:dyDescent="0.25"/>
    <row r="11528" ht="15" customHeight="1" x14ac:dyDescent="0.25"/>
    <row r="11530" ht="15" customHeight="1" x14ac:dyDescent="0.25"/>
    <row r="11532" ht="15" customHeight="1" x14ac:dyDescent="0.25"/>
    <row r="11534" ht="15" customHeight="1" x14ac:dyDescent="0.25"/>
    <row r="11536" ht="15" customHeight="1" x14ac:dyDescent="0.25"/>
    <row r="11538" ht="15" customHeight="1" x14ac:dyDescent="0.25"/>
    <row r="11540" ht="15" customHeight="1" x14ac:dyDescent="0.25"/>
    <row r="11542" ht="15" customHeight="1" x14ac:dyDescent="0.25"/>
    <row r="11544" ht="15" customHeight="1" x14ac:dyDescent="0.25"/>
    <row r="11546" ht="15" customHeight="1" x14ac:dyDescent="0.25"/>
    <row r="11548" ht="15" customHeight="1" x14ac:dyDescent="0.25"/>
    <row r="11550" ht="15" customHeight="1" x14ac:dyDescent="0.25"/>
    <row r="11552" ht="15" customHeight="1" x14ac:dyDescent="0.25"/>
    <row r="11554" ht="15" customHeight="1" x14ac:dyDescent="0.25"/>
    <row r="11556" ht="15" customHeight="1" x14ac:dyDescent="0.25"/>
    <row r="11558" ht="15" customHeight="1" x14ac:dyDescent="0.25"/>
    <row r="11560" ht="15" customHeight="1" x14ac:dyDescent="0.25"/>
    <row r="11562" ht="15" customHeight="1" x14ac:dyDescent="0.25"/>
    <row r="11564" ht="15" customHeight="1" x14ac:dyDescent="0.25"/>
    <row r="11566" ht="15" customHeight="1" x14ac:dyDescent="0.25"/>
    <row r="11568" ht="15" customHeight="1" x14ac:dyDescent="0.25"/>
    <row r="11570" ht="15" customHeight="1" x14ac:dyDescent="0.25"/>
    <row r="11572" ht="15" customHeight="1" x14ac:dyDescent="0.25"/>
    <row r="11574" ht="15" customHeight="1" x14ac:dyDescent="0.25"/>
    <row r="11576" ht="15" customHeight="1" x14ac:dyDescent="0.25"/>
    <row r="11578" ht="15" customHeight="1" x14ac:dyDescent="0.25"/>
    <row r="11580" ht="15" customHeight="1" x14ac:dyDescent="0.25"/>
    <row r="11582" ht="15" customHeight="1" x14ac:dyDescent="0.25"/>
    <row r="11584" ht="15" customHeight="1" x14ac:dyDescent="0.25"/>
    <row r="11586" ht="15" customHeight="1" x14ac:dyDescent="0.25"/>
    <row r="11588" ht="15" customHeight="1" x14ac:dyDescent="0.25"/>
    <row r="11590" ht="15" customHeight="1" x14ac:dyDescent="0.25"/>
    <row r="11592" ht="15" customHeight="1" x14ac:dyDescent="0.25"/>
    <row r="11594" ht="15" customHeight="1" x14ac:dyDescent="0.25"/>
    <row r="11596" ht="15" customHeight="1" x14ac:dyDescent="0.25"/>
    <row r="11598" ht="15" customHeight="1" x14ac:dyDescent="0.25"/>
    <row r="11600" ht="15" customHeight="1" x14ac:dyDescent="0.25"/>
    <row r="11602" ht="15" customHeight="1" x14ac:dyDescent="0.25"/>
    <row r="11604" ht="15" customHeight="1" x14ac:dyDescent="0.25"/>
    <row r="11606" ht="15" customHeight="1" x14ac:dyDescent="0.25"/>
    <row r="11608" ht="15" customHeight="1" x14ac:dyDescent="0.25"/>
    <row r="11610" ht="15" customHeight="1" x14ac:dyDescent="0.25"/>
    <row r="11612" ht="15" customHeight="1" x14ac:dyDescent="0.25"/>
    <row r="11614" ht="15" customHeight="1" x14ac:dyDescent="0.25"/>
    <row r="11616" ht="15" customHeight="1" x14ac:dyDescent="0.25"/>
    <row r="11618" ht="15" customHeight="1" x14ac:dyDescent="0.25"/>
    <row r="11620" ht="15" customHeight="1" x14ac:dyDescent="0.25"/>
    <row r="11622" ht="15" customHeight="1" x14ac:dyDescent="0.25"/>
    <row r="11624" ht="15" customHeight="1" x14ac:dyDescent="0.25"/>
    <row r="11626" ht="15" customHeight="1" x14ac:dyDescent="0.25"/>
    <row r="11628" ht="15" customHeight="1" x14ac:dyDescent="0.25"/>
    <row r="11630" ht="15" customHeight="1" x14ac:dyDescent="0.25"/>
    <row r="11632" ht="15" customHeight="1" x14ac:dyDescent="0.25"/>
    <row r="11634" ht="15" customHeight="1" x14ac:dyDescent="0.25"/>
    <row r="11636" ht="15" customHeight="1" x14ac:dyDescent="0.25"/>
    <row r="11638" ht="15" customHeight="1" x14ac:dyDescent="0.25"/>
    <row r="11640" ht="15" customHeight="1" x14ac:dyDescent="0.25"/>
    <row r="11642" ht="15" customHeight="1" x14ac:dyDescent="0.25"/>
    <row r="11644" ht="15" customHeight="1" x14ac:dyDescent="0.25"/>
    <row r="11646" ht="15" customHeight="1" x14ac:dyDescent="0.25"/>
    <row r="11648" ht="15" customHeight="1" x14ac:dyDescent="0.25"/>
    <row r="11650" ht="15" customHeight="1" x14ac:dyDescent="0.25"/>
    <row r="11652" ht="15" customHeight="1" x14ac:dyDescent="0.25"/>
    <row r="11654" ht="15" customHeight="1" x14ac:dyDescent="0.25"/>
    <row r="11656" ht="15" customHeight="1" x14ac:dyDescent="0.25"/>
    <row r="11658" ht="15" customHeight="1" x14ac:dyDescent="0.25"/>
    <row r="11660" ht="15" customHeight="1" x14ac:dyDescent="0.25"/>
    <row r="11662" ht="15" customHeight="1" x14ac:dyDescent="0.25"/>
    <row r="11664" ht="15" customHeight="1" x14ac:dyDescent="0.25"/>
    <row r="11666" ht="15" customHeight="1" x14ac:dyDescent="0.25"/>
    <row r="11668" ht="15" customHeight="1" x14ac:dyDescent="0.25"/>
    <row r="11670" ht="15" customHeight="1" x14ac:dyDescent="0.25"/>
    <row r="11672" ht="15" customHeight="1" x14ac:dyDescent="0.25"/>
    <row r="11674" ht="15" customHeight="1" x14ac:dyDescent="0.25"/>
    <row r="11676" ht="15" customHeight="1" x14ac:dyDescent="0.25"/>
    <row r="11678" ht="15" customHeight="1" x14ac:dyDescent="0.25"/>
    <row r="11680" ht="15" customHeight="1" x14ac:dyDescent="0.25"/>
    <row r="11682" ht="15" customHeight="1" x14ac:dyDescent="0.25"/>
    <row r="11684" ht="15" customHeight="1" x14ac:dyDescent="0.25"/>
    <row r="11686" ht="15" customHeight="1" x14ac:dyDescent="0.25"/>
    <row r="11688" ht="15" customHeight="1" x14ac:dyDescent="0.25"/>
    <row r="11690" ht="15" customHeight="1" x14ac:dyDescent="0.25"/>
    <row r="11692" ht="15" customHeight="1" x14ac:dyDescent="0.25"/>
    <row r="11694" ht="15" customHeight="1" x14ac:dyDescent="0.25"/>
    <row r="11696" ht="15" customHeight="1" x14ac:dyDescent="0.25"/>
    <row r="11698" ht="15" customHeight="1" x14ac:dyDescent="0.25"/>
    <row r="11700" ht="15" customHeight="1" x14ac:dyDescent="0.25"/>
    <row r="11702" ht="15" customHeight="1" x14ac:dyDescent="0.25"/>
    <row r="11704" ht="15" customHeight="1" x14ac:dyDescent="0.25"/>
    <row r="11706" ht="15" customHeight="1" x14ac:dyDescent="0.25"/>
    <row r="11708" ht="15" customHeight="1" x14ac:dyDescent="0.25"/>
    <row r="11710" ht="15" customHeight="1" x14ac:dyDescent="0.25"/>
    <row r="11712" ht="15" customHeight="1" x14ac:dyDescent="0.25"/>
    <row r="11714" ht="15" customHeight="1" x14ac:dyDescent="0.25"/>
    <row r="11716" ht="15" customHeight="1" x14ac:dyDescent="0.25"/>
    <row r="11718" ht="15" customHeight="1" x14ac:dyDescent="0.25"/>
    <row r="11720" ht="15" customHeight="1" x14ac:dyDescent="0.25"/>
    <row r="11722" ht="15" customHeight="1" x14ac:dyDescent="0.25"/>
    <row r="11724" ht="15" customHeight="1" x14ac:dyDescent="0.25"/>
    <row r="11726" ht="15" customHeight="1" x14ac:dyDescent="0.25"/>
    <row r="11728" ht="15" customHeight="1" x14ac:dyDescent="0.25"/>
    <row r="11730" ht="15" customHeight="1" x14ac:dyDescent="0.25"/>
    <row r="11732" ht="15" customHeight="1" x14ac:dyDescent="0.25"/>
    <row r="11734" ht="15" customHeight="1" x14ac:dyDescent="0.25"/>
    <row r="11736" ht="15" customHeight="1" x14ac:dyDescent="0.25"/>
    <row r="11738" ht="15" customHeight="1" x14ac:dyDescent="0.25"/>
    <row r="11740" ht="15" customHeight="1" x14ac:dyDescent="0.25"/>
    <row r="11742" ht="15" customHeight="1" x14ac:dyDescent="0.25"/>
    <row r="11744" ht="15" customHeight="1" x14ac:dyDescent="0.25"/>
    <row r="11746" ht="15" customHeight="1" x14ac:dyDescent="0.25"/>
    <row r="11748" ht="15" customHeight="1" x14ac:dyDescent="0.25"/>
    <row r="11750" ht="15" customHeight="1" x14ac:dyDescent="0.25"/>
    <row r="11752" ht="15" customHeight="1" x14ac:dyDescent="0.25"/>
    <row r="11754" ht="15" customHeight="1" x14ac:dyDescent="0.25"/>
    <row r="11756" ht="15" customHeight="1" x14ac:dyDescent="0.25"/>
    <row r="11758" ht="15" customHeight="1" x14ac:dyDescent="0.25"/>
    <row r="11760" ht="15" customHeight="1" x14ac:dyDescent="0.25"/>
    <row r="11762" ht="15" customHeight="1" x14ac:dyDescent="0.25"/>
    <row r="11764" ht="15" customHeight="1" x14ac:dyDescent="0.25"/>
    <row r="11766" ht="15" customHeight="1" x14ac:dyDescent="0.25"/>
    <row r="11768" ht="15" customHeight="1" x14ac:dyDescent="0.25"/>
    <row r="11770" ht="15" customHeight="1" x14ac:dyDescent="0.25"/>
    <row r="11772" ht="15" customHeight="1" x14ac:dyDescent="0.25"/>
    <row r="11774" ht="15" customHeight="1" x14ac:dyDescent="0.25"/>
    <row r="11776" ht="15" customHeight="1" x14ac:dyDescent="0.25"/>
    <row r="11778" ht="15" customHeight="1" x14ac:dyDescent="0.25"/>
    <row r="11780" ht="15" customHeight="1" x14ac:dyDescent="0.25"/>
    <row r="11782" ht="15" customHeight="1" x14ac:dyDescent="0.25"/>
    <row r="11784" ht="15" customHeight="1" x14ac:dyDescent="0.25"/>
    <row r="11786" ht="15" customHeight="1" x14ac:dyDescent="0.25"/>
    <row r="11788" ht="15" customHeight="1" x14ac:dyDescent="0.25"/>
    <row r="11790" ht="15" customHeight="1" x14ac:dyDescent="0.25"/>
    <row r="11792" ht="15" customHeight="1" x14ac:dyDescent="0.25"/>
    <row r="11794" ht="15" customHeight="1" x14ac:dyDescent="0.25"/>
    <row r="11796" ht="15" customHeight="1" x14ac:dyDescent="0.25"/>
    <row r="11798" ht="15" customHeight="1" x14ac:dyDescent="0.25"/>
    <row r="11800" ht="15" customHeight="1" x14ac:dyDescent="0.25"/>
    <row r="11802" ht="15" customHeight="1" x14ac:dyDescent="0.25"/>
    <row r="11804" ht="15" customHeight="1" x14ac:dyDescent="0.25"/>
    <row r="11806" ht="15" customHeight="1" x14ac:dyDescent="0.25"/>
    <row r="11808" ht="15" customHeight="1" x14ac:dyDescent="0.25"/>
    <row r="11810" ht="15" customHeight="1" x14ac:dyDescent="0.25"/>
    <row r="11812" ht="15" customHeight="1" x14ac:dyDescent="0.25"/>
    <row r="11814" ht="15" customHeight="1" x14ac:dyDescent="0.25"/>
    <row r="11816" ht="15" customHeight="1" x14ac:dyDescent="0.25"/>
    <row r="11818" ht="15" customHeight="1" x14ac:dyDescent="0.25"/>
    <row r="11820" ht="15" customHeight="1" x14ac:dyDescent="0.25"/>
    <row r="11822" ht="15" customHeight="1" x14ac:dyDescent="0.25"/>
    <row r="11824" ht="15" customHeight="1" x14ac:dyDescent="0.25"/>
    <row r="11826" ht="15" customHeight="1" x14ac:dyDescent="0.25"/>
    <row r="11828" ht="15" customHeight="1" x14ac:dyDescent="0.25"/>
    <row r="11830" ht="15" customHeight="1" x14ac:dyDescent="0.25"/>
    <row r="11832" ht="15" customHeight="1" x14ac:dyDescent="0.25"/>
    <row r="11834" ht="15" customHeight="1" x14ac:dyDescent="0.25"/>
    <row r="11836" ht="15" customHeight="1" x14ac:dyDescent="0.25"/>
    <row r="11838" ht="15" customHeight="1" x14ac:dyDescent="0.25"/>
    <row r="11840" ht="15" customHeight="1" x14ac:dyDescent="0.25"/>
    <row r="11842" ht="15" customHeight="1" x14ac:dyDescent="0.25"/>
    <row r="11844" ht="15" customHeight="1" x14ac:dyDescent="0.25"/>
    <row r="11846" ht="15" customHeight="1" x14ac:dyDescent="0.25"/>
    <row r="11848" ht="15" customHeight="1" x14ac:dyDescent="0.25"/>
    <row r="11850" ht="15" customHeight="1" x14ac:dyDescent="0.25"/>
    <row r="11852" ht="15" customHeight="1" x14ac:dyDescent="0.25"/>
    <row r="11854" ht="15" customHeight="1" x14ac:dyDescent="0.25"/>
    <row r="11856" ht="15" customHeight="1" x14ac:dyDescent="0.25"/>
    <row r="11858" ht="15" customHeight="1" x14ac:dyDescent="0.25"/>
    <row r="11860" ht="15" customHeight="1" x14ac:dyDescent="0.25"/>
    <row r="11862" ht="15" customHeight="1" x14ac:dyDescent="0.25"/>
    <row r="11864" ht="15" customHeight="1" x14ac:dyDescent="0.25"/>
    <row r="11866" ht="15" customHeight="1" x14ac:dyDescent="0.25"/>
    <row r="11868" ht="15" customHeight="1" x14ac:dyDescent="0.25"/>
    <row r="11870" ht="15" customHeight="1" x14ac:dyDescent="0.25"/>
    <row r="11872" ht="15" customHeight="1" x14ac:dyDescent="0.25"/>
    <row r="11874" ht="15" customHeight="1" x14ac:dyDescent="0.25"/>
    <row r="11876" ht="15" customHeight="1" x14ac:dyDescent="0.25"/>
    <row r="11878" ht="15" customHeight="1" x14ac:dyDescent="0.25"/>
    <row r="11880" ht="15" customHeight="1" x14ac:dyDescent="0.25"/>
    <row r="11882" ht="15" customHeight="1" x14ac:dyDescent="0.25"/>
    <row r="11884" ht="15" customHeight="1" x14ac:dyDescent="0.25"/>
    <row r="11886" ht="15" customHeight="1" x14ac:dyDescent="0.25"/>
    <row r="11888" ht="15" customHeight="1" x14ac:dyDescent="0.25"/>
    <row r="11890" ht="15" customHeight="1" x14ac:dyDescent="0.25"/>
    <row r="11892" ht="15" customHeight="1" x14ac:dyDescent="0.25"/>
    <row r="11894" ht="15" customHeight="1" x14ac:dyDescent="0.25"/>
    <row r="11896" ht="15" customHeight="1" x14ac:dyDescent="0.25"/>
    <row r="11898" ht="15" customHeight="1" x14ac:dyDescent="0.25"/>
    <row r="11900" ht="15" customHeight="1" x14ac:dyDescent="0.25"/>
    <row r="11902" ht="15" customHeight="1" x14ac:dyDescent="0.25"/>
    <row r="11904" ht="15" customHeight="1" x14ac:dyDescent="0.25"/>
    <row r="11906" ht="15" customHeight="1" x14ac:dyDescent="0.25"/>
    <row r="11908" ht="15" customHeight="1" x14ac:dyDescent="0.25"/>
    <row r="11910" ht="15" customHeight="1" x14ac:dyDescent="0.25"/>
    <row r="11912" ht="15" customHeight="1" x14ac:dyDescent="0.25"/>
    <row r="11914" ht="15" customHeight="1" x14ac:dyDescent="0.25"/>
    <row r="11916" ht="15" customHeight="1" x14ac:dyDescent="0.25"/>
    <row r="11918" ht="15" customHeight="1" x14ac:dyDescent="0.25"/>
    <row r="11920" ht="15" customHeight="1" x14ac:dyDescent="0.25"/>
    <row r="11922" ht="15" customHeight="1" x14ac:dyDescent="0.25"/>
    <row r="11924" ht="15" customHeight="1" x14ac:dyDescent="0.25"/>
    <row r="11926" ht="15" customHeight="1" x14ac:dyDescent="0.25"/>
    <row r="11928" ht="15" customHeight="1" x14ac:dyDescent="0.25"/>
    <row r="11930" ht="15" customHeight="1" x14ac:dyDescent="0.25"/>
    <row r="11932" ht="15" customHeight="1" x14ac:dyDescent="0.25"/>
    <row r="11934" ht="15" customHeight="1" x14ac:dyDescent="0.25"/>
    <row r="11936" ht="15" customHeight="1" x14ac:dyDescent="0.25"/>
    <row r="11938" ht="15" customHeight="1" x14ac:dyDescent="0.25"/>
    <row r="11940" ht="15" customHeight="1" x14ac:dyDescent="0.25"/>
    <row r="11942" ht="15" customHeight="1" x14ac:dyDescent="0.25"/>
    <row r="11944" ht="15" customHeight="1" x14ac:dyDescent="0.25"/>
    <row r="11946" ht="15" customHeight="1" x14ac:dyDescent="0.25"/>
    <row r="11948" ht="15" customHeight="1" x14ac:dyDescent="0.25"/>
    <row r="11950" ht="15" customHeight="1" x14ac:dyDescent="0.25"/>
    <row r="11952" ht="15" customHeight="1" x14ac:dyDescent="0.25"/>
    <row r="11954" ht="15" customHeight="1" x14ac:dyDescent="0.25"/>
    <row r="11956" ht="15" customHeight="1" x14ac:dyDescent="0.25"/>
    <row r="11958" ht="15" customHeight="1" x14ac:dyDescent="0.25"/>
    <row r="11960" ht="15" customHeight="1" x14ac:dyDescent="0.25"/>
    <row r="11962" ht="15" customHeight="1" x14ac:dyDescent="0.25"/>
    <row r="11964" ht="15" customHeight="1" x14ac:dyDescent="0.25"/>
    <row r="11966" ht="15" customHeight="1" x14ac:dyDescent="0.25"/>
    <row r="11968" ht="15" customHeight="1" x14ac:dyDescent="0.25"/>
    <row r="11970" ht="15" customHeight="1" x14ac:dyDescent="0.25"/>
    <row r="11972" ht="15" customHeight="1" x14ac:dyDescent="0.25"/>
    <row r="11974" ht="15" customHeight="1" x14ac:dyDescent="0.25"/>
    <row r="11976" ht="15" customHeight="1" x14ac:dyDescent="0.25"/>
    <row r="11978" ht="15" customHeight="1" x14ac:dyDescent="0.25"/>
    <row r="11980" ht="15" customHeight="1" x14ac:dyDescent="0.25"/>
    <row r="11982" ht="15" customHeight="1" x14ac:dyDescent="0.25"/>
    <row r="11984" ht="15" customHeight="1" x14ac:dyDescent="0.25"/>
    <row r="11986" ht="15" customHeight="1" x14ac:dyDescent="0.25"/>
    <row r="11988" ht="15" customHeight="1" x14ac:dyDescent="0.25"/>
    <row r="11990" ht="15" customHeight="1" x14ac:dyDescent="0.25"/>
    <row r="11992" ht="15" customHeight="1" x14ac:dyDescent="0.25"/>
    <row r="11994" ht="15" customHeight="1" x14ac:dyDescent="0.25"/>
    <row r="11996" ht="15" customHeight="1" x14ac:dyDescent="0.25"/>
    <row r="11998" ht="15" customHeight="1" x14ac:dyDescent="0.25"/>
    <row r="12000" ht="15" customHeight="1" x14ac:dyDescent="0.25"/>
    <row r="12002" ht="15" customHeight="1" x14ac:dyDescent="0.25"/>
    <row r="12004" ht="15" customHeight="1" x14ac:dyDescent="0.25"/>
    <row r="12006" ht="15" customHeight="1" x14ac:dyDescent="0.25"/>
    <row r="12008" ht="15" customHeight="1" x14ac:dyDescent="0.25"/>
    <row r="12010" ht="15" customHeight="1" x14ac:dyDescent="0.25"/>
    <row r="12012" ht="15" customHeight="1" x14ac:dyDescent="0.25"/>
    <row r="12014" ht="15" customHeight="1" x14ac:dyDescent="0.25"/>
    <row r="12016" ht="15" customHeight="1" x14ac:dyDescent="0.25"/>
    <row r="12018" ht="15" customHeight="1" x14ac:dyDescent="0.25"/>
    <row r="12020" ht="15" customHeight="1" x14ac:dyDescent="0.25"/>
    <row r="12022" ht="15" customHeight="1" x14ac:dyDescent="0.25"/>
    <row r="12024" ht="15" customHeight="1" x14ac:dyDescent="0.25"/>
    <row r="12026" ht="15" customHeight="1" x14ac:dyDescent="0.25"/>
    <row r="12028" ht="15" customHeight="1" x14ac:dyDescent="0.25"/>
    <row r="12030" ht="15" customHeight="1" x14ac:dyDescent="0.25"/>
    <row r="12032" ht="15" customHeight="1" x14ac:dyDescent="0.25"/>
    <row r="12034" ht="15" customHeight="1" x14ac:dyDescent="0.25"/>
    <row r="12036" ht="15" customHeight="1" x14ac:dyDescent="0.25"/>
    <row r="12038" ht="15" customHeight="1" x14ac:dyDescent="0.25"/>
    <row r="12040" ht="15" customHeight="1" x14ac:dyDescent="0.25"/>
    <row r="12042" ht="15" customHeight="1" x14ac:dyDescent="0.25"/>
    <row r="12044" ht="15" customHeight="1" x14ac:dyDescent="0.25"/>
    <row r="12046" ht="15" customHeight="1" x14ac:dyDescent="0.25"/>
    <row r="12048" ht="15" customHeight="1" x14ac:dyDescent="0.25"/>
    <row r="12050" ht="15" customHeight="1" x14ac:dyDescent="0.25"/>
    <row r="12052" ht="15" customHeight="1" x14ac:dyDescent="0.25"/>
    <row r="12054" ht="15" customHeight="1" x14ac:dyDescent="0.25"/>
    <row r="12056" ht="15" customHeight="1" x14ac:dyDescent="0.25"/>
    <row r="12058" ht="15" customHeight="1" x14ac:dyDescent="0.25"/>
    <row r="12060" ht="15" customHeight="1" x14ac:dyDescent="0.25"/>
    <row r="12062" ht="15" customHeight="1" x14ac:dyDescent="0.25"/>
    <row r="12064" ht="15" customHeight="1" x14ac:dyDescent="0.25"/>
    <row r="12066" ht="15" customHeight="1" x14ac:dyDescent="0.25"/>
    <row r="12068" ht="15" customHeight="1" x14ac:dyDescent="0.25"/>
    <row r="12070" ht="15" customHeight="1" x14ac:dyDescent="0.25"/>
    <row r="12072" ht="15" customHeight="1" x14ac:dyDescent="0.25"/>
    <row r="12074" ht="15" customHeight="1" x14ac:dyDescent="0.25"/>
    <row r="12076" ht="15" customHeight="1" x14ac:dyDescent="0.25"/>
    <row r="12078" ht="15" customHeight="1" x14ac:dyDescent="0.25"/>
    <row r="12080" ht="15" customHeight="1" x14ac:dyDescent="0.25"/>
    <row r="12082" ht="15" customHeight="1" x14ac:dyDescent="0.25"/>
    <row r="12084" ht="15" customHeight="1" x14ac:dyDescent="0.25"/>
    <row r="12086" ht="15" customHeight="1" x14ac:dyDescent="0.25"/>
    <row r="12088" ht="15" customHeight="1" x14ac:dyDescent="0.25"/>
    <row r="12090" ht="15" customHeight="1" x14ac:dyDescent="0.25"/>
    <row r="12092" ht="15" customHeight="1" x14ac:dyDescent="0.25"/>
    <row r="12094" ht="15" customHeight="1" x14ac:dyDescent="0.25"/>
    <row r="12096" ht="15" customHeight="1" x14ac:dyDescent="0.25"/>
    <row r="12098" ht="15" customHeight="1" x14ac:dyDescent="0.25"/>
    <row r="12100" ht="15" customHeight="1" x14ac:dyDescent="0.25"/>
    <row r="12102" ht="15" customHeight="1" x14ac:dyDescent="0.25"/>
    <row r="12104" ht="15" customHeight="1" x14ac:dyDescent="0.25"/>
    <row r="12106" ht="15" customHeight="1" x14ac:dyDescent="0.25"/>
    <row r="12108" ht="15" customHeight="1" x14ac:dyDescent="0.25"/>
    <row r="12110" ht="15" customHeight="1" x14ac:dyDescent="0.25"/>
    <row r="12112" ht="15" customHeight="1" x14ac:dyDescent="0.25"/>
    <row r="12114" ht="15" customHeight="1" x14ac:dyDescent="0.25"/>
    <row r="12116" ht="15" customHeight="1" x14ac:dyDescent="0.25"/>
    <row r="12118" ht="15" customHeight="1" x14ac:dyDescent="0.25"/>
    <row r="12120" ht="15" customHeight="1" x14ac:dyDescent="0.25"/>
    <row r="12122" ht="15" customHeight="1" x14ac:dyDescent="0.25"/>
    <row r="12124" ht="15" customHeight="1" x14ac:dyDescent="0.25"/>
    <row r="12126" ht="15" customHeight="1" x14ac:dyDescent="0.25"/>
    <row r="12128" ht="15" customHeight="1" x14ac:dyDescent="0.25"/>
    <row r="12130" ht="15" customHeight="1" x14ac:dyDescent="0.25"/>
    <row r="12132" ht="15" customHeight="1" x14ac:dyDescent="0.25"/>
    <row r="12134" ht="15" customHeight="1" x14ac:dyDescent="0.25"/>
    <row r="12136" ht="15" customHeight="1" x14ac:dyDescent="0.25"/>
    <row r="12138" ht="15" customHeight="1" x14ac:dyDescent="0.25"/>
    <row r="12140" ht="15" customHeight="1" x14ac:dyDescent="0.25"/>
    <row r="12142" ht="15" customHeight="1" x14ac:dyDescent="0.25"/>
    <row r="12144" ht="15" customHeight="1" x14ac:dyDescent="0.25"/>
    <row r="12146" ht="15" customHeight="1" x14ac:dyDescent="0.25"/>
    <row r="12148" ht="15" customHeight="1" x14ac:dyDescent="0.25"/>
    <row r="12150" ht="15" customHeight="1" x14ac:dyDescent="0.25"/>
    <row r="12152" ht="15" customHeight="1" x14ac:dyDescent="0.25"/>
    <row r="12154" ht="15" customHeight="1" x14ac:dyDescent="0.25"/>
    <row r="12156" ht="15" customHeight="1" x14ac:dyDescent="0.25"/>
    <row r="12158" ht="15" customHeight="1" x14ac:dyDescent="0.25"/>
    <row r="1047274" spans="11:14" ht="15.4" customHeight="1" x14ac:dyDescent="0.25">
      <c r="K1047274" s="156"/>
      <c r="N1047274" s="25"/>
    </row>
    <row r="1048576" spans="14:14" x14ac:dyDescent="0.25">
      <c r="N1048576" s="13"/>
    </row>
  </sheetData>
  <autoFilter ref="A2:AB10">
    <sortState ref="A4:AC22">
      <sortCondition ref="O2:O10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AB194"/>
  <sheetViews>
    <sheetView zoomScale="90" zoomScaleNormal="90" workbookViewId="0">
      <pane ySplit="2" topLeftCell="A23" activePane="bottomLeft" state="frozen"/>
      <selection pane="bottomLeft" activeCell="H52" sqref="H52"/>
    </sheetView>
  </sheetViews>
  <sheetFormatPr baseColWidth="10" defaultColWidth="11.42578125" defaultRowHeight="15" x14ac:dyDescent="0.25"/>
  <cols>
    <col min="1" max="1" width="15" customWidth="1"/>
    <col min="2" max="2" width="64.42578125" customWidth="1"/>
    <col min="3" max="3" width="10.28515625" customWidth="1"/>
    <col min="4" max="6" width="11.140625" customWidth="1"/>
    <col min="7" max="8" width="9.7109375" customWidth="1"/>
    <col min="9" max="10" width="11" customWidth="1"/>
    <col min="11" max="11" width="11.5703125" customWidth="1"/>
    <col min="12" max="12" width="16.85546875" hidden="1" customWidth="1"/>
    <col min="13" max="13" width="13.7109375" bestFit="1" customWidth="1"/>
    <col min="14" max="14" width="6.7109375" bestFit="1" customWidth="1"/>
    <col min="15" max="15" width="9.42578125" customWidth="1"/>
    <col min="16" max="16" width="8.28515625" customWidth="1"/>
    <col min="17" max="17" width="7.28515625" bestFit="1" customWidth="1"/>
    <col min="18" max="18" width="16.7109375" customWidth="1"/>
    <col min="19" max="19" width="17.85546875" customWidth="1"/>
    <col min="20" max="20" width="16.85546875" hidden="1" customWidth="1"/>
    <col min="21" max="22" width="12.5703125" customWidth="1"/>
    <col min="23" max="23" width="20.5703125" bestFit="1" customWidth="1"/>
    <col min="24" max="24" width="10.85546875" style="143" customWidth="1"/>
    <col min="25" max="25" width="11.42578125" style="143" customWidth="1"/>
    <col min="26" max="27" width="14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63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5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132" customFormat="1" x14ac:dyDescent="0.25">
      <c r="A3" s="92" t="s">
        <v>509</v>
      </c>
      <c r="B3" s="92" t="s">
        <v>510</v>
      </c>
      <c r="C3" s="92">
        <v>400</v>
      </c>
      <c r="D3" s="92">
        <v>300</v>
      </c>
      <c r="E3" s="92">
        <v>300</v>
      </c>
      <c r="F3" s="92">
        <v>450</v>
      </c>
      <c r="G3" s="92">
        <f>VLOOKUP(A3,'[1]yourspreadsheetname (1)'!$A$2:$C$968, 3, FALSE)</f>
        <v>0</v>
      </c>
      <c r="H3" s="92">
        <v>1800</v>
      </c>
      <c r="I3" s="92"/>
      <c r="J3" s="92"/>
      <c r="K3" s="92">
        <v>756676</v>
      </c>
      <c r="L3" s="92"/>
      <c r="M3" s="92" t="s">
        <v>263</v>
      </c>
      <c r="N3" s="13" t="s">
        <v>788</v>
      </c>
      <c r="O3" s="12">
        <v>1</v>
      </c>
      <c r="P3" s="54"/>
      <c r="Q3" s="54"/>
      <c r="R3" s="18">
        <v>3500</v>
      </c>
      <c r="S3" s="54"/>
      <c r="T3" s="12"/>
      <c r="U3" s="54"/>
      <c r="V3" s="54"/>
      <c r="W3" s="54">
        <f t="shared" ref="W3:W49" si="0">U3+V3</f>
        <v>0</v>
      </c>
      <c r="X3" s="145">
        <v>597.23</v>
      </c>
      <c r="Y3" s="207">
        <v>756.29</v>
      </c>
      <c r="Z3" s="208">
        <f t="shared" ref="Z3:Z34" si="1">X3*R3</f>
        <v>2090305</v>
      </c>
      <c r="AA3" s="208">
        <f t="shared" ref="AA3:AA49" si="2">W3*Y3</f>
        <v>0</v>
      </c>
      <c r="AB3" s="54"/>
    </row>
    <row r="4" spans="1:28" s="132" customFormat="1" x14ac:dyDescent="0.25">
      <c r="A4" s="54" t="s">
        <v>789</v>
      </c>
      <c r="B4" s="54" t="s">
        <v>790</v>
      </c>
      <c r="C4" s="54"/>
      <c r="D4" s="54"/>
      <c r="E4" s="54">
        <v>50</v>
      </c>
      <c r="F4" s="54">
        <v>60</v>
      </c>
      <c r="G4" s="54">
        <f>VLOOKUP(A4,'[1]yourspreadsheetname (1)'!$A$2:$C$968, 3, FALSE)</f>
        <v>90</v>
      </c>
      <c r="H4" s="54">
        <v>300</v>
      </c>
      <c r="I4" s="54"/>
      <c r="J4" s="217"/>
      <c r="K4" s="12">
        <v>756676</v>
      </c>
      <c r="L4" s="12"/>
      <c r="M4" s="12" t="s">
        <v>263</v>
      </c>
      <c r="N4" s="13" t="s">
        <v>788</v>
      </c>
      <c r="O4" s="12">
        <v>2</v>
      </c>
      <c r="P4" s="54" t="s">
        <v>791</v>
      </c>
      <c r="Q4" s="96"/>
      <c r="R4" s="18">
        <v>400</v>
      </c>
      <c r="S4" s="54"/>
      <c r="T4" s="12"/>
      <c r="U4" s="54">
        <v>400</v>
      </c>
      <c r="V4" s="54"/>
      <c r="W4" s="54">
        <f t="shared" si="0"/>
        <v>400</v>
      </c>
      <c r="X4" s="145">
        <v>499</v>
      </c>
      <c r="Y4" s="207">
        <v>412.4</v>
      </c>
      <c r="Z4" s="208">
        <f t="shared" si="1"/>
        <v>199600</v>
      </c>
      <c r="AA4" s="208">
        <f t="shared" si="2"/>
        <v>164960</v>
      </c>
      <c r="AB4" s="124"/>
    </row>
    <row r="5" spans="1:28" s="132" customFormat="1" x14ac:dyDescent="0.25">
      <c r="A5" s="54" t="s">
        <v>792</v>
      </c>
      <c r="B5" s="54" t="s">
        <v>793</v>
      </c>
      <c r="C5" s="54"/>
      <c r="D5" s="54">
        <v>300</v>
      </c>
      <c r="E5" s="54">
        <v>200</v>
      </c>
      <c r="F5" s="54">
        <v>300</v>
      </c>
      <c r="G5" s="54">
        <f>VLOOKUP(A5,'[1]yourspreadsheetname (1)'!$A$2:$C$968, 3, FALSE)</f>
        <v>0</v>
      </c>
      <c r="H5" s="54">
        <v>1200</v>
      </c>
      <c r="I5" s="54"/>
      <c r="J5" s="12"/>
      <c r="K5" s="12">
        <v>756676</v>
      </c>
      <c r="L5" s="12"/>
      <c r="M5" s="12" t="s">
        <v>263</v>
      </c>
      <c r="N5" s="13" t="s">
        <v>788</v>
      </c>
      <c r="O5" s="12">
        <v>3</v>
      </c>
      <c r="P5" s="54" t="s">
        <v>791</v>
      </c>
      <c r="Q5" s="54" t="s">
        <v>2000</v>
      </c>
      <c r="R5" s="18">
        <f>((F5*15)-G5-I5)/2</f>
        <v>2250</v>
      </c>
      <c r="S5" s="54"/>
      <c r="T5" s="12"/>
      <c r="U5" s="54">
        <v>2250</v>
      </c>
      <c r="V5" s="54">
        <v>450</v>
      </c>
      <c r="W5" s="54">
        <f t="shared" si="0"/>
        <v>2700</v>
      </c>
      <c r="X5" s="145">
        <v>2189.48</v>
      </c>
      <c r="Y5" s="207">
        <v>2534.1999999999998</v>
      </c>
      <c r="Z5" s="208">
        <f t="shared" si="1"/>
        <v>4926330</v>
      </c>
      <c r="AA5" s="208">
        <f t="shared" si="2"/>
        <v>6842339.9999999991</v>
      </c>
      <c r="AB5" s="54"/>
    </row>
    <row r="6" spans="1:28" s="116" customFormat="1" x14ac:dyDescent="0.25">
      <c r="A6" s="54" t="s">
        <v>794</v>
      </c>
      <c r="B6" s="54" t="s">
        <v>795</v>
      </c>
      <c r="C6" s="54">
        <v>200</v>
      </c>
      <c r="D6" s="54">
        <v>30</v>
      </c>
      <c r="E6" s="54">
        <v>100</v>
      </c>
      <c r="F6" s="54">
        <v>120</v>
      </c>
      <c r="G6" s="54">
        <f>VLOOKUP(A6,'[1]yourspreadsheetname (1)'!$A$2:$C$968, 3, FALSE)</f>
        <v>0</v>
      </c>
      <c r="H6" s="54">
        <v>1100</v>
      </c>
      <c r="I6" s="54"/>
      <c r="J6" s="54"/>
      <c r="K6" s="12">
        <v>756676</v>
      </c>
      <c r="L6" s="81"/>
      <c r="M6" s="54" t="s">
        <v>263</v>
      </c>
      <c r="N6" s="13" t="s">
        <v>788</v>
      </c>
      <c r="O6" s="54">
        <v>4</v>
      </c>
      <c r="P6" s="54" t="s">
        <v>791</v>
      </c>
      <c r="Q6" s="54" t="s">
        <v>2000</v>
      </c>
      <c r="R6" s="18">
        <f>((F6*15)-G6-I6)/2</f>
        <v>900</v>
      </c>
      <c r="S6" s="54"/>
      <c r="T6" s="12"/>
      <c r="U6" s="54">
        <v>900</v>
      </c>
      <c r="V6" s="54">
        <v>450</v>
      </c>
      <c r="W6" s="54">
        <f t="shared" si="0"/>
        <v>1350</v>
      </c>
      <c r="X6" s="206">
        <v>433.85</v>
      </c>
      <c r="Y6" s="207">
        <v>512.73</v>
      </c>
      <c r="Z6" s="208">
        <f t="shared" si="1"/>
        <v>390465</v>
      </c>
      <c r="AA6" s="208">
        <f t="shared" si="2"/>
        <v>692185.5</v>
      </c>
      <c r="AB6" s="54"/>
    </row>
    <row r="7" spans="1:28" s="132" customFormat="1" x14ac:dyDescent="0.25">
      <c r="A7" s="92" t="s">
        <v>472</v>
      </c>
      <c r="B7" s="92" t="s">
        <v>473</v>
      </c>
      <c r="C7" s="92">
        <v>750</v>
      </c>
      <c r="D7" s="92">
        <v>500</v>
      </c>
      <c r="E7" s="92">
        <v>500</v>
      </c>
      <c r="F7" s="92">
        <v>450</v>
      </c>
      <c r="G7" s="92">
        <f>VLOOKUP(A7,'[1]yourspreadsheetname (1)'!$A$2:$C$968, 3, FALSE)</f>
        <v>1400</v>
      </c>
      <c r="H7" s="92">
        <v>3000</v>
      </c>
      <c r="I7" s="92"/>
      <c r="J7" s="92"/>
      <c r="K7" s="92">
        <v>756676</v>
      </c>
      <c r="L7" s="92"/>
      <c r="M7" s="92" t="s">
        <v>796</v>
      </c>
      <c r="N7" s="13" t="s">
        <v>788</v>
      </c>
      <c r="O7" s="12">
        <v>5</v>
      </c>
      <c r="P7" s="54"/>
      <c r="Q7" s="54"/>
      <c r="R7" s="18">
        <v>2700</v>
      </c>
      <c r="S7" s="54"/>
      <c r="T7" s="12"/>
      <c r="U7" s="54"/>
      <c r="V7" s="54"/>
      <c r="W7" s="54">
        <f t="shared" si="0"/>
        <v>0</v>
      </c>
      <c r="X7" s="206">
        <v>164.8</v>
      </c>
      <c r="Y7" s="207">
        <v>334.28</v>
      </c>
      <c r="Z7" s="208">
        <f t="shared" si="1"/>
        <v>444960.00000000006</v>
      </c>
      <c r="AA7" s="208">
        <f t="shared" si="2"/>
        <v>0</v>
      </c>
      <c r="AB7" s="54"/>
    </row>
    <row r="8" spans="1:28" s="116" customFormat="1" x14ac:dyDescent="0.25">
      <c r="A8" s="54" t="s">
        <v>797</v>
      </c>
      <c r="B8" s="54" t="s">
        <v>798</v>
      </c>
      <c r="C8" s="54">
        <v>7000</v>
      </c>
      <c r="D8" s="54">
        <v>4500</v>
      </c>
      <c r="E8" s="54">
        <v>7500</v>
      </c>
      <c r="F8" s="54">
        <v>8500</v>
      </c>
      <c r="G8" s="54">
        <f>VLOOKUP(A8,'[1]yourspreadsheetname (1)'!$A$2:$C$968, 3, FALSE)</f>
        <v>28200</v>
      </c>
      <c r="H8" s="54">
        <v>45000</v>
      </c>
      <c r="I8" s="54"/>
      <c r="J8" s="228"/>
      <c r="K8" s="12">
        <v>756676</v>
      </c>
      <c r="L8" s="12"/>
      <c r="M8" s="29" t="s">
        <v>263</v>
      </c>
      <c r="N8" s="13" t="s">
        <v>788</v>
      </c>
      <c r="O8" s="12">
        <v>6</v>
      </c>
      <c r="P8" s="54" t="s">
        <v>791</v>
      </c>
      <c r="Q8" s="54" t="s">
        <v>2000</v>
      </c>
      <c r="R8" s="18">
        <v>50000</v>
      </c>
      <c r="S8" s="54"/>
      <c r="T8" s="12"/>
      <c r="U8" s="54">
        <v>50000</v>
      </c>
      <c r="V8" s="54">
        <v>25000</v>
      </c>
      <c r="W8" s="54">
        <f t="shared" si="0"/>
        <v>75000</v>
      </c>
      <c r="X8" s="206">
        <v>68</v>
      </c>
      <c r="Y8" s="207">
        <v>51.85</v>
      </c>
      <c r="Z8" s="208">
        <f t="shared" si="1"/>
        <v>3400000</v>
      </c>
      <c r="AA8" s="208">
        <f t="shared" si="2"/>
        <v>3888750</v>
      </c>
      <c r="AB8" s="54"/>
    </row>
    <row r="9" spans="1:28" s="116" customFormat="1" ht="15.75" customHeight="1" x14ac:dyDescent="0.25">
      <c r="A9" s="54" t="s">
        <v>799</v>
      </c>
      <c r="B9" s="54" t="s">
        <v>800</v>
      </c>
      <c r="C9" s="54"/>
      <c r="D9" s="54">
        <v>500</v>
      </c>
      <c r="E9" s="54">
        <v>600</v>
      </c>
      <c r="F9" s="54">
        <v>400</v>
      </c>
      <c r="G9" s="54">
        <f>VLOOKUP(A9,'[1]yourspreadsheetname (1)'!$A$2:$C$968, 3, FALSE)</f>
        <v>3600</v>
      </c>
      <c r="H9" s="54">
        <v>3600</v>
      </c>
      <c r="I9" s="54"/>
      <c r="J9" s="12"/>
      <c r="K9" s="12">
        <v>756676</v>
      </c>
      <c r="L9" s="12"/>
      <c r="M9" s="13" t="s">
        <v>263</v>
      </c>
      <c r="N9" s="13" t="s">
        <v>788</v>
      </c>
      <c r="O9" s="12">
        <v>7</v>
      </c>
      <c r="P9" s="54" t="s">
        <v>791</v>
      </c>
      <c r="Q9" s="54"/>
      <c r="R9" s="18">
        <f>((F9*15)-G9-I9)/2</f>
        <v>1200</v>
      </c>
      <c r="S9" s="54"/>
      <c r="T9" s="12"/>
      <c r="U9" s="54">
        <v>1200</v>
      </c>
      <c r="V9" s="54"/>
      <c r="W9" s="54">
        <f t="shared" si="0"/>
        <v>1200</v>
      </c>
      <c r="X9" s="206">
        <v>569</v>
      </c>
      <c r="Y9" s="207">
        <v>508.93</v>
      </c>
      <c r="Z9" s="208">
        <f t="shared" si="1"/>
        <v>682800</v>
      </c>
      <c r="AA9" s="208">
        <f t="shared" si="2"/>
        <v>610716</v>
      </c>
      <c r="AB9" s="54"/>
    </row>
    <row r="10" spans="1:28" s="116" customFormat="1" x14ac:dyDescent="0.25">
      <c r="A10" s="54" t="s">
        <v>801</v>
      </c>
      <c r="B10" s="54" t="s">
        <v>802</v>
      </c>
      <c r="C10" s="54"/>
      <c r="D10" s="54">
        <v>300</v>
      </c>
      <c r="E10" s="54">
        <v>2000</v>
      </c>
      <c r="F10" s="54">
        <v>4500</v>
      </c>
      <c r="G10" s="54">
        <f>VLOOKUP(A10,'[1]yourspreadsheetname (1)'!$A$2:$C$968, 3, FALSE)</f>
        <v>3380</v>
      </c>
      <c r="H10" s="54">
        <v>21000</v>
      </c>
      <c r="I10" s="54"/>
      <c r="J10" s="54"/>
      <c r="K10" s="12">
        <v>756676</v>
      </c>
      <c r="L10" s="54"/>
      <c r="M10" s="54" t="s">
        <v>263</v>
      </c>
      <c r="N10" s="13" t="s">
        <v>788</v>
      </c>
      <c r="O10" s="54">
        <v>8</v>
      </c>
      <c r="P10" s="54" t="s">
        <v>791</v>
      </c>
      <c r="Q10" s="54" t="s">
        <v>2000</v>
      </c>
      <c r="R10" s="18">
        <v>32000</v>
      </c>
      <c r="S10" s="54"/>
      <c r="T10" s="12"/>
      <c r="U10" s="54">
        <v>16000</v>
      </c>
      <c r="V10" s="54">
        <v>16000</v>
      </c>
      <c r="W10" s="54">
        <f t="shared" si="0"/>
        <v>32000</v>
      </c>
      <c r="X10" s="206">
        <v>133.84</v>
      </c>
      <c r="Y10" s="207">
        <v>158.88</v>
      </c>
      <c r="Z10" s="208">
        <f t="shared" si="1"/>
        <v>4282880</v>
      </c>
      <c r="AA10" s="208">
        <f t="shared" si="2"/>
        <v>5084160</v>
      </c>
      <c r="AB10" s="54"/>
    </row>
    <row r="11" spans="1:28" s="132" customFormat="1" ht="16.5" customHeight="1" x14ac:dyDescent="0.25">
      <c r="A11" s="54" t="s">
        <v>803</v>
      </c>
      <c r="B11" s="82" t="s">
        <v>804</v>
      </c>
      <c r="C11" s="54">
        <v>600</v>
      </c>
      <c r="D11" s="54">
        <v>2000</v>
      </c>
      <c r="E11" s="54">
        <v>2300</v>
      </c>
      <c r="F11" s="54">
        <v>2200</v>
      </c>
      <c r="G11" s="54" t="e">
        <f>VLOOKUP(A11,'[1]yourspreadsheetname (1)'!$A$2:$C$968, 3, FALSE)</f>
        <v>#N/A</v>
      </c>
      <c r="H11" s="54">
        <v>21600</v>
      </c>
      <c r="I11" s="54"/>
      <c r="J11" s="123"/>
      <c r="K11" s="12">
        <v>756676</v>
      </c>
      <c r="L11" s="54"/>
      <c r="M11" s="54" t="s">
        <v>259</v>
      </c>
      <c r="N11" s="13" t="s">
        <v>788</v>
      </c>
      <c r="O11" s="54">
        <v>9</v>
      </c>
      <c r="P11" s="54" t="s">
        <v>805</v>
      </c>
      <c r="Q11" s="96" t="s">
        <v>1998</v>
      </c>
      <c r="R11" s="18">
        <v>13600</v>
      </c>
      <c r="S11" s="54"/>
      <c r="T11" s="12"/>
      <c r="U11" s="54">
        <v>13600</v>
      </c>
      <c r="V11" s="54">
        <v>10000</v>
      </c>
      <c r="W11" s="54">
        <f t="shared" si="0"/>
        <v>23600</v>
      </c>
      <c r="X11" s="206">
        <v>79.11</v>
      </c>
      <c r="Y11" s="207">
        <v>90.54</v>
      </c>
      <c r="Z11" s="208">
        <f t="shared" si="1"/>
        <v>1075896</v>
      </c>
      <c r="AA11" s="208">
        <f t="shared" si="2"/>
        <v>2136744</v>
      </c>
      <c r="AB11" s="54"/>
    </row>
    <row r="12" spans="1:28" s="116" customFormat="1" x14ac:dyDescent="0.25">
      <c r="A12" s="54" t="s">
        <v>182</v>
      </c>
      <c r="B12" s="54" t="s">
        <v>806</v>
      </c>
      <c r="C12" s="54"/>
      <c r="D12" s="54">
        <v>200</v>
      </c>
      <c r="E12" s="54">
        <v>400</v>
      </c>
      <c r="F12" s="54">
        <v>600</v>
      </c>
      <c r="G12" s="54">
        <f>VLOOKUP(A12,'[1]yourspreadsheetname (1)'!$A$2:$C$968, 3, FALSE)</f>
        <v>1100</v>
      </c>
      <c r="H12" s="54">
        <v>4500</v>
      </c>
      <c r="I12" s="54"/>
      <c r="J12" s="54"/>
      <c r="K12" s="12">
        <v>756676</v>
      </c>
      <c r="L12" s="54"/>
      <c r="M12" s="54" t="s">
        <v>796</v>
      </c>
      <c r="N12" s="13" t="s">
        <v>788</v>
      </c>
      <c r="O12" s="54">
        <v>10</v>
      </c>
      <c r="P12" s="54" t="s">
        <v>807</v>
      </c>
      <c r="Q12" s="54" t="s">
        <v>1999</v>
      </c>
      <c r="R12" s="18">
        <v>4000</v>
      </c>
      <c r="S12" s="54"/>
      <c r="T12" s="12"/>
      <c r="U12" s="54">
        <v>4000</v>
      </c>
      <c r="V12" s="54">
        <v>800</v>
      </c>
      <c r="W12" s="54">
        <f t="shared" si="0"/>
        <v>4800</v>
      </c>
      <c r="X12" s="206">
        <v>291.47000000000003</v>
      </c>
      <c r="Y12" s="207">
        <v>130.97999999999999</v>
      </c>
      <c r="Z12" s="208">
        <f t="shared" si="1"/>
        <v>1165880</v>
      </c>
      <c r="AA12" s="208">
        <f t="shared" si="2"/>
        <v>628704</v>
      </c>
      <c r="AB12" s="54"/>
    </row>
    <row r="13" spans="1:28" s="132" customFormat="1" x14ac:dyDescent="0.25">
      <c r="A13" s="92" t="s">
        <v>507</v>
      </c>
      <c r="B13" s="92" t="s">
        <v>508</v>
      </c>
      <c r="C13" s="92"/>
      <c r="D13" s="92">
        <v>0</v>
      </c>
      <c r="E13" s="92">
        <v>30</v>
      </c>
      <c r="F13" s="92">
        <v>30</v>
      </c>
      <c r="G13" s="92" t="e">
        <f>VLOOKUP(A13,'[1]yourspreadsheetname (1)'!$A$2:$C$968, 3, FALSE)</f>
        <v>#N/A</v>
      </c>
      <c r="H13" s="92">
        <v>180</v>
      </c>
      <c r="I13" s="92"/>
      <c r="J13" s="92"/>
      <c r="K13" s="92">
        <v>756676</v>
      </c>
      <c r="L13" s="404"/>
      <c r="M13" s="586" t="s">
        <v>263</v>
      </c>
      <c r="N13" s="13" t="s">
        <v>788</v>
      </c>
      <c r="O13" s="12">
        <v>11</v>
      </c>
      <c r="P13" s="54"/>
      <c r="Q13" s="54"/>
      <c r="R13" s="18">
        <v>240</v>
      </c>
      <c r="S13" s="54"/>
      <c r="T13" s="12"/>
      <c r="U13" s="54"/>
      <c r="V13" s="54"/>
      <c r="W13" s="54">
        <f t="shared" si="0"/>
        <v>0</v>
      </c>
      <c r="X13" s="206">
        <v>340.8</v>
      </c>
      <c r="Y13" s="207">
        <v>969.73</v>
      </c>
      <c r="Z13" s="208">
        <f t="shared" si="1"/>
        <v>81792</v>
      </c>
      <c r="AA13" s="208">
        <f t="shared" si="2"/>
        <v>0</v>
      </c>
      <c r="AB13" s="54"/>
    </row>
    <row r="14" spans="1:28" s="116" customFormat="1" x14ac:dyDescent="0.25">
      <c r="A14" s="486" t="s">
        <v>503</v>
      </c>
      <c r="B14" s="486" t="s">
        <v>504</v>
      </c>
      <c r="C14" s="486">
        <v>0</v>
      </c>
      <c r="D14" s="92">
        <v>8</v>
      </c>
      <c r="E14" s="92">
        <v>8</v>
      </c>
      <c r="F14" s="92">
        <v>16</v>
      </c>
      <c r="G14" s="92">
        <f>VLOOKUP(A14,'[1]yourspreadsheetname (1)'!$A$2:$C$968, 3, FALSE)</f>
        <v>0</v>
      </c>
      <c r="H14" s="92">
        <v>104</v>
      </c>
      <c r="I14" s="92"/>
      <c r="J14" s="92"/>
      <c r="K14" s="92">
        <v>756676</v>
      </c>
      <c r="L14" s="259"/>
      <c r="M14" s="294" t="s">
        <v>796</v>
      </c>
      <c r="N14" s="13" t="s">
        <v>788</v>
      </c>
      <c r="O14" s="12">
        <v>12</v>
      </c>
      <c r="P14" s="54"/>
      <c r="Q14" s="54"/>
      <c r="R14" s="18">
        <f>((F14*15)-G14-I14)/2</f>
        <v>120</v>
      </c>
      <c r="S14" s="54"/>
      <c r="T14" s="12"/>
      <c r="U14" s="54"/>
      <c r="V14" s="54"/>
      <c r="W14" s="54">
        <f t="shared" si="0"/>
        <v>0</v>
      </c>
      <c r="X14" s="206">
        <v>2899</v>
      </c>
      <c r="Y14" s="207">
        <v>4120.6099999999997</v>
      </c>
      <c r="Z14" s="208">
        <f t="shared" si="1"/>
        <v>347880</v>
      </c>
      <c r="AA14" s="208">
        <f t="shared" si="2"/>
        <v>0</v>
      </c>
      <c r="AB14" s="54"/>
    </row>
    <row r="15" spans="1:28" s="116" customFormat="1" x14ac:dyDescent="0.25">
      <c r="A15" s="92" t="s">
        <v>468</v>
      </c>
      <c r="B15" s="92" t="s">
        <v>469</v>
      </c>
      <c r="C15" s="92">
        <v>0</v>
      </c>
      <c r="D15" s="92">
        <v>810</v>
      </c>
      <c r="E15" s="92">
        <v>900</v>
      </c>
      <c r="F15" s="92">
        <v>900</v>
      </c>
      <c r="G15" s="92" t="e">
        <f>VLOOKUP(A15,'[1]yourspreadsheetname (1)'!$A$2:$C$968, 3, FALSE)</f>
        <v>#N/A</v>
      </c>
      <c r="H15" s="92">
        <v>0</v>
      </c>
      <c r="I15" s="92"/>
      <c r="J15" s="587">
        <v>45809</v>
      </c>
      <c r="K15" s="92">
        <v>756676</v>
      </c>
      <c r="L15" s="92"/>
      <c r="M15" s="92" t="s">
        <v>263</v>
      </c>
      <c r="N15" s="13" t="s">
        <v>788</v>
      </c>
      <c r="O15" s="12">
        <v>13</v>
      </c>
      <c r="P15" s="54"/>
      <c r="Q15" s="54"/>
      <c r="R15" s="18">
        <v>6000</v>
      </c>
      <c r="S15" s="54"/>
      <c r="T15" s="12"/>
      <c r="U15" s="54"/>
      <c r="V15" s="54"/>
      <c r="W15" s="54">
        <f t="shared" si="0"/>
        <v>0</v>
      </c>
      <c r="X15" s="206">
        <v>1165</v>
      </c>
      <c r="Y15" s="207">
        <v>1866.14</v>
      </c>
      <c r="Z15" s="208">
        <f t="shared" si="1"/>
        <v>6990000</v>
      </c>
      <c r="AA15" s="208">
        <f t="shared" si="2"/>
        <v>0</v>
      </c>
      <c r="AB15" s="54"/>
    </row>
    <row r="16" spans="1:28" s="116" customFormat="1" x14ac:dyDescent="0.25">
      <c r="A16" s="92" t="s">
        <v>555</v>
      </c>
      <c r="B16" s="92" t="s">
        <v>556</v>
      </c>
      <c r="C16" s="92">
        <v>100</v>
      </c>
      <c r="D16" s="92">
        <v>400</v>
      </c>
      <c r="E16" s="92">
        <v>400</v>
      </c>
      <c r="F16" s="92">
        <v>210</v>
      </c>
      <c r="G16" s="92">
        <f>VLOOKUP(A16,'[1]yourspreadsheetname (1)'!$A$2:$C$968, 3, FALSE)</f>
        <v>0</v>
      </c>
      <c r="H16" s="92">
        <v>2000</v>
      </c>
      <c r="I16" s="92"/>
      <c r="J16" s="92"/>
      <c r="K16" s="92">
        <v>756676</v>
      </c>
      <c r="L16" s="92"/>
      <c r="M16" s="93" t="s">
        <v>796</v>
      </c>
      <c r="N16" s="13" t="s">
        <v>788</v>
      </c>
      <c r="O16" s="12">
        <v>14</v>
      </c>
      <c r="P16" s="54"/>
      <c r="Q16" s="54"/>
      <c r="R16" s="18">
        <v>1600</v>
      </c>
      <c r="S16" s="54"/>
      <c r="T16" s="12"/>
      <c r="U16" s="54"/>
      <c r="V16" s="54"/>
      <c r="W16" s="54">
        <f t="shared" si="0"/>
        <v>0</v>
      </c>
      <c r="X16" s="206">
        <v>7067.94</v>
      </c>
      <c r="Y16" s="207">
        <v>14048.71</v>
      </c>
      <c r="Z16" s="208">
        <f t="shared" si="1"/>
        <v>11308704</v>
      </c>
      <c r="AA16" s="208">
        <f t="shared" si="2"/>
        <v>0</v>
      </c>
      <c r="AB16" s="54"/>
    </row>
    <row r="17" spans="1:28" s="116" customFormat="1" x14ac:dyDescent="0.25">
      <c r="A17" s="92" t="s">
        <v>470</v>
      </c>
      <c r="B17" s="92" t="s">
        <v>471</v>
      </c>
      <c r="C17" s="92"/>
      <c r="D17" s="92">
        <v>300</v>
      </c>
      <c r="E17" s="92">
        <v>300</v>
      </c>
      <c r="F17" s="92">
        <v>700</v>
      </c>
      <c r="G17" s="92">
        <f>VLOOKUP(A17,'[1]yourspreadsheetname (1)'!$A$2:$C$968, 3, FALSE)</f>
        <v>0</v>
      </c>
      <c r="H17" s="92">
        <v>0</v>
      </c>
      <c r="I17" s="92"/>
      <c r="J17" s="587">
        <v>45809</v>
      </c>
      <c r="K17" s="92">
        <v>756676</v>
      </c>
      <c r="L17" s="92"/>
      <c r="M17" s="92" t="s">
        <v>796</v>
      </c>
      <c r="N17" s="13" t="s">
        <v>788</v>
      </c>
      <c r="O17" s="12">
        <v>15</v>
      </c>
      <c r="P17" s="54"/>
      <c r="Q17" s="54"/>
      <c r="R17" s="18">
        <v>5300</v>
      </c>
      <c r="S17" s="54"/>
      <c r="T17" s="12"/>
      <c r="U17" s="54"/>
      <c r="V17" s="54"/>
      <c r="W17" s="54">
        <f t="shared" si="0"/>
        <v>0</v>
      </c>
      <c r="X17" s="206">
        <v>825.25</v>
      </c>
      <c r="Y17" s="207">
        <v>1473.44</v>
      </c>
      <c r="Z17" s="208">
        <f t="shared" si="1"/>
        <v>4373825</v>
      </c>
      <c r="AA17" s="208">
        <f t="shared" si="2"/>
        <v>0</v>
      </c>
      <c r="AB17" s="54"/>
    </row>
    <row r="18" spans="1:28" s="116" customFormat="1" x14ac:dyDescent="0.25">
      <c r="A18" s="92" t="s">
        <v>808</v>
      </c>
      <c r="B18" s="92" t="s">
        <v>809</v>
      </c>
      <c r="C18" s="92">
        <v>100</v>
      </c>
      <c r="D18" s="92">
        <v>30</v>
      </c>
      <c r="E18" s="92">
        <v>30</v>
      </c>
      <c r="F18" s="92">
        <v>30</v>
      </c>
      <c r="G18" s="92">
        <f>VLOOKUP(A18,'[1]yourspreadsheetname (1)'!$A$2:$C$968, 3, FALSE)</f>
        <v>240</v>
      </c>
      <c r="H18" s="92">
        <v>0</v>
      </c>
      <c r="I18" s="92"/>
      <c r="J18" s="92"/>
      <c r="K18" s="92">
        <v>756676</v>
      </c>
      <c r="L18" s="92"/>
      <c r="M18" s="92" t="s">
        <v>285</v>
      </c>
      <c r="N18" s="13" t="s">
        <v>788</v>
      </c>
      <c r="O18" s="12">
        <v>16</v>
      </c>
      <c r="P18" s="54"/>
      <c r="Q18" s="96"/>
      <c r="R18" s="18">
        <v>120</v>
      </c>
      <c r="S18" s="54"/>
      <c r="T18" s="12"/>
      <c r="U18" s="54"/>
      <c r="V18" s="54"/>
      <c r="W18" s="54">
        <f t="shared" si="0"/>
        <v>0</v>
      </c>
      <c r="X18" s="206">
        <v>757.91</v>
      </c>
      <c r="Y18" s="207"/>
      <c r="Z18" s="208">
        <f t="shared" si="1"/>
        <v>90949.2</v>
      </c>
      <c r="AA18" s="208">
        <f t="shared" si="2"/>
        <v>0</v>
      </c>
      <c r="AB18" s="54"/>
    </row>
    <row r="19" spans="1:28" s="116" customFormat="1" x14ac:dyDescent="0.25">
      <c r="A19" s="92" t="s">
        <v>353</v>
      </c>
      <c r="B19" s="92" t="s">
        <v>354</v>
      </c>
      <c r="C19" s="92"/>
      <c r="D19" s="92"/>
      <c r="E19" s="92">
        <v>60</v>
      </c>
      <c r="F19" s="92">
        <v>60</v>
      </c>
      <c r="G19" s="92">
        <f>VLOOKUP(A19,'[1]yourspreadsheetname (1)'!$A$2:$C$968, 3, FALSE)</f>
        <v>0</v>
      </c>
      <c r="H19" s="92">
        <v>540</v>
      </c>
      <c r="I19" s="92"/>
      <c r="J19" s="92"/>
      <c r="K19" s="92">
        <v>756676</v>
      </c>
      <c r="L19" s="92"/>
      <c r="M19" s="92" t="s">
        <v>285</v>
      </c>
      <c r="N19" s="13" t="s">
        <v>788</v>
      </c>
      <c r="O19" s="12">
        <v>17</v>
      </c>
      <c r="P19" s="54"/>
      <c r="Q19" s="96"/>
      <c r="R19" s="18">
        <f>((F19*15)-G19-I19)/2</f>
        <v>450</v>
      </c>
      <c r="S19" s="54"/>
      <c r="T19" s="12"/>
      <c r="U19" s="54"/>
      <c r="V19" s="54"/>
      <c r="W19" s="54">
        <f t="shared" si="0"/>
        <v>0</v>
      </c>
      <c r="X19" s="206">
        <v>790</v>
      </c>
      <c r="Y19" s="207"/>
      <c r="Z19" s="208">
        <f t="shared" si="1"/>
        <v>355500</v>
      </c>
      <c r="AA19" s="208">
        <f t="shared" si="2"/>
        <v>0</v>
      </c>
      <c r="AB19" s="54"/>
    </row>
    <row r="20" spans="1:28" s="116" customFormat="1" x14ac:dyDescent="0.25">
      <c r="A20" s="127" t="s">
        <v>810</v>
      </c>
      <c r="B20" s="127" t="s">
        <v>811</v>
      </c>
      <c r="C20" s="54"/>
      <c r="D20" s="54">
        <v>1500</v>
      </c>
      <c r="E20" s="54">
        <v>1900</v>
      </c>
      <c r="F20" s="54">
        <v>1800</v>
      </c>
      <c r="G20" s="54">
        <f>VLOOKUP(A20,'[1]yourspreadsheetname (1)'!$A$2:$C$968, 3, FALSE)</f>
        <v>3950</v>
      </c>
      <c r="H20" s="54">
        <v>17000</v>
      </c>
      <c r="I20" s="54">
        <v>5000</v>
      </c>
      <c r="J20" s="12"/>
      <c r="K20" s="12">
        <v>756676</v>
      </c>
      <c r="L20" s="12"/>
      <c r="M20" s="12" t="s">
        <v>263</v>
      </c>
      <c r="N20" s="13" t="s">
        <v>788</v>
      </c>
      <c r="O20" s="12">
        <v>18</v>
      </c>
      <c r="P20" s="54" t="s">
        <v>791</v>
      </c>
      <c r="Q20" s="54" t="s">
        <v>2000</v>
      </c>
      <c r="R20" s="18">
        <v>9000</v>
      </c>
      <c r="S20" s="54"/>
      <c r="T20" s="12"/>
      <c r="U20" s="54">
        <v>9000</v>
      </c>
      <c r="V20" s="54">
        <v>9000</v>
      </c>
      <c r="W20" s="54">
        <f t="shared" si="0"/>
        <v>18000</v>
      </c>
      <c r="X20" s="206">
        <v>196</v>
      </c>
      <c r="Y20" s="207">
        <v>110</v>
      </c>
      <c r="Z20" s="208">
        <f t="shared" si="1"/>
        <v>1764000</v>
      </c>
      <c r="AA20" s="208">
        <f t="shared" si="2"/>
        <v>1980000</v>
      </c>
      <c r="AB20" s="54"/>
    </row>
    <row r="21" spans="1:28" s="116" customFormat="1" x14ac:dyDescent="0.25">
      <c r="A21" s="92" t="s">
        <v>511</v>
      </c>
      <c r="B21" s="92" t="s">
        <v>512</v>
      </c>
      <c r="C21" s="92">
        <v>400</v>
      </c>
      <c r="D21" s="92">
        <v>350</v>
      </c>
      <c r="E21" s="92">
        <v>120</v>
      </c>
      <c r="F21" s="92">
        <v>210</v>
      </c>
      <c r="G21" s="92">
        <v>1300</v>
      </c>
      <c r="H21" s="92">
        <v>0</v>
      </c>
      <c r="I21" s="92"/>
      <c r="J21" s="92"/>
      <c r="K21" s="92">
        <v>756676</v>
      </c>
      <c r="L21" s="259"/>
      <c r="M21" s="92" t="s">
        <v>263</v>
      </c>
      <c r="N21" s="13" t="s">
        <v>788</v>
      </c>
      <c r="O21" s="12">
        <v>19</v>
      </c>
      <c r="P21" s="96"/>
      <c r="Q21" s="54"/>
      <c r="R21" s="18">
        <v>900</v>
      </c>
      <c r="S21" s="54"/>
      <c r="T21" s="12"/>
      <c r="U21" s="54"/>
      <c r="V21" s="54"/>
      <c r="W21" s="54">
        <f t="shared" si="0"/>
        <v>0</v>
      </c>
      <c r="X21" s="206">
        <v>947.11</v>
      </c>
      <c r="Y21" s="207">
        <v>1653.14</v>
      </c>
      <c r="Z21" s="208">
        <f t="shared" si="1"/>
        <v>852399</v>
      </c>
      <c r="AA21" s="208">
        <f t="shared" si="2"/>
        <v>0</v>
      </c>
      <c r="AB21" s="54"/>
    </row>
    <row r="22" spans="1:28" s="116" customFormat="1" x14ac:dyDescent="0.25">
      <c r="A22" s="54" t="s">
        <v>812</v>
      </c>
      <c r="B22" s="54" t="s">
        <v>813</v>
      </c>
      <c r="C22" s="54">
        <v>1000</v>
      </c>
      <c r="D22" s="54">
        <v>939</v>
      </c>
      <c r="E22" s="54">
        <v>1300</v>
      </c>
      <c r="F22" s="54">
        <v>1500</v>
      </c>
      <c r="G22" s="54">
        <f>VLOOKUP(A22,'[1]yourspreadsheetname (1)'!$A$2:$C$968, 3, FALSE)</f>
        <v>1320</v>
      </c>
      <c r="H22" s="54">
        <v>7800</v>
      </c>
      <c r="I22" s="54"/>
      <c r="J22" s="12"/>
      <c r="K22" s="12">
        <v>756676</v>
      </c>
      <c r="L22" s="136"/>
      <c r="M22" s="12" t="s">
        <v>263</v>
      </c>
      <c r="N22" s="13" t="s">
        <v>788</v>
      </c>
      <c r="O22" s="12">
        <v>20</v>
      </c>
      <c r="P22" s="54" t="s">
        <v>791</v>
      </c>
      <c r="Q22" s="54" t="s">
        <v>2000</v>
      </c>
      <c r="R22" s="18">
        <v>10600</v>
      </c>
      <c r="S22" s="54"/>
      <c r="T22" s="12"/>
      <c r="U22" s="54">
        <v>10900</v>
      </c>
      <c r="V22" s="54">
        <v>2500</v>
      </c>
      <c r="W22" s="54">
        <f t="shared" si="0"/>
        <v>13400</v>
      </c>
      <c r="X22" s="206">
        <v>58</v>
      </c>
      <c r="Y22" s="207">
        <v>59.56</v>
      </c>
      <c r="Z22" s="208">
        <f t="shared" si="1"/>
        <v>614800</v>
      </c>
      <c r="AA22" s="208">
        <f t="shared" si="2"/>
        <v>798104</v>
      </c>
      <c r="AB22" s="54"/>
    </row>
    <row r="23" spans="1:28" s="116" customFormat="1" x14ac:dyDescent="0.25">
      <c r="A23" s="54" t="s">
        <v>814</v>
      </c>
      <c r="B23" s="54" t="s">
        <v>815</v>
      </c>
      <c r="C23" s="54">
        <v>1500</v>
      </c>
      <c r="D23" s="54">
        <v>1500</v>
      </c>
      <c r="E23" s="54">
        <v>2200</v>
      </c>
      <c r="F23" s="54">
        <v>2200</v>
      </c>
      <c r="G23" s="54">
        <f>VLOOKUP(A23,'[1]yourspreadsheetname (1)'!$A$2:$C$968, 3, FALSE)</f>
        <v>0</v>
      </c>
      <c r="H23" s="54">
        <v>13000</v>
      </c>
      <c r="I23" s="54"/>
      <c r="J23" s="92"/>
      <c r="K23" s="12">
        <v>756676</v>
      </c>
      <c r="L23" s="92"/>
      <c r="M23" s="54" t="s">
        <v>259</v>
      </c>
      <c r="N23" s="13" t="s">
        <v>788</v>
      </c>
      <c r="O23" s="12">
        <v>21</v>
      </c>
      <c r="P23" s="54" t="s">
        <v>805</v>
      </c>
      <c r="Q23" s="54" t="s">
        <v>1998</v>
      </c>
      <c r="R23" s="18">
        <f>((F23*15)-G23-I23)/2</f>
        <v>16500</v>
      </c>
      <c r="S23" s="54"/>
      <c r="T23" s="12"/>
      <c r="U23" s="54">
        <v>12000</v>
      </c>
      <c r="V23" s="54">
        <v>12000</v>
      </c>
      <c r="W23" s="54">
        <f t="shared" si="0"/>
        <v>24000</v>
      </c>
      <c r="X23" s="206">
        <v>924</v>
      </c>
      <c r="Y23" s="207">
        <v>182</v>
      </c>
      <c r="Z23" s="208">
        <f t="shared" si="1"/>
        <v>15246000</v>
      </c>
      <c r="AA23" s="208">
        <f t="shared" si="2"/>
        <v>4368000</v>
      </c>
      <c r="AB23" s="54"/>
    </row>
    <row r="24" spans="1:28" s="116" customFormat="1" x14ac:dyDescent="0.25">
      <c r="A24" s="92" t="s">
        <v>513</v>
      </c>
      <c r="B24" s="92" t="s">
        <v>514</v>
      </c>
      <c r="C24" s="92">
        <v>200</v>
      </c>
      <c r="D24" s="92"/>
      <c r="E24" s="92">
        <v>100</v>
      </c>
      <c r="F24" s="92">
        <v>150</v>
      </c>
      <c r="G24" s="92">
        <f>VLOOKUP(A24,'[1]yourspreadsheetname (1)'!$A$2:$C$968, 3, FALSE)</f>
        <v>0</v>
      </c>
      <c r="H24" s="92">
        <v>0</v>
      </c>
      <c r="I24" s="92"/>
      <c r="J24" s="92"/>
      <c r="K24" s="92">
        <v>756676</v>
      </c>
      <c r="L24" s="404"/>
      <c r="M24" s="60" t="s">
        <v>263</v>
      </c>
      <c r="N24" s="13" t="s">
        <v>788</v>
      </c>
      <c r="O24" s="12">
        <v>22</v>
      </c>
      <c r="P24" s="96"/>
      <c r="Q24" s="96"/>
      <c r="R24" s="18">
        <v>1100</v>
      </c>
      <c r="S24" s="54"/>
      <c r="T24" s="12"/>
      <c r="U24" s="54"/>
      <c r="V24" s="54"/>
      <c r="W24" s="54">
        <f t="shared" si="0"/>
        <v>0</v>
      </c>
      <c r="X24" s="206">
        <v>263.5</v>
      </c>
      <c r="Y24" s="207">
        <v>398</v>
      </c>
      <c r="Z24" s="208">
        <f t="shared" si="1"/>
        <v>289850</v>
      </c>
      <c r="AA24" s="208">
        <f t="shared" si="2"/>
        <v>0</v>
      </c>
      <c r="AB24" s="54"/>
    </row>
    <row r="25" spans="1:28" s="116" customFormat="1" x14ac:dyDescent="0.25">
      <c r="A25" s="54" t="s">
        <v>816</v>
      </c>
      <c r="B25" s="54" t="s">
        <v>817</v>
      </c>
      <c r="C25" s="54">
        <v>400</v>
      </c>
      <c r="D25" s="54">
        <v>300</v>
      </c>
      <c r="E25" s="54">
        <v>300</v>
      </c>
      <c r="F25" s="54">
        <v>200</v>
      </c>
      <c r="G25" s="54">
        <f>VLOOKUP(A25,'[1]yourspreadsheetname (1)'!$A$2:$C$968, 3, FALSE)</f>
        <v>1650</v>
      </c>
      <c r="H25" s="54">
        <v>1800</v>
      </c>
      <c r="I25" s="54"/>
      <c r="J25" s="12"/>
      <c r="K25" s="12">
        <v>756676</v>
      </c>
      <c r="L25" s="12"/>
      <c r="M25" s="29" t="s">
        <v>796</v>
      </c>
      <c r="N25" s="13" t="s">
        <v>788</v>
      </c>
      <c r="O25" s="12">
        <v>23</v>
      </c>
      <c r="P25" s="54" t="s">
        <v>807</v>
      </c>
      <c r="Q25" s="96" t="s">
        <v>1999</v>
      </c>
      <c r="R25" s="18">
        <v>700</v>
      </c>
      <c r="S25" s="54"/>
      <c r="T25" s="12"/>
      <c r="U25" s="54">
        <v>700</v>
      </c>
      <c r="V25" s="54">
        <v>350</v>
      </c>
      <c r="W25" s="54">
        <f t="shared" si="0"/>
        <v>1050</v>
      </c>
      <c r="X25" s="206">
        <v>77</v>
      </c>
      <c r="Y25" s="207">
        <v>174.58</v>
      </c>
      <c r="Z25" s="208">
        <f t="shared" si="1"/>
        <v>53900</v>
      </c>
      <c r="AA25" s="208">
        <f t="shared" si="2"/>
        <v>183309</v>
      </c>
      <c r="AB25" s="54"/>
    </row>
    <row r="26" spans="1:28" s="132" customFormat="1" x14ac:dyDescent="0.25">
      <c r="A26" s="92" t="s">
        <v>505</v>
      </c>
      <c r="B26" s="92" t="s">
        <v>506</v>
      </c>
      <c r="C26" s="92">
        <v>200</v>
      </c>
      <c r="D26" s="92">
        <v>150</v>
      </c>
      <c r="E26" s="92">
        <v>300</v>
      </c>
      <c r="F26" s="92">
        <v>300</v>
      </c>
      <c r="G26" s="92">
        <f>VLOOKUP(A26,'[1]yourspreadsheetname (1)'!$A$2:$C$968, 3, FALSE)</f>
        <v>0</v>
      </c>
      <c r="H26" s="92">
        <v>1800</v>
      </c>
      <c r="I26" s="92"/>
      <c r="J26" s="92"/>
      <c r="K26" s="92">
        <v>756676</v>
      </c>
      <c r="L26" s="92"/>
      <c r="M26" s="92" t="s">
        <v>263</v>
      </c>
      <c r="N26" s="93" t="s">
        <v>788</v>
      </c>
      <c r="O26" s="12">
        <v>24</v>
      </c>
      <c r="P26" s="54"/>
      <c r="Q26" s="54"/>
      <c r="R26" s="18">
        <f t="shared" ref="R26:R31" si="3">((F26*15)-G26-I26)/2</f>
        <v>2250</v>
      </c>
      <c r="S26" s="54"/>
      <c r="T26" s="12"/>
      <c r="U26" s="54"/>
      <c r="V26" s="54"/>
      <c r="W26" s="54">
        <f t="shared" si="0"/>
        <v>0</v>
      </c>
      <c r="X26" s="206">
        <v>390</v>
      </c>
      <c r="Y26" s="207">
        <v>546</v>
      </c>
      <c r="Z26" s="208">
        <f t="shared" si="1"/>
        <v>877500</v>
      </c>
      <c r="AA26" s="208">
        <f t="shared" si="2"/>
        <v>0</v>
      </c>
      <c r="AB26" s="54"/>
    </row>
    <row r="27" spans="1:28" s="116" customFormat="1" x14ac:dyDescent="0.25">
      <c r="A27" s="54" t="s">
        <v>818</v>
      </c>
      <c r="B27" s="54" t="s">
        <v>819</v>
      </c>
      <c r="C27" s="54">
        <v>0</v>
      </c>
      <c r="D27" s="54">
        <v>300</v>
      </c>
      <c r="E27" s="54">
        <v>300</v>
      </c>
      <c r="F27" s="54">
        <v>400</v>
      </c>
      <c r="G27" s="54">
        <f>VLOOKUP(A27,'[1]yourspreadsheetname (1)'!$A$2:$C$968, 3, FALSE)</f>
        <v>1800</v>
      </c>
      <c r="H27" s="54">
        <v>1800</v>
      </c>
      <c r="I27" s="54"/>
      <c r="J27" s="12"/>
      <c r="K27" s="12">
        <v>756676</v>
      </c>
      <c r="L27" s="12"/>
      <c r="M27" s="12" t="s">
        <v>263</v>
      </c>
      <c r="N27" s="13" t="s">
        <v>788</v>
      </c>
      <c r="O27" s="12">
        <v>25</v>
      </c>
      <c r="P27" s="54" t="s">
        <v>791</v>
      </c>
      <c r="Q27" s="54"/>
      <c r="R27" s="18">
        <f t="shared" si="3"/>
        <v>2100</v>
      </c>
      <c r="S27" s="54"/>
      <c r="T27" s="12"/>
      <c r="U27" s="54">
        <v>2100</v>
      </c>
      <c r="V27" s="54"/>
      <c r="W27" s="54">
        <f t="shared" si="0"/>
        <v>2100</v>
      </c>
      <c r="X27" s="206">
        <v>1222</v>
      </c>
      <c r="Y27" s="207">
        <v>548.29</v>
      </c>
      <c r="Z27" s="208">
        <f t="shared" si="1"/>
        <v>2566200</v>
      </c>
      <c r="AA27" s="208">
        <f t="shared" si="2"/>
        <v>1151409</v>
      </c>
      <c r="AB27" s="54"/>
    </row>
    <row r="28" spans="1:28" s="116" customFormat="1" x14ac:dyDescent="0.25">
      <c r="A28" s="54" t="s">
        <v>820</v>
      </c>
      <c r="B28" s="96" t="s">
        <v>821</v>
      </c>
      <c r="C28" s="368">
        <v>0</v>
      </c>
      <c r="D28" s="54">
        <v>860</v>
      </c>
      <c r="E28" s="54">
        <v>1500</v>
      </c>
      <c r="F28" s="54">
        <v>2500</v>
      </c>
      <c r="G28" s="54">
        <f>VLOOKUP(A28,'[1]yourspreadsheetname (1)'!$A$2:$C$968, 3, FALSE)</f>
        <v>2400</v>
      </c>
      <c r="H28" s="54">
        <v>15000</v>
      </c>
      <c r="I28" s="54">
        <v>4300</v>
      </c>
      <c r="J28" s="12"/>
      <c r="K28" s="12">
        <v>756676</v>
      </c>
      <c r="L28" s="217"/>
      <c r="M28" s="12" t="s">
        <v>822</v>
      </c>
      <c r="N28" s="13" t="s">
        <v>788</v>
      </c>
      <c r="O28" s="12">
        <v>26</v>
      </c>
      <c r="P28" s="54" t="s">
        <v>823</v>
      </c>
      <c r="Q28" s="54"/>
      <c r="R28" s="18">
        <f t="shared" si="3"/>
        <v>15400</v>
      </c>
      <c r="S28" s="54">
        <v>7000</v>
      </c>
      <c r="T28" s="12"/>
      <c r="U28" s="54">
        <v>7000</v>
      </c>
      <c r="V28" s="54"/>
      <c r="W28" s="54">
        <f t="shared" si="0"/>
        <v>7000</v>
      </c>
      <c r="X28" s="206">
        <v>124</v>
      </c>
      <c r="Y28" s="207">
        <v>101</v>
      </c>
      <c r="Z28" s="208">
        <f t="shared" si="1"/>
        <v>1909600</v>
      </c>
      <c r="AA28" s="208">
        <f t="shared" si="2"/>
        <v>707000</v>
      </c>
      <c r="AB28" s="170"/>
    </row>
    <row r="29" spans="1:28" s="116" customFormat="1" x14ac:dyDescent="0.25">
      <c r="A29" s="92" t="s">
        <v>355</v>
      </c>
      <c r="B29" s="92" t="s">
        <v>356</v>
      </c>
      <c r="C29" s="92">
        <v>0</v>
      </c>
      <c r="D29" s="92">
        <v>30</v>
      </c>
      <c r="E29" s="92">
        <v>10</v>
      </c>
      <c r="F29" s="92">
        <v>60</v>
      </c>
      <c r="G29" s="92">
        <f>VLOOKUP(A29,'[1]yourspreadsheetname (1)'!$A$2:$C$968, 3, FALSE)</f>
        <v>0</v>
      </c>
      <c r="H29" s="92">
        <v>80</v>
      </c>
      <c r="I29" s="92"/>
      <c r="J29" s="92"/>
      <c r="K29" s="92">
        <v>756676</v>
      </c>
      <c r="L29" s="92"/>
      <c r="M29" s="92" t="s">
        <v>285</v>
      </c>
      <c r="N29" s="13" t="s">
        <v>788</v>
      </c>
      <c r="O29" s="12">
        <v>27</v>
      </c>
      <c r="P29" s="54"/>
      <c r="Q29" s="54"/>
      <c r="R29" s="18">
        <f t="shared" si="3"/>
        <v>450</v>
      </c>
      <c r="S29" s="54"/>
      <c r="T29" s="12"/>
      <c r="U29" s="54"/>
      <c r="V29" s="54"/>
      <c r="W29" s="54">
        <f t="shared" si="0"/>
        <v>0</v>
      </c>
      <c r="X29" s="206">
        <v>189</v>
      </c>
      <c r="Y29" s="207"/>
      <c r="Z29" s="208">
        <f t="shared" si="1"/>
        <v>85050</v>
      </c>
      <c r="AA29" s="208">
        <f t="shared" si="2"/>
        <v>0</v>
      </c>
      <c r="AB29" s="54"/>
    </row>
    <row r="30" spans="1:28" s="116" customFormat="1" x14ac:dyDescent="0.25">
      <c r="A30" s="92" t="s">
        <v>474</v>
      </c>
      <c r="B30" s="92" t="s">
        <v>475</v>
      </c>
      <c r="C30" s="92"/>
      <c r="D30" s="92"/>
      <c r="E30" s="92">
        <v>200</v>
      </c>
      <c r="F30" s="92">
        <v>120</v>
      </c>
      <c r="G30" s="92">
        <f>VLOOKUP(A30,'[1]yourspreadsheetname (1)'!$A$2:$C$968, 3, FALSE)</f>
        <v>1100</v>
      </c>
      <c r="H30" s="92">
        <v>1400</v>
      </c>
      <c r="I30" s="92"/>
      <c r="J30" s="92"/>
      <c r="K30" s="92">
        <v>756676</v>
      </c>
      <c r="L30" s="404"/>
      <c r="M30" s="60" t="s">
        <v>263</v>
      </c>
      <c r="N30" s="13" t="s">
        <v>788</v>
      </c>
      <c r="O30" s="12">
        <v>28</v>
      </c>
      <c r="P30" s="54"/>
      <c r="Q30" s="96"/>
      <c r="R30" s="18">
        <f t="shared" si="3"/>
        <v>350</v>
      </c>
      <c r="S30" s="54"/>
      <c r="T30" s="12"/>
      <c r="U30" s="54"/>
      <c r="V30" s="54"/>
      <c r="W30" s="54">
        <f t="shared" si="0"/>
        <v>0</v>
      </c>
      <c r="X30" s="206">
        <v>1448.2</v>
      </c>
      <c r="Y30" s="207">
        <v>2896.6</v>
      </c>
      <c r="Z30" s="208">
        <f t="shared" si="1"/>
        <v>506870</v>
      </c>
      <c r="AA30" s="208">
        <f t="shared" si="2"/>
        <v>0</v>
      </c>
      <c r="AB30" s="54"/>
    </row>
    <row r="31" spans="1:28" s="116" customFormat="1" x14ac:dyDescent="0.25">
      <c r="A31" s="92" t="s">
        <v>357</v>
      </c>
      <c r="B31" s="92" t="s">
        <v>358</v>
      </c>
      <c r="C31" s="92">
        <v>0</v>
      </c>
      <c r="D31" s="92">
        <v>0</v>
      </c>
      <c r="E31" s="92">
        <v>60</v>
      </c>
      <c r="F31" s="92">
        <v>60</v>
      </c>
      <c r="G31" s="92">
        <f>VLOOKUP(A31,'[1]yourspreadsheetname (1)'!$A$2:$C$968, 3, FALSE)</f>
        <v>0</v>
      </c>
      <c r="H31" s="92">
        <v>360</v>
      </c>
      <c r="I31" s="92"/>
      <c r="J31" s="92"/>
      <c r="K31" s="92">
        <v>756676</v>
      </c>
      <c r="L31" s="92"/>
      <c r="M31" s="92" t="s">
        <v>285</v>
      </c>
      <c r="N31" s="13" t="s">
        <v>788</v>
      </c>
      <c r="O31" s="12">
        <v>29</v>
      </c>
      <c r="P31" s="54"/>
      <c r="Q31" s="54"/>
      <c r="R31" s="18">
        <f t="shared" si="3"/>
        <v>450</v>
      </c>
      <c r="S31" s="54"/>
      <c r="T31" s="12"/>
      <c r="U31" s="54"/>
      <c r="V31" s="54"/>
      <c r="W31" s="54">
        <f t="shared" si="0"/>
        <v>0</v>
      </c>
      <c r="X31" s="206">
        <v>139</v>
      </c>
      <c r="Y31" s="207"/>
      <c r="Z31" s="208">
        <f t="shared" si="1"/>
        <v>62550</v>
      </c>
      <c r="AA31" s="208">
        <f t="shared" si="2"/>
        <v>0</v>
      </c>
      <c r="AB31" s="54"/>
    </row>
    <row r="32" spans="1:28" s="116" customFormat="1" x14ac:dyDescent="0.25">
      <c r="A32" s="92" t="s">
        <v>476</v>
      </c>
      <c r="B32" s="60" t="s">
        <v>477</v>
      </c>
      <c r="C32" s="60">
        <v>0</v>
      </c>
      <c r="D32" s="92">
        <v>200</v>
      </c>
      <c r="E32" s="92">
        <v>300</v>
      </c>
      <c r="F32" s="92">
        <v>300</v>
      </c>
      <c r="G32" s="92">
        <f>VLOOKUP(A32,'[1]yourspreadsheetname (1)'!$A$2:$C$968, 3, FALSE)</f>
        <v>1860</v>
      </c>
      <c r="H32" s="92">
        <v>2000</v>
      </c>
      <c r="I32" s="92"/>
      <c r="J32" s="92"/>
      <c r="K32" s="92">
        <v>756676</v>
      </c>
      <c r="L32" s="92"/>
      <c r="M32" s="92" t="s">
        <v>796</v>
      </c>
      <c r="N32" s="13" t="s">
        <v>788</v>
      </c>
      <c r="O32" s="12">
        <v>30</v>
      </c>
      <c r="P32" s="54"/>
      <c r="Q32" s="96"/>
      <c r="R32" s="18">
        <v>1300</v>
      </c>
      <c r="S32" s="54"/>
      <c r="T32" s="12"/>
      <c r="U32" s="54"/>
      <c r="V32" s="96"/>
      <c r="W32" s="54">
        <f t="shared" si="0"/>
        <v>0</v>
      </c>
      <c r="X32" s="206">
        <v>65.849999999999994</v>
      </c>
      <c r="Y32" s="207">
        <v>100.8</v>
      </c>
      <c r="Z32" s="208">
        <f t="shared" si="1"/>
        <v>85604.999999999985</v>
      </c>
      <c r="AA32" s="208">
        <f t="shared" si="2"/>
        <v>0</v>
      </c>
      <c r="AB32" s="96"/>
    </row>
    <row r="33" spans="1:28" s="116" customFormat="1" ht="15.75" customHeight="1" x14ac:dyDescent="0.25">
      <c r="A33" s="92" t="s">
        <v>190</v>
      </c>
      <c r="B33" s="92" t="s">
        <v>191</v>
      </c>
      <c r="C33" s="92">
        <v>0</v>
      </c>
      <c r="D33" s="92">
        <v>75</v>
      </c>
      <c r="E33" s="92">
        <v>50</v>
      </c>
      <c r="F33" s="92">
        <v>40</v>
      </c>
      <c r="G33" s="92">
        <f>VLOOKUP(A33,'[1]yourspreadsheetname (1)'!$A$2:$C$968, 3, FALSE)</f>
        <v>380</v>
      </c>
      <c r="H33" s="92">
        <v>300</v>
      </c>
      <c r="I33" s="92"/>
      <c r="J33" s="309"/>
      <c r="K33" s="92">
        <v>756676</v>
      </c>
      <c r="L33" s="92"/>
      <c r="M33" s="92" t="s">
        <v>796</v>
      </c>
      <c r="N33" s="13" t="s">
        <v>788</v>
      </c>
      <c r="O33" s="12">
        <v>31</v>
      </c>
      <c r="P33" s="54"/>
      <c r="Q33" s="54"/>
      <c r="R33" s="18">
        <v>120</v>
      </c>
      <c r="S33" s="54"/>
      <c r="T33" s="12"/>
      <c r="U33" s="54"/>
      <c r="V33" s="54"/>
      <c r="W33" s="54">
        <f t="shared" si="0"/>
        <v>0</v>
      </c>
      <c r="X33" s="206">
        <v>338</v>
      </c>
      <c r="Y33" s="207">
        <v>4120.6099999999997</v>
      </c>
      <c r="Z33" s="208">
        <f t="shared" si="1"/>
        <v>40560</v>
      </c>
      <c r="AA33" s="208">
        <f t="shared" si="2"/>
        <v>0</v>
      </c>
      <c r="AB33" s="54"/>
    </row>
    <row r="34" spans="1:28" s="116" customFormat="1" x14ac:dyDescent="0.25">
      <c r="A34" s="92" t="s">
        <v>557</v>
      </c>
      <c r="B34" s="92" t="s">
        <v>558</v>
      </c>
      <c r="C34" s="92">
        <v>0</v>
      </c>
      <c r="D34" s="92">
        <v>0</v>
      </c>
      <c r="E34" s="92">
        <v>0</v>
      </c>
      <c r="F34" s="92">
        <v>0</v>
      </c>
      <c r="G34" s="92">
        <f>VLOOKUP(A34,'[1]yourspreadsheetname (1)'!$A$2:$C$968, 3, FALSE)</f>
        <v>0</v>
      </c>
      <c r="H34" s="92">
        <v>100</v>
      </c>
      <c r="I34" s="92"/>
      <c r="J34" s="92"/>
      <c r="K34" s="92">
        <v>756676</v>
      </c>
      <c r="L34" s="92"/>
      <c r="M34" s="92" t="s">
        <v>263</v>
      </c>
      <c r="N34" s="13" t="s">
        <v>788</v>
      </c>
      <c r="O34" s="12">
        <v>32</v>
      </c>
      <c r="P34" s="54"/>
      <c r="Q34" s="54"/>
      <c r="R34" s="18">
        <v>120</v>
      </c>
      <c r="S34" s="54"/>
      <c r="T34" s="12"/>
      <c r="U34" s="54"/>
      <c r="V34" s="54"/>
      <c r="W34" s="54">
        <f t="shared" si="0"/>
        <v>0</v>
      </c>
      <c r="X34" s="206">
        <v>1210</v>
      </c>
      <c r="Y34" s="207">
        <v>1851.29</v>
      </c>
      <c r="Z34" s="208">
        <f t="shared" si="1"/>
        <v>145200</v>
      </c>
      <c r="AA34" s="208">
        <f t="shared" si="2"/>
        <v>0</v>
      </c>
      <c r="AB34" s="54"/>
    </row>
    <row r="35" spans="1:28" s="116" customFormat="1" ht="14.25" customHeight="1" x14ac:dyDescent="0.25">
      <c r="A35" s="54" t="s">
        <v>824</v>
      </c>
      <c r="B35" s="54" t="s">
        <v>825</v>
      </c>
      <c r="C35" s="54">
        <v>0</v>
      </c>
      <c r="D35" s="54">
        <v>0</v>
      </c>
      <c r="E35" s="54">
        <v>500</v>
      </c>
      <c r="F35" s="54">
        <v>600</v>
      </c>
      <c r="G35" s="54">
        <v>0</v>
      </c>
      <c r="H35" s="54">
        <v>5000</v>
      </c>
      <c r="I35" s="54"/>
      <c r="J35" s="92"/>
      <c r="K35" s="12">
        <v>756676</v>
      </c>
      <c r="L35" s="92"/>
      <c r="M35" s="54" t="s">
        <v>259</v>
      </c>
      <c r="N35" s="13" t="s">
        <v>788</v>
      </c>
      <c r="O35" s="12">
        <v>33</v>
      </c>
      <c r="P35" s="54" t="s">
        <v>805</v>
      </c>
      <c r="Q35" s="54" t="s">
        <v>1998</v>
      </c>
      <c r="R35" s="18">
        <f>((F35*15)-G35-I35)/2</f>
        <v>4500</v>
      </c>
      <c r="S35" s="54"/>
      <c r="T35" s="12"/>
      <c r="U35" s="54">
        <v>4500</v>
      </c>
      <c r="V35" s="54">
        <v>2000</v>
      </c>
      <c r="W35" s="54">
        <f t="shared" si="0"/>
        <v>6500</v>
      </c>
      <c r="X35" s="206">
        <v>118.2</v>
      </c>
      <c r="Y35" s="207">
        <v>137.16</v>
      </c>
      <c r="Z35" s="208">
        <f t="shared" ref="Z35:Z66" si="4">X35*R35</f>
        <v>531900</v>
      </c>
      <c r="AA35" s="208">
        <f t="shared" si="2"/>
        <v>891540</v>
      </c>
      <c r="AB35" s="54"/>
    </row>
    <row r="36" spans="1:28" s="116" customFormat="1" x14ac:dyDescent="0.25">
      <c r="A36" s="54" t="s">
        <v>826</v>
      </c>
      <c r="B36" s="54" t="s">
        <v>827</v>
      </c>
      <c r="C36" s="54">
        <v>1000</v>
      </c>
      <c r="D36" s="54"/>
      <c r="E36" s="54">
        <v>1800</v>
      </c>
      <c r="F36" s="54">
        <v>1700</v>
      </c>
      <c r="G36" s="54">
        <f>VLOOKUP(A36,'[1]yourspreadsheetname (1)'!$A$2:$C$968, 3, FALSE)</f>
        <v>9450</v>
      </c>
      <c r="H36" s="54">
        <v>16600</v>
      </c>
      <c r="I36" s="54"/>
      <c r="J36" s="12"/>
      <c r="K36" s="12">
        <v>756676</v>
      </c>
      <c r="L36" s="12"/>
      <c r="M36" s="12" t="s">
        <v>259</v>
      </c>
      <c r="N36" s="13" t="s">
        <v>788</v>
      </c>
      <c r="O36" s="12">
        <v>34</v>
      </c>
      <c r="P36" s="54" t="s">
        <v>805</v>
      </c>
      <c r="Q36" s="96"/>
      <c r="R36" s="18">
        <v>8000</v>
      </c>
      <c r="S36" s="54"/>
      <c r="T36" s="12"/>
      <c r="U36" s="54">
        <v>8000</v>
      </c>
      <c r="V36" s="54"/>
      <c r="W36" s="54">
        <f t="shared" si="0"/>
        <v>8000</v>
      </c>
      <c r="X36" s="206">
        <v>38.5</v>
      </c>
      <c r="Y36" s="207">
        <v>34.270000000000003</v>
      </c>
      <c r="Z36" s="208">
        <f t="shared" si="4"/>
        <v>308000</v>
      </c>
      <c r="AA36" s="208">
        <f t="shared" si="2"/>
        <v>274160</v>
      </c>
      <c r="AB36" s="54"/>
    </row>
    <row r="37" spans="1:28" s="132" customFormat="1" x14ac:dyDescent="0.25">
      <c r="A37" s="104" t="s">
        <v>828</v>
      </c>
      <c r="B37" s="96" t="s">
        <v>829</v>
      </c>
      <c r="C37" s="104">
        <v>1500</v>
      </c>
      <c r="D37" s="128"/>
      <c r="E37" s="128">
        <v>4000</v>
      </c>
      <c r="F37" s="128">
        <v>5000</v>
      </c>
      <c r="G37" s="54">
        <f>VLOOKUP(A37,'[1]yourspreadsheetname (1)'!$A$2:$C$968, 3, FALSE)</f>
        <v>1000</v>
      </c>
      <c r="H37" s="54">
        <v>36000</v>
      </c>
      <c r="I37" s="128"/>
      <c r="J37" s="27"/>
      <c r="K37" s="12">
        <v>756676</v>
      </c>
      <c r="L37" s="12"/>
      <c r="M37" s="27" t="s">
        <v>259</v>
      </c>
      <c r="N37" s="13" t="s">
        <v>788</v>
      </c>
      <c r="O37" s="12">
        <v>35</v>
      </c>
      <c r="P37" s="54" t="s">
        <v>805</v>
      </c>
      <c r="Q37" s="128" t="s">
        <v>1998</v>
      </c>
      <c r="R37" s="18">
        <f>((F37*15)-G37-I37)/2</f>
        <v>37000</v>
      </c>
      <c r="S37" s="128"/>
      <c r="T37" s="27"/>
      <c r="U37" s="128">
        <v>37000</v>
      </c>
      <c r="V37" s="128">
        <v>37000</v>
      </c>
      <c r="W37" s="54">
        <f t="shared" si="0"/>
        <v>74000</v>
      </c>
      <c r="X37" s="206">
        <v>33.75</v>
      </c>
      <c r="Y37" s="207">
        <v>40.75</v>
      </c>
      <c r="Z37" s="208">
        <f t="shared" si="4"/>
        <v>1248750</v>
      </c>
      <c r="AA37" s="208">
        <f t="shared" si="2"/>
        <v>3015500</v>
      </c>
      <c r="AB37" s="124"/>
    </row>
    <row r="38" spans="1:28" s="116" customFormat="1" ht="15.75" customHeight="1" x14ac:dyDescent="0.25">
      <c r="A38" s="92" t="s">
        <v>478</v>
      </c>
      <c r="B38" s="92" t="s">
        <v>479</v>
      </c>
      <c r="C38" s="92" t="s">
        <v>830</v>
      </c>
      <c r="D38" s="92">
        <v>700</v>
      </c>
      <c r="E38" s="92">
        <v>900</v>
      </c>
      <c r="F38" s="92">
        <v>1400</v>
      </c>
      <c r="G38" s="92">
        <f>VLOOKUP(A38,'[1]yourspreadsheetname (1)'!$A$2:$C$968, 3, FALSE)</f>
        <v>0</v>
      </c>
      <c r="H38" s="92">
        <v>10800</v>
      </c>
      <c r="I38" s="92">
        <v>5400</v>
      </c>
      <c r="J38" s="588"/>
      <c r="K38" s="92">
        <v>756676</v>
      </c>
      <c r="L38" s="92"/>
      <c r="M38" s="92" t="s">
        <v>263</v>
      </c>
      <c r="N38" s="13" t="s">
        <v>788</v>
      </c>
      <c r="O38" s="12">
        <v>36</v>
      </c>
      <c r="P38" s="54"/>
      <c r="Q38" s="54"/>
      <c r="R38" s="18">
        <f>((F38*15)-G38-I38)/2</f>
        <v>7800</v>
      </c>
      <c r="S38" s="121"/>
      <c r="T38" s="110"/>
      <c r="U38" s="54"/>
      <c r="V38" s="54"/>
      <c r="W38" s="54">
        <f t="shared" si="0"/>
        <v>0</v>
      </c>
      <c r="X38" s="206">
        <v>1365.36</v>
      </c>
      <c r="Y38" s="207">
        <v>2239.6</v>
      </c>
      <c r="Z38" s="208">
        <f t="shared" si="4"/>
        <v>10649808</v>
      </c>
      <c r="AA38" s="208">
        <f t="shared" si="2"/>
        <v>0</v>
      </c>
      <c r="AB38" s="54"/>
    </row>
    <row r="39" spans="1:28" s="116" customFormat="1" x14ac:dyDescent="0.25">
      <c r="A39" s="81" t="s">
        <v>831</v>
      </c>
      <c r="B39" s="54" t="s">
        <v>832</v>
      </c>
      <c r="C39" s="54">
        <v>2500</v>
      </c>
      <c r="D39" s="54">
        <v>800</v>
      </c>
      <c r="E39" s="54">
        <v>1500</v>
      </c>
      <c r="F39" s="54">
        <v>1000</v>
      </c>
      <c r="G39" s="54">
        <f>VLOOKUP(A39,'[1]yourspreadsheetname (1)'!$A$2:$C$968, 3, FALSE)</f>
        <v>8000</v>
      </c>
      <c r="H39" s="54">
        <v>9000</v>
      </c>
      <c r="I39" s="54"/>
      <c r="J39" s="12"/>
      <c r="K39" s="12">
        <v>756676</v>
      </c>
      <c r="L39" s="184"/>
      <c r="M39" s="54" t="s">
        <v>822</v>
      </c>
      <c r="N39" s="13" t="s">
        <v>788</v>
      </c>
      <c r="O39" s="12">
        <v>37</v>
      </c>
      <c r="P39" s="54" t="s">
        <v>823</v>
      </c>
      <c r="Q39" s="54"/>
      <c r="R39" s="18">
        <f>((F39*15)-G39-I39)/2</f>
        <v>3500</v>
      </c>
      <c r="S39" s="54"/>
      <c r="T39" s="12"/>
      <c r="U39" s="54">
        <v>3500</v>
      </c>
      <c r="V39" s="54"/>
      <c r="W39" s="54">
        <f t="shared" si="0"/>
        <v>3500</v>
      </c>
      <c r="X39" s="206">
        <v>59.98</v>
      </c>
      <c r="Y39" s="207">
        <v>67.8</v>
      </c>
      <c r="Z39" s="208">
        <f t="shared" si="4"/>
        <v>209930</v>
      </c>
      <c r="AA39" s="208">
        <f t="shared" si="2"/>
        <v>237300</v>
      </c>
      <c r="AB39" s="124"/>
    </row>
    <row r="40" spans="1:28" s="116" customFormat="1" x14ac:dyDescent="0.25">
      <c r="A40" s="83" t="s">
        <v>833</v>
      </c>
      <c r="B40" s="83" t="s">
        <v>834</v>
      </c>
      <c r="C40" s="83">
        <v>250</v>
      </c>
      <c r="D40" s="54">
        <v>250</v>
      </c>
      <c r="E40" s="54">
        <v>300</v>
      </c>
      <c r="F40" s="54">
        <v>400</v>
      </c>
      <c r="G40" s="54">
        <v>30</v>
      </c>
      <c r="H40" s="54">
        <v>1800</v>
      </c>
      <c r="I40" s="54"/>
      <c r="J40" s="12"/>
      <c r="K40" s="12">
        <v>756676</v>
      </c>
      <c r="L40" s="136"/>
      <c r="M40" s="12" t="s">
        <v>263</v>
      </c>
      <c r="N40" s="13" t="s">
        <v>788</v>
      </c>
      <c r="O40" s="12">
        <v>38</v>
      </c>
      <c r="P40" s="54" t="s">
        <v>791</v>
      </c>
      <c r="Q40" s="54" t="s">
        <v>2000</v>
      </c>
      <c r="R40" s="18">
        <v>3000</v>
      </c>
      <c r="S40" s="54"/>
      <c r="T40" s="12"/>
      <c r="U40" s="54">
        <v>3000</v>
      </c>
      <c r="V40" s="54">
        <v>1000</v>
      </c>
      <c r="W40" s="54">
        <f t="shared" si="0"/>
        <v>4000</v>
      </c>
      <c r="X40" s="206">
        <v>338.83</v>
      </c>
      <c r="Y40" s="207">
        <v>555.9</v>
      </c>
      <c r="Z40" s="208">
        <f t="shared" si="4"/>
        <v>1016490</v>
      </c>
      <c r="AA40" s="208">
        <f t="shared" si="2"/>
        <v>2223600</v>
      </c>
      <c r="AB40" s="474"/>
    </row>
    <row r="41" spans="1:28" s="116" customFormat="1" x14ac:dyDescent="0.25">
      <c r="A41" s="92" t="s">
        <v>480</v>
      </c>
      <c r="B41" s="92" t="s">
        <v>481</v>
      </c>
      <c r="C41" s="92">
        <v>1500</v>
      </c>
      <c r="D41" s="92">
        <v>1500</v>
      </c>
      <c r="E41" s="92">
        <v>1800</v>
      </c>
      <c r="F41" s="92">
        <v>1600</v>
      </c>
      <c r="G41" s="92">
        <f>VLOOKUP(A41,'[1]yourspreadsheetname (1)'!$A$2:$C$968, 3, FALSE)</f>
        <v>9100</v>
      </c>
      <c r="H41" s="92">
        <v>17800</v>
      </c>
      <c r="I41" s="92">
        <v>1600</v>
      </c>
      <c r="J41" s="92"/>
      <c r="K41" s="92">
        <v>756676</v>
      </c>
      <c r="L41" s="92"/>
      <c r="M41" s="92" t="s">
        <v>796</v>
      </c>
      <c r="N41" s="13" t="s">
        <v>788</v>
      </c>
      <c r="O41" s="12">
        <v>39</v>
      </c>
      <c r="P41" s="54"/>
      <c r="Q41" s="54"/>
      <c r="R41" s="18">
        <v>6600</v>
      </c>
      <c r="S41" s="54"/>
      <c r="T41" s="12"/>
      <c r="U41" s="54"/>
      <c r="V41" s="54"/>
      <c r="W41" s="54">
        <f t="shared" si="0"/>
        <v>0</v>
      </c>
      <c r="X41" s="206">
        <v>75.72</v>
      </c>
      <c r="Y41" s="207">
        <v>170.55</v>
      </c>
      <c r="Z41" s="208">
        <f t="shared" si="4"/>
        <v>499752</v>
      </c>
      <c r="AA41" s="208">
        <f t="shared" si="2"/>
        <v>0</v>
      </c>
      <c r="AB41" s="54"/>
    </row>
    <row r="42" spans="1:28" s="116" customFormat="1" x14ac:dyDescent="0.25">
      <c r="A42" s="81" t="s">
        <v>835</v>
      </c>
      <c r="B42" s="82" t="s">
        <v>836</v>
      </c>
      <c r="C42" s="54">
        <v>500</v>
      </c>
      <c r="D42" s="54"/>
      <c r="E42" s="54">
        <v>300</v>
      </c>
      <c r="F42" s="54">
        <v>600</v>
      </c>
      <c r="G42" s="54">
        <f>VLOOKUP(A42,'[1]yourspreadsheetname (1)'!$A$2:$C$968, 3, FALSE)</f>
        <v>0</v>
      </c>
      <c r="H42" s="54">
        <v>2800</v>
      </c>
      <c r="I42" s="54"/>
      <c r="J42" s="12"/>
      <c r="K42" s="12">
        <v>756676</v>
      </c>
      <c r="L42" s="136"/>
      <c r="M42" s="12" t="s">
        <v>259</v>
      </c>
      <c r="N42" s="13" t="s">
        <v>788</v>
      </c>
      <c r="O42" s="12">
        <v>40</v>
      </c>
      <c r="P42" s="54" t="s">
        <v>805</v>
      </c>
      <c r="Q42" s="54"/>
      <c r="R42" s="18">
        <f>((F42*15)-G42-I42)/2</f>
        <v>4500</v>
      </c>
      <c r="S42" s="54"/>
      <c r="T42" s="12"/>
      <c r="U42" s="54">
        <v>4500</v>
      </c>
      <c r="V42" s="54"/>
      <c r="W42" s="54">
        <f t="shared" si="0"/>
        <v>4500</v>
      </c>
      <c r="X42" s="206">
        <v>34.6</v>
      </c>
      <c r="Y42" s="207">
        <v>46.52</v>
      </c>
      <c r="Z42" s="208">
        <f t="shared" si="4"/>
        <v>155700</v>
      </c>
      <c r="AA42" s="208">
        <f t="shared" si="2"/>
        <v>209340</v>
      </c>
      <c r="AB42" s="54"/>
    </row>
    <row r="43" spans="1:28" s="116" customFormat="1" x14ac:dyDescent="0.25">
      <c r="A43" s="81" t="s">
        <v>837</v>
      </c>
      <c r="B43" s="54" t="s">
        <v>838</v>
      </c>
      <c r="C43" s="369"/>
      <c r="D43" s="81"/>
      <c r="E43" s="81">
        <v>900</v>
      </c>
      <c r="F43" s="81">
        <v>600</v>
      </c>
      <c r="G43" s="54">
        <f>VLOOKUP(A43,'[1]yourspreadsheetname (1)'!$A$2:$C$968, 3, FALSE)</f>
        <v>4000</v>
      </c>
      <c r="H43" s="54">
        <v>5400</v>
      </c>
      <c r="I43" s="81"/>
      <c r="J43" s="136"/>
      <c r="K43" s="12">
        <v>756676</v>
      </c>
      <c r="L43" s="184"/>
      <c r="M43" s="136" t="s">
        <v>822</v>
      </c>
      <c r="N43" s="13" t="s">
        <v>788</v>
      </c>
      <c r="O43" s="12">
        <v>41</v>
      </c>
      <c r="P43" s="54" t="s">
        <v>823</v>
      </c>
      <c r="Q43" s="81"/>
      <c r="R43" s="18">
        <f>((F43*15)-G43-I43)/2</f>
        <v>2500</v>
      </c>
      <c r="S43" s="81"/>
      <c r="T43" s="136"/>
      <c r="U43" s="81">
        <v>2500</v>
      </c>
      <c r="V43" s="131"/>
      <c r="W43" s="54">
        <f t="shared" si="0"/>
        <v>2500</v>
      </c>
      <c r="X43" s="206">
        <v>1557.64</v>
      </c>
      <c r="Y43" s="207">
        <v>1348</v>
      </c>
      <c r="Z43" s="208">
        <f t="shared" si="4"/>
        <v>3894100.0000000005</v>
      </c>
      <c r="AA43" s="208">
        <f t="shared" si="2"/>
        <v>3370000</v>
      </c>
      <c r="AB43" s="131"/>
    </row>
    <row r="44" spans="1:28" s="116" customFormat="1" x14ac:dyDescent="0.25">
      <c r="A44" s="92" t="s">
        <v>482</v>
      </c>
      <c r="B44" s="92" t="s">
        <v>483</v>
      </c>
      <c r="C44" s="92">
        <v>500</v>
      </c>
      <c r="D44" s="92">
        <v>450</v>
      </c>
      <c r="E44" s="92">
        <v>600</v>
      </c>
      <c r="F44" s="92">
        <v>600</v>
      </c>
      <c r="G44" s="92">
        <f>VLOOKUP(A44,'[1]yourspreadsheetname (1)'!$A$2:$C$968, 3, FALSE)</f>
        <v>1020</v>
      </c>
      <c r="H44" s="92">
        <v>4800</v>
      </c>
      <c r="I44" s="92"/>
      <c r="J44" s="92"/>
      <c r="K44" s="92">
        <v>756676</v>
      </c>
      <c r="L44" s="92"/>
      <c r="M44" s="92" t="s">
        <v>263</v>
      </c>
      <c r="N44" s="13" t="s">
        <v>788</v>
      </c>
      <c r="O44" s="12">
        <v>42</v>
      </c>
      <c r="P44" s="54"/>
      <c r="Q44" s="54"/>
      <c r="R44" s="18">
        <v>4000</v>
      </c>
      <c r="S44" s="54"/>
      <c r="T44" s="12"/>
      <c r="U44" s="54"/>
      <c r="V44" s="54"/>
      <c r="W44" s="54">
        <f t="shared" si="0"/>
        <v>0</v>
      </c>
      <c r="X44" s="206">
        <v>276.10000000000002</v>
      </c>
      <c r="Y44" s="207">
        <v>430.3</v>
      </c>
      <c r="Z44" s="208">
        <f t="shared" si="4"/>
        <v>1104400</v>
      </c>
      <c r="AA44" s="208">
        <f t="shared" si="2"/>
        <v>0</v>
      </c>
      <c r="AB44" s="54"/>
    </row>
    <row r="45" spans="1:28" s="116" customFormat="1" x14ac:dyDescent="0.25">
      <c r="A45" s="54" t="s">
        <v>839</v>
      </c>
      <c r="B45" s="54" t="s">
        <v>840</v>
      </c>
      <c r="C45" s="54">
        <v>200</v>
      </c>
      <c r="D45" s="54">
        <v>120</v>
      </c>
      <c r="E45" s="54">
        <v>150</v>
      </c>
      <c r="F45" s="54">
        <v>250</v>
      </c>
      <c r="G45" s="54">
        <f>VLOOKUP(A45,'[1]yourspreadsheetname (1)'!$A$2:$C$968, 3, FALSE)</f>
        <v>600</v>
      </c>
      <c r="H45" s="54">
        <v>900</v>
      </c>
      <c r="I45" s="54"/>
      <c r="J45" s="54"/>
      <c r="K45" s="12">
        <v>756676</v>
      </c>
      <c r="L45" s="54"/>
      <c r="M45" s="96" t="s">
        <v>263</v>
      </c>
      <c r="N45" s="13" t="s">
        <v>788</v>
      </c>
      <c r="O45" s="54">
        <v>43</v>
      </c>
      <c r="P45" s="54" t="s">
        <v>791</v>
      </c>
      <c r="Q45" s="54"/>
      <c r="R45" s="18">
        <v>1600</v>
      </c>
      <c r="S45" s="54"/>
      <c r="T45" s="12"/>
      <c r="U45" s="54">
        <v>1600</v>
      </c>
      <c r="V45" s="54"/>
      <c r="W45" s="54">
        <f t="shared" si="0"/>
        <v>1600</v>
      </c>
      <c r="X45" s="206">
        <v>398</v>
      </c>
      <c r="Y45" s="207">
        <v>429.9</v>
      </c>
      <c r="Z45" s="208">
        <f t="shared" si="4"/>
        <v>636800</v>
      </c>
      <c r="AA45" s="208">
        <f t="shared" si="2"/>
        <v>687840</v>
      </c>
      <c r="AB45" s="54"/>
    </row>
    <row r="46" spans="1:28" s="116" customFormat="1" x14ac:dyDescent="0.25">
      <c r="A46" s="54" t="s">
        <v>841</v>
      </c>
      <c r="B46" s="54" t="s">
        <v>842</v>
      </c>
      <c r="C46" s="54"/>
      <c r="D46" s="54"/>
      <c r="E46" s="54">
        <v>8000</v>
      </c>
      <c r="F46" s="54">
        <v>10000</v>
      </c>
      <c r="G46" s="54">
        <f>VLOOKUP(A46,'[1]yourspreadsheetname (1)'!$A$2:$C$968, 3, FALSE)</f>
        <v>17300</v>
      </c>
      <c r="H46" s="54">
        <v>80000</v>
      </c>
      <c r="I46" s="54"/>
      <c r="J46" s="12"/>
      <c r="K46" s="12">
        <v>756676</v>
      </c>
      <c r="L46" s="12"/>
      <c r="M46" s="13" t="s">
        <v>263</v>
      </c>
      <c r="N46" s="13" t="s">
        <v>788</v>
      </c>
      <c r="O46" s="12">
        <v>44</v>
      </c>
      <c r="P46" s="54" t="s">
        <v>791</v>
      </c>
      <c r="Q46" s="54" t="s">
        <v>2000</v>
      </c>
      <c r="R46" s="18">
        <v>67000</v>
      </c>
      <c r="S46" s="54"/>
      <c r="T46" s="12"/>
      <c r="U46" s="54">
        <v>67000</v>
      </c>
      <c r="V46" s="54">
        <v>20000</v>
      </c>
      <c r="W46" s="54">
        <f t="shared" si="0"/>
        <v>87000</v>
      </c>
      <c r="X46" s="206">
        <v>95.2</v>
      </c>
      <c r="Y46" s="207">
        <v>77.42</v>
      </c>
      <c r="Z46" s="208">
        <f t="shared" si="4"/>
        <v>6378400</v>
      </c>
      <c r="AA46" s="208">
        <f t="shared" si="2"/>
        <v>6735540</v>
      </c>
      <c r="AB46" s="124"/>
    </row>
    <row r="47" spans="1:28" s="116" customFormat="1" x14ac:dyDescent="0.25">
      <c r="A47" s="247" t="s">
        <v>359</v>
      </c>
      <c r="B47" s="247" t="s">
        <v>360</v>
      </c>
      <c r="C47" s="244"/>
      <c r="D47" s="244"/>
      <c r="E47" s="250">
        <v>60</v>
      </c>
      <c r="F47" s="250">
        <v>60</v>
      </c>
      <c r="G47" s="92">
        <v>0</v>
      </c>
      <c r="H47" s="92">
        <v>360</v>
      </c>
      <c r="I47" s="244"/>
      <c r="J47" s="244"/>
      <c r="K47" s="92">
        <v>756676</v>
      </c>
      <c r="L47" s="251"/>
      <c r="M47" s="250" t="s">
        <v>285</v>
      </c>
      <c r="N47" s="13" t="s">
        <v>788</v>
      </c>
      <c r="O47" s="18">
        <v>45</v>
      </c>
      <c r="P47" s="170"/>
      <c r="Q47" s="170"/>
      <c r="R47" s="18">
        <f>((F47*15)-G47-I47)/2</f>
        <v>450</v>
      </c>
      <c r="S47" s="54"/>
      <c r="T47" s="12"/>
      <c r="U47" s="54"/>
      <c r="V47" s="54"/>
      <c r="W47" s="54">
        <f t="shared" si="0"/>
        <v>0</v>
      </c>
      <c r="X47" s="206">
        <v>2310.61</v>
      </c>
      <c r="Y47" s="207"/>
      <c r="Z47" s="208">
        <f t="shared" si="4"/>
        <v>1039774.5</v>
      </c>
      <c r="AA47" s="208">
        <f t="shared" si="2"/>
        <v>0</v>
      </c>
      <c r="AB47" s="31"/>
    </row>
    <row r="48" spans="1:28" s="116" customFormat="1" x14ac:dyDescent="0.25">
      <c r="A48" s="54" t="s">
        <v>843</v>
      </c>
      <c r="B48" s="54" t="s">
        <v>844</v>
      </c>
      <c r="C48" s="54"/>
      <c r="D48" s="54">
        <v>80</v>
      </c>
      <c r="E48" s="54">
        <v>180</v>
      </c>
      <c r="F48" s="54">
        <v>190</v>
      </c>
      <c r="G48" s="54">
        <f>VLOOKUP(A48,'[1]yourspreadsheetname (1)'!$A$2:$C$968, 3, FALSE)</f>
        <v>350</v>
      </c>
      <c r="H48" s="54">
        <v>1580</v>
      </c>
      <c r="I48" s="54"/>
      <c r="J48" s="12"/>
      <c r="K48" s="12">
        <v>756676</v>
      </c>
      <c r="L48" s="12"/>
      <c r="M48" s="12" t="s">
        <v>263</v>
      </c>
      <c r="N48" s="13" t="s">
        <v>788</v>
      </c>
      <c r="O48" s="12">
        <v>46</v>
      </c>
      <c r="P48" s="54" t="s">
        <v>791</v>
      </c>
      <c r="Q48" s="54" t="s">
        <v>2000</v>
      </c>
      <c r="R48" s="18">
        <f>((F48*15)-G48-I48)/2</f>
        <v>1250</v>
      </c>
      <c r="S48" s="54"/>
      <c r="T48" s="12"/>
      <c r="U48" s="54">
        <v>1250</v>
      </c>
      <c r="V48" s="54">
        <v>500</v>
      </c>
      <c r="W48" s="54">
        <f t="shared" si="0"/>
        <v>1750</v>
      </c>
      <c r="X48" s="206">
        <v>1100</v>
      </c>
      <c r="Y48" s="207">
        <v>1186.57</v>
      </c>
      <c r="Z48" s="208">
        <f t="shared" si="4"/>
        <v>1375000</v>
      </c>
      <c r="AA48" s="208">
        <f t="shared" si="2"/>
        <v>2076497.5</v>
      </c>
      <c r="AB48" s="54"/>
    </row>
    <row r="49" spans="1:28" s="116" customFormat="1" ht="15.75" customHeight="1" x14ac:dyDescent="0.25">
      <c r="A49" s="486" t="s">
        <v>519</v>
      </c>
      <c r="B49" s="486" t="s">
        <v>520</v>
      </c>
      <c r="C49" s="486"/>
      <c r="D49" s="92"/>
      <c r="E49" s="92">
        <v>60</v>
      </c>
      <c r="F49" s="92">
        <v>120</v>
      </c>
      <c r="G49" s="92" t="e">
        <f>VLOOKUP(A49,'[1]yourspreadsheetname (1)'!$A$2:$C$968, 3, FALSE)</f>
        <v>#N/A</v>
      </c>
      <c r="H49" s="92">
        <v>660</v>
      </c>
      <c r="I49" s="92"/>
      <c r="J49" s="92"/>
      <c r="K49" s="92">
        <v>756676</v>
      </c>
      <c r="L49" s="92"/>
      <c r="M49" s="294" t="s">
        <v>263</v>
      </c>
      <c r="N49" s="13" t="s">
        <v>788</v>
      </c>
      <c r="O49" s="12">
        <v>47</v>
      </c>
      <c r="P49" s="54"/>
      <c r="Q49" s="83"/>
      <c r="R49" s="18">
        <v>900</v>
      </c>
      <c r="S49" s="54"/>
      <c r="T49" s="12"/>
      <c r="U49" s="54"/>
      <c r="V49" s="54"/>
      <c r="W49" s="54">
        <f t="shared" si="0"/>
        <v>0</v>
      </c>
      <c r="X49" s="206">
        <v>1056</v>
      </c>
      <c r="Y49" s="207">
        <v>1521.27</v>
      </c>
      <c r="Z49" s="208">
        <f t="shared" si="4"/>
        <v>950400</v>
      </c>
      <c r="AA49" s="208">
        <f t="shared" si="2"/>
        <v>0</v>
      </c>
      <c r="AB49" s="54"/>
    </row>
    <row r="50" spans="1:28" s="116" customFormat="1" x14ac:dyDescent="0.25">
      <c r="A50" s="420" t="s">
        <v>559</v>
      </c>
      <c r="B50" s="486" t="s">
        <v>560</v>
      </c>
      <c r="C50" s="486"/>
      <c r="D50" s="92"/>
      <c r="E50" s="92">
        <v>30</v>
      </c>
      <c r="F50" s="92">
        <v>30</v>
      </c>
      <c r="G50" s="92">
        <v>0</v>
      </c>
      <c r="H50" s="92">
        <v>300</v>
      </c>
      <c r="I50" s="92"/>
      <c r="J50" s="92"/>
      <c r="K50" s="92">
        <v>756676</v>
      </c>
      <c r="L50" s="92"/>
      <c r="M50" s="294" t="s">
        <v>263</v>
      </c>
      <c r="N50" s="13" t="s">
        <v>788</v>
      </c>
      <c r="O50" s="12">
        <v>48</v>
      </c>
      <c r="P50" s="54"/>
      <c r="Q50" s="83"/>
      <c r="R50" s="18">
        <v>300</v>
      </c>
      <c r="S50" s="54"/>
      <c r="T50" s="12"/>
      <c r="U50" s="54"/>
      <c r="V50" s="54"/>
      <c r="W50" s="54"/>
      <c r="X50" s="206">
        <v>1035.5</v>
      </c>
      <c r="Y50" s="207">
        <v>1880.63</v>
      </c>
      <c r="Z50" s="208">
        <f t="shared" si="4"/>
        <v>310650</v>
      </c>
      <c r="AA50" s="208"/>
      <c r="AB50" s="54"/>
    </row>
    <row r="51" spans="1:28" s="116" customFormat="1" x14ac:dyDescent="0.25">
      <c r="A51" s="64" t="s">
        <v>203</v>
      </c>
      <c r="B51" s="93" t="s">
        <v>561</v>
      </c>
      <c r="C51" s="92">
        <v>30</v>
      </c>
      <c r="D51" s="92"/>
      <c r="E51" s="92">
        <v>50</v>
      </c>
      <c r="F51" s="92">
        <v>30</v>
      </c>
      <c r="G51" s="92" t="e">
        <f>VLOOKUP(A51,'[1]yourspreadsheetname (1)'!$A$2:$C$968, 3, FALSE)</f>
        <v>#N/A</v>
      </c>
      <c r="H51" s="92">
        <v>300</v>
      </c>
      <c r="I51" s="92"/>
      <c r="J51" s="92"/>
      <c r="K51" s="92">
        <v>756676</v>
      </c>
      <c r="L51" s="259"/>
      <c r="M51" s="92" t="s">
        <v>263</v>
      </c>
      <c r="N51" s="13" t="s">
        <v>788</v>
      </c>
      <c r="O51" s="54">
        <v>49</v>
      </c>
      <c r="P51" s="54"/>
      <c r="Q51" s="54"/>
      <c r="R51" s="18" t="e">
        <f>((F51*15)-G51-I51)/2</f>
        <v>#N/A</v>
      </c>
      <c r="S51" s="54"/>
      <c r="T51" s="12"/>
      <c r="U51" s="54"/>
      <c r="V51" s="54"/>
      <c r="W51" s="54">
        <f t="shared" ref="W51:W80" si="5">U51+V51</f>
        <v>0</v>
      </c>
      <c r="X51" s="206">
        <v>1315</v>
      </c>
      <c r="Y51" s="207">
        <v>3411.36</v>
      </c>
      <c r="Z51" s="208" t="e">
        <f t="shared" si="4"/>
        <v>#N/A</v>
      </c>
      <c r="AA51" s="208">
        <f t="shared" ref="AA51:AA80" si="6">W51*Y51</f>
        <v>0</v>
      </c>
      <c r="AB51" s="54"/>
    </row>
    <row r="52" spans="1:28" s="116" customFormat="1" x14ac:dyDescent="0.25">
      <c r="A52" s="92" t="s">
        <v>515</v>
      </c>
      <c r="B52" s="92" t="s">
        <v>516</v>
      </c>
      <c r="C52" s="92"/>
      <c r="D52" s="92"/>
      <c r="E52" s="92">
        <v>1300</v>
      </c>
      <c r="F52" s="92">
        <v>1500</v>
      </c>
      <c r="G52" s="92" t="e">
        <f>VLOOKUP(A52,'[1]yourspreadsheetname (1)'!$A$2:$C$968, 3, FALSE)</f>
        <v>#N/A</v>
      </c>
      <c r="H52" s="92">
        <v>12800</v>
      </c>
      <c r="I52" s="92"/>
      <c r="J52" s="60"/>
      <c r="K52" s="92">
        <v>756676</v>
      </c>
      <c r="L52" s="246"/>
      <c r="M52" s="60" t="s">
        <v>263</v>
      </c>
      <c r="N52" s="13" t="s">
        <v>788</v>
      </c>
      <c r="O52" s="12">
        <v>50</v>
      </c>
      <c r="P52" s="54"/>
      <c r="Q52" s="96"/>
      <c r="R52" s="18">
        <v>9500</v>
      </c>
      <c r="S52" s="54"/>
      <c r="T52" s="12"/>
      <c r="U52" s="54"/>
      <c r="V52" s="54"/>
      <c r="W52" s="54">
        <f t="shared" si="5"/>
        <v>0</v>
      </c>
      <c r="X52" s="206">
        <v>293</v>
      </c>
      <c r="Y52" s="207">
        <v>426.45</v>
      </c>
      <c r="Z52" s="208">
        <f t="shared" si="4"/>
        <v>2783500</v>
      </c>
      <c r="AA52" s="208">
        <f t="shared" si="6"/>
        <v>0</v>
      </c>
      <c r="AB52" s="276"/>
    </row>
    <row r="53" spans="1:28" s="132" customFormat="1" x14ac:dyDescent="0.25">
      <c r="A53" s="92" t="s">
        <v>553</v>
      </c>
      <c r="B53" s="92" t="s">
        <v>554</v>
      </c>
      <c r="C53" s="92"/>
      <c r="D53" s="92"/>
      <c r="E53" s="92">
        <v>10</v>
      </c>
      <c r="F53" s="92">
        <v>20</v>
      </c>
      <c r="G53" s="92">
        <v>120</v>
      </c>
      <c r="H53" s="92">
        <v>120</v>
      </c>
      <c r="I53" s="92"/>
      <c r="J53" s="585"/>
      <c r="K53" s="92">
        <v>756676</v>
      </c>
      <c r="L53" s="92"/>
      <c r="M53" s="92" t="s">
        <v>796</v>
      </c>
      <c r="N53" s="93" t="s">
        <v>788</v>
      </c>
      <c r="O53" s="92">
        <v>51</v>
      </c>
      <c r="P53" s="54"/>
      <c r="Q53" s="54"/>
      <c r="R53" s="18">
        <f>((F53*15)-G53-I53)/2</f>
        <v>90</v>
      </c>
      <c r="S53" s="54"/>
      <c r="T53" s="12"/>
      <c r="U53" s="54"/>
      <c r="V53" s="54"/>
      <c r="W53" s="54">
        <f t="shared" si="5"/>
        <v>0</v>
      </c>
      <c r="X53" s="206">
        <v>133.66</v>
      </c>
      <c r="Y53" s="207">
        <v>356</v>
      </c>
      <c r="Z53" s="208">
        <f t="shared" si="4"/>
        <v>12029.4</v>
      </c>
      <c r="AA53" s="208">
        <f t="shared" si="6"/>
        <v>0</v>
      </c>
      <c r="AB53" s="130"/>
    </row>
    <row r="54" spans="1:28" s="132" customFormat="1" x14ac:dyDescent="0.25">
      <c r="A54" s="92" t="s">
        <v>361</v>
      </c>
      <c r="B54" s="60" t="s">
        <v>362</v>
      </c>
      <c r="C54" s="544"/>
      <c r="D54" s="92">
        <v>60</v>
      </c>
      <c r="E54" s="92">
        <v>120</v>
      </c>
      <c r="F54" s="92">
        <v>150</v>
      </c>
      <c r="G54" s="92">
        <f>VLOOKUP(A54,'[1]yourspreadsheetname (1)'!$A$2:$C$968, 3, FALSE)</f>
        <v>0</v>
      </c>
      <c r="H54" s="92">
        <v>720</v>
      </c>
      <c r="I54" s="92"/>
      <c r="J54" s="92"/>
      <c r="K54" s="92">
        <v>756676</v>
      </c>
      <c r="L54" s="92"/>
      <c r="M54" s="92" t="s">
        <v>285</v>
      </c>
      <c r="N54" s="13" t="s">
        <v>788</v>
      </c>
      <c r="O54" s="12">
        <v>52</v>
      </c>
      <c r="P54" s="54"/>
      <c r="Q54" s="54"/>
      <c r="R54" s="18">
        <v>1200</v>
      </c>
      <c r="S54" s="54"/>
      <c r="T54" s="12"/>
      <c r="U54" s="54"/>
      <c r="V54" s="54"/>
      <c r="W54" s="54">
        <f t="shared" si="5"/>
        <v>0</v>
      </c>
      <c r="X54" s="206">
        <v>515.79999999999995</v>
      </c>
      <c r="Y54" s="207"/>
      <c r="Z54" s="208">
        <f t="shared" si="4"/>
        <v>618960</v>
      </c>
      <c r="AA54" s="208">
        <f t="shared" si="6"/>
        <v>0</v>
      </c>
      <c r="AB54" s="54"/>
    </row>
    <row r="55" spans="1:28" s="132" customFormat="1" x14ac:dyDescent="0.25">
      <c r="A55" s="54" t="s">
        <v>845</v>
      </c>
      <c r="B55" s="54" t="s">
        <v>846</v>
      </c>
      <c r="C55" s="54"/>
      <c r="D55" s="54"/>
      <c r="E55" s="54">
        <v>300</v>
      </c>
      <c r="F55" s="54">
        <v>600</v>
      </c>
      <c r="G55" s="54">
        <f>VLOOKUP(A55,'[1]yourspreadsheetname (1)'!$A$2:$C$968, 3, FALSE)</f>
        <v>0</v>
      </c>
      <c r="H55" s="54">
        <v>1800</v>
      </c>
      <c r="I55" s="54"/>
      <c r="J55" s="54"/>
      <c r="K55" s="12">
        <v>756676</v>
      </c>
      <c r="L55" s="54"/>
      <c r="M55" s="54" t="s">
        <v>263</v>
      </c>
      <c r="N55" s="13" t="s">
        <v>788</v>
      </c>
      <c r="O55" s="54">
        <v>53</v>
      </c>
      <c r="P55" s="54" t="s">
        <v>791</v>
      </c>
      <c r="Q55" s="54" t="s">
        <v>2000</v>
      </c>
      <c r="R55" s="18">
        <f>((F55*15)-G55-I55)/2</f>
        <v>4500</v>
      </c>
      <c r="S55" s="54"/>
      <c r="T55" s="12"/>
      <c r="U55" s="54">
        <v>2492</v>
      </c>
      <c r="V55" s="54">
        <v>2492</v>
      </c>
      <c r="W55" s="54">
        <f t="shared" si="5"/>
        <v>4984</v>
      </c>
      <c r="X55" s="206">
        <v>314.89999999999998</v>
      </c>
      <c r="Y55" s="207">
        <v>363.79</v>
      </c>
      <c r="Z55" s="208">
        <f t="shared" si="4"/>
        <v>1417050</v>
      </c>
      <c r="AA55" s="208">
        <f t="shared" si="6"/>
        <v>1813129.36</v>
      </c>
      <c r="AB55" s="54"/>
    </row>
    <row r="56" spans="1:28" s="132" customFormat="1" x14ac:dyDescent="0.25">
      <c r="A56" s="54" t="s">
        <v>847</v>
      </c>
      <c r="B56" s="54" t="s">
        <v>848</v>
      </c>
      <c r="C56" s="54"/>
      <c r="D56" s="96">
        <v>500</v>
      </c>
      <c r="E56" s="96">
        <v>500</v>
      </c>
      <c r="F56" s="96">
        <v>500</v>
      </c>
      <c r="G56" s="54">
        <f>VLOOKUP(A56,'[1]yourspreadsheetname (1)'!$A$2:$C$968, 3, FALSE)</f>
        <v>3000</v>
      </c>
      <c r="H56" s="54">
        <v>3600</v>
      </c>
      <c r="I56" s="54"/>
      <c r="J56" s="12"/>
      <c r="K56" s="12">
        <v>756676</v>
      </c>
      <c r="L56" s="12"/>
      <c r="M56" s="12" t="s">
        <v>263</v>
      </c>
      <c r="N56" s="13" t="s">
        <v>788</v>
      </c>
      <c r="O56" s="12">
        <v>54</v>
      </c>
      <c r="P56" s="54" t="s">
        <v>791</v>
      </c>
      <c r="Q56" s="54"/>
      <c r="R56" s="18">
        <f>((F56*15)-G56-I56)/2</f>
        <v>2250</v>
      </c>
      <c r="S56" s="54"/>
      <c r="T56" s="12"/>
      <c r="U56" s="54">
        <v>2250</v>
      </c>
      <c r="V56" s="54"/>
      <c r="W56" s="54">
        <f t="shared" si="5"/>
        <v>2250</v>
      </c>
      <c r="X56" s="206">
        <v>2293</v>
      </c>
      <c r="Y56" s="207">
        <v>1556.26</v>
      </c>
      <c r="Z56" s="208">
        <f t="shared" si="4"/>
        <v>5159250</v>
      </c>
      <c r="AA56" s="208">
        <f t="shared" si="6"/>
        <v>3501585</v>
      </c>
      <c r="AB56" s="54"/>
    </row>
    <row r="57" spans="1:28" s="116" customFormat="1" x14ac:dyDescent="0.25">
      <c r="A57" s="54" t="s">
        <v>849</v>
      </c>
      <c r="B57" s="54" t="s">
        <v>850</v>
      </c>
      <c r="C57" s="54"/>
      <c r="D57" s="96">
        <v>250</v>
      </c>
      <c r="E57" s="96">
        <v>250</v>
      </c>
      <c r="F57" s="96">
        <v>250</v>
      </c>
      <c r="G57" s="54">
        <f>VLOOKUP(A57,'[1]yourspreadsheetname (1)'!$A$2:$C$968, 3, FALSE)</f>
        <v>0</v>
      </c>
      <c r="H57" s="54">
        <v>1500</v>
      </c>
      <c r="I57" s="54"/>
      <c r="J57" s="92"/>
      <c r="K57" s="12">
        <v>756676</v>
      </c>
      <c r="L57" s="92"/>
      <c r="M57" s="92" t="s">
        <v>263</v>
      </c>
      <c r="N57" s="13" t="s">
        <v>788</v>
      </c>
      <c r="O57" s="12">
        <v>55</v>
      </c>
      <c r="P57" s="96" t="s">
        <v>791</v>
      </c>
      <c r="Q57" s="54" t="s">
        <v>2000</v>
      </c>
      <c r="R57" s="18">
        <v>1500</v>
      </c>
      <c r="S57" s="54"/>
      <c r="T57" s="12"/>
      <c r="U57" s="54">
        <v>1500</v>
      </c>
      <c r="V57" s="54">
        <v>500</v>
      </c>
      <c r="W57" s="54">
        <f t="shared" si="5"/>
        <v>2000</v>
      </c>
      <c r="X57" s="206">
        <v>1292.22</v>
      </c>
      <c r="Y57" s="207">
        <v>1435.48</v>
      </c>
      <c r="Z57" s="208">
        <f t="shared" si="4"/>
        <v>1938330</v>
      </c>
      <c r="AA57" s="208">
        <f t="shared" si="6"/>
        <v>2870960</v>
      </c>
      <c r="AB57" s="54"/>
    </row>
    <row r="58" spans="1:28" s="116" customFormat="1" x14ac:dyDescent="0.25">
      <c r="A58" s="93" t="s">
        <v>562</v>
      </c>
      <c r="B58" s="93" t="s">
        <v>563</v>
      </c>
      <c r="C58" s="93"/>
      <c r="D58" s="60">
        <v>150</v>
      </c>
      <c r="E58" s="60">
        <v>150</v>
      </c>
      <c r="F58" s="60">
        <v>150</v>
      </c>
      <c r="G58" s="92">
        <f>VLOOKUP(A58,'[1]yourspreadsheetname (1)'!$A$2:$C$968, 3, FALSE)</f>
        <v>0</v>
      </c>
      <c r="H58" s="92">
        <v>900</v>
      </c>
      <c r="I58" s="92"/>
      <c r="J58" s="92"/>
      <c r="K58" s="92">
        <v>756676</v>
      </c>
      <c r="L58" s="92"/>
      <c r="M58" s="92" t="s">
        <v>263</v>
      </c>
      <c r="N58" s="13" t="s">
        <v>788</v>
      </c>
      <c r="O58" s="12">
        <v>56</v>
      </c>
      <c r="P58" s="96"/>
      <c r="Q58" s="54"/>
      <c r="R58" s="18">
        <v>1000</v>
      </c>
      <c r="S58" s="54"/>
      <c r="T58" s="12"/>
      <c r="U58" s="54"/>
      <c r="V58" s="54"/>
      <c r="W58" s="54">
        <f t="shared" si="5"/>
        <v>0</v>
      </c>
      <c r="X58" s="206">
        <v>3159.37</v>
      </c>
      <c r="Y58" s="207">
        <v>3727.7</v>
      </c>
      <c r="Z58" s="208">
        <f t="shared" si="4"/>
        <v>3159370</v>
      </c>
      <c r="AA58" s="208">
        <f t="shared" si="6"/>
        <v>0</v>
      </c>
      <c r="AB58" s="54"/>
    </row>
    <row r="59" spans="1:28" s="132" customFormat="1" x14ac:dyDescent="0.25">
      <c r="A59" s="92" t="s">
        <v>363</v>
      </c>
      <c r="B59" s="92" t="s">
        <v>364</v>
      </c>
      <c r="C59" s="92"/>
      <c r="D59" s="92"/>
      <c r="E59" s="92">
        <v>200</v>
      </c>
      <c r="F59" s="92">
        <v>180</v>
      </c>
      <c r="G59" s="92">
        <f>VLOOKUP(A59,'[1]yourspreadsheetname (1)'!$A$2:$C$968, 3, FALSE)</f>
        <v>450</v>
      </c>
      <c r="H59" s="92">
        <v>1800</v>
      </c>
      <c r="I59" s="92"/>
      <c r="J59" s="92"/>
      <c r="K59" s="92">
        <v>756676</v>
      </c>
      <c r="L59" s="92"/>
      <c r="M59" s="93" t="s">
        <v>285</v>
      </c>
      <c r="N59" s="13" t="s">
        <v>788</v>
      </c>
      <c r="O59" s="12">
        <v>57</v>
      </c>
      <c r="P59" s="54"/>
      <c r="Q59" s="54"/>
      <c r="R59" s="18">
        <v>1000</v>
      </c>
      <c r="S59" s="54"/>
      <c r="T59" s="12"/>
      <c r="U59" s="54"/>
      <c r="V59" s="54"/>
      <c r="W59" s="54">
        <f t="shared" si="5"/>
        <v>0</v>
      </c>
      <c r="X59" s="206">
        <v>488.5</v>
      </c>
      <c r="Y59" s="207"/>
      <c r="Z59" s="208">
        <f t="shared" si="4"/>
        <v>488500</v>
      </c>
      <c r="AA59" s="208">
        <f t="shared" si="6"/>
        <v>0</v>
      </c>
      <c r="AB59" s="54"/>
    </row>
    <row r="60" spans="1:28" s="132" customFormat="1" x14ac:dyDescent="0.25">
      <c r="A60" s="93" t="s">
        <v>365</v>
      </c>
      <c r="B60" s="93" t="s">
        <v>851</v>
      </c>
      <c r="C60" s="93"/>
      <c r="D60" s="92">
        <v>300</v>
      </c>
      <c r="E60" s="92">
        <v>400</v>
      </c>
      <c r="F60" s="92">
        <v>1000</v>
      </c>
      <c r="G60" s="92">
        <f>VLOOKUP(A60,'[1]yourspreadsheetname (1)'!$A$2:$C$968, 3, FALSE)</f>
        <v>1140</v>
      </c>
      <c r="H60" s="92">
        <v>4400</v>
      </c>
      <c r="I60" s="92"/>
      <c r="J60" s="92"/>
      <c r="K60" s="92">
        <v>756676</v>
      </c>
      <c r="L60" s="92"/>
      <c r="M60" s="92" t="s">
        <v>285</v>
      </c>
      <c r="N60" s="13" t="s">
        <v>788</v>
      </c>
      <c r="O60" s="12">
        <v>58</v>
      </c>
      <c r="P60" s="54"/>
      <c r="Q60" s="54"/>
      <c r="R60" s="18">
        <v>7000</v>
      </c>
      <c r="S60" s="54"/>
      <c r="T60" s="12"/>
      <c r="U60" s="54"/>
      <c r="V60" s="54"/>
      <c r="W60" s="54">
        <f t="shared" si="5"/>
        <v>0</v>
      </c>
      <c r="X60" s="206">
        <v>695</v>
      </c>
      <c r="Y60" s="207"/>
      <c r="Z60" s="208">
        <f t="shared" si="4"/>
        <v>4865000</v>
      </c>
      <c r="AA60" s="208">
        <f t="shared" si="6"/>
        <v>0</v>
      </c>
      <c r="AB60" s="96" t="s">
        <v>367</v>
      </c>
    </row>
    <row r="61" spans="1:28" s="132" customFormat="1" x14ac:dyDescent="0.25">
      <c r="A61" s="92" t="s">
        <v>368</v>
      </c>
      <c r="B61" s="60" t="s">
        <v>369</v>
      </c>
      <c r="C61" s="60"/>
      <c r="D61" s="92"/>
      <c r="E61" s="92">
        <v>100</v>
      </c>
      <c r="F61" s="92">
        <v>100</v>
      </c>
      <c r="G61" s="92">
        <f>VLOOKUP(A61,'[1]yourspreadsheetname (1)'!$A$2:$C$968, 3, FALSE)</f>
        <v>0</v>
      </c>
      <c r="H61" s="92">
        <v>600</v>
      </c>
      <c r="I61" s="92"/>
      <c r="J61" s="92"/>
      <c r="K61" s="92">
        <v>756676</v>
      </c>
      <c r="L61" s="92"/>
      <c r="M61" s="92" t="s">
        <v>285</v>
      </c>
      <c r="N61" s="13" t="s">
        <v>788</v>
      </c>
      <c r="O61" s="12">
        <v>59</v>
      </c>
      <c r="P61" s="96"/>
      <c r="Q61" s="96"/>
      <c r="R61" s="18">
        <v>600</v>
      </c>
      <c r="S61" s="54"/>
      <c r="T61" s="12"/>
      <c r="U61" s="54"/>
      <c r="V61" s="96"/>
      <c r="W61" s="54">
        <f t="shared" si="5"/>
        <v>0</v>
      </c>
      <c r="X61" s="206">
        <v>68</v>
      </c>
      <c r="Y61" s="207"/>
      <c r="Z61" s="208">
        <f t="shared" si="4"/>
        <v>40800</v>
      </c>
      <c r="AA61" s="208">
        <f t="shared" si="6"/>
        <v>0</v>
      </c>
      <c r="AB61" s="96"/>
    </row>
    <row r="62" spans="1:28" s="116" customFormat="1" x14ac:dyDescent="0.25">
      <c r="A62" s="583" t="s">
        <v>517</v>
      </c>
      <c r="B62" s="92" t="s">
        <v>518</v>
      </c>
      <c r="C62" s="92"/>
      <c r="D62" s="245">
        <v>150</v>
      </c>
      <c r="E62" s="245">
        <v>150</v>
      </c>
      <c r="F62" s="245">
        <v>150</v>
      </c>
      <c r="G62" s="92">
        <f>VLOOKUP(A62,'[1]yourspreadsheetname (1)'!$A$2:$C$968, 3, FALSE)</f>
        <v>0</v>
      </c>
      <c r="H62" s="92">
        <v>1500</v>
      </c>
      <c r="I62" s="92"/>
      <c r="J62" s="92"/>
      <c r="K62" s="92">
        <v>756676</v>
      </c>
      <c r="L62" s="246"/>
      <c r="M62" s="245" t="s">
        <v>263</v>
      </c>
      <c r="N62" s="13" t="s">
        <v>788</v>
      </c>
      <c r="O62" s="12">
        <v>60</v>
      </c>
      <c r="P62" s="54"/>
      <c r="Q62" s="127"/>
      <c r="R62" s="18">
        <v>1200</v>
      </c>
      <c r="S62" s="54"/>
      <c r="T62" s="12"/>
      <c r="U62" s="125"/>
      <c r="V62" s="130"/>
      <c r="W62" s="54">
        <f t="shared" si="5"/>
        <v>0</v>
      </c>
      <c r="X62" s="206">
        <v>487.5</v>
      </c>
      <c r="Y62" s="207">
        <v>727.38</v>
      </c>
      <c r="Z62" s="208">
        <f t="shared" si="4"/>
        <v>585000</v>
      </c>
      <c r="AA62" s="208">
        <f t="shared" si="6"/>
        <v>0</v>
      </c>
      <c r="AB62" s="130"/>
    </row>
    <row r="63" spans="1:28" s="116" customFormat="1" x14ac:dyDescent="0.25">
      <c r="A63" s="54" t="s">
        <v>852</v>
      </c>
      <c r="B63" s="54" t="s">
        <v>853</v>
      </c>
      <c r="C63" s="54"/>
      <c r="D63" s="54"/>
      <c r="E63" s="54">
        <v>80</v>
      </c>
      <c r="F63" s="54">
        <v>0</v>
      </c>
      <c r="G63" s="54">
        <f>VLOOKUP(A63,'[1]yourspreadsheetname (1)'!$A$2:$C$968, 3, FALSE)</f>
        <v>0</v>
      </c>
      <c r="H63" s="54">
        <v>0</v>
      </c>
      <c r="I63" s="54"/>
      <c r="J63" s="12"/>
      <c r="K63" s="12">
        <v>756676</v>
      </c>
      <c r="L63" s="12"/>
      <c r="M63" s="12" t="s">
        <v>259</v>
      </c>
      <c r="N63" s="13" t="s">
        <v>788</v>
      </c>
      <c r="O63" s="12">
        <v>61</v>
      </c>
      <c r="P63" s="54" t="s">
        <v>805</v>
      </c>
      <c r="Q63" s="54"/>
      <c r="R63" s="18">
        <v>1800</v>
      </c>
      <c r="S63" s="54"/>
      <c r="T63" s="12"/>
      <c r="U63" s="54">
        <v>1800</v>
      </c>
      <c r="V63" s="54"/>
      <c r="W63" s="54">
        <f t="shared" si="5"/>
        <v>1800</v>
      </c>
      <c r="X63" s="206">
        <v>517.23</v>
      </c>
      <c r="Y63" s="207">
        <v>517.23</v>
      </c>
      <c r="Z63" s="208">
        <f t="shared" si="4"/>
        <v>931014</v>
      </c>
      <c r="AA63" s="208">
        <f t="shared" si="6"/>
        <v>931014</v>
      </c>
      <c r="AB63" s="54"/>
    </row>
    <row r="64" spans="1:28" s="116" customFormat="1" ht="15.75" customHeight="1" x14ac:dyDescent="0.25">
      <c r="A64" s="676"/>
      <c r="B64" s="29" t="s">
        <v>854</v>
      </c>
      <c r="C64" s="12">
        <v>0</v>
      </c>
      <c r="D64" s="29">
        <v>0</v>
      </c>
      <c r="E64" s="29">
        <v>0</v>
      </c>
      <c r="F64" s="29">
        <v>0</v>
      </c>
      <c r="G64" s="54">
        <v>0</v>
      </c>
      <c r="H64" s="54">
        <v>0</v>
      </c>
      <c r="I64" s="29"/>
      <c r="J64" s="228"/>
      <c r="K64" s="29"/>
      <c r="L64" s="12"/>
      <c r="M64" s="29"/>
      <c r="N64" s="29"/>
      <c r="O64" s="29"/>
      <c r="P64" s="96"/>
      <c r="Q64" s="96"/>
      <c r="R64" s="18">
        <f>((F64*15)-G64-I64)/2</f>
        <v>0</v>
      </c>
      <c r="S64" s="54"/>
      <c r="T64" s="12"/>
      <c r="U64" s="681"/>
      <c r="V64" s="681"/>
      <c r="W64" s="54">
        <f t="shared" si="5"/>
        <v>0</v>
      </c>
      <c r="X64" s="206"/>
      <c r="Y64" s="207"/>
      <c r="Z64" s="208">
        <f t="shared" si="4"/>
        <v>0</v>
      </c>
      <c r="AA64" s="208">
        <f t="shared" si="6"/>
        <v>0</v>
      </c>
      <c r="AB64" s="681"/>
    </row>
    <row r="65" spans="1:28" s="132" customFormat="1" x14ac:dyDescent="0.25">
      <c r="A65" s="54" t="s">
        <v>855</v>
      </c>
      <c r="B65" s="54" t="s">
        <v>856</v>
      </c>
      <c r="C65" s="54">
        <v>500</v>
      </c>
      <c r="D65" s="54">
        <v>120</v>
      </c>
      <c r="E65" s="54">
        <v>50</v>
      </c>
      <c r="F65" s="54">
        <v>0</v>
      </c>
      <c r="G65" s="54">
        <f>VLOOKUP(A65,'[1]yourspreadsheetname (1)'!$A$2:$C$968, 3, FALSE)</f>
        <v>0</v>
      </c>
      <c r="H65" s="54">
        <v>0</v>
      </c>
      <c r="I65" s="54"/>
      <c r="J65" s="12"/>
      <c r="K65" s="12"/>
      <c r="L65" s="12"/>
      <c r="M65" s="29"/>
      <c r="N65" s="136"/>
      <c r="O65" s="29"/>
      <c r="P65" s="54"/>
      <c r="Q65" s="96"/>
      <c r="R65" s="18">
        <f>((F65*15)-G65-I65)/2</f>
        <v>0</v>
      </c>
      <c r="S65" s="54"/>
      <c r="T65" s="12"/>
      <c r="U65" s="54"/>
      <c r="V65" s="54"/>
      <c r="W65" s="54">
        <f t="shared" si="5"/>
        <v>0</v>
      </c>
      <c r="X65" s="145">
        <v>45</v>
      </c>
      <c r="Y65" s="207"/>
      <c r="Z65" s="208">
        <f t="shared" si="4"/>
        <v>0</v>
      </c>
      <c r="AA65" s="208">
        <f t="shared" si="6"/>
        <v>0</v>
      </c>
      <c r="AB65" s="474"/>
    </row>
    <row r="66" spans="1:28" s="116" customFormat="1" x14ac:dyDescent="0.25">
      <c r="A66" s="54" t="s">
        <v>857</v>
      </c>
      <c r="B66" s="54" t="s">
        <v>858</v>
      </c>
      <c r="C66" s="125"/>
      <c r="D66" s="125">
        <v>0</v>
      </c>
      <c r="E66" s="125">
        <v>30</v>
      </c>
      <c r="F66" s="125">
        <v>0</v>
      </c>
      <c r="G66" s="54">
        <v>0</v>
      </c>
      <c r="H66" s="54">
        <v>0</v>
      </c>
      <c r="I66" s="121"/>
      <c r="J66" s="110"/>
      <c r="K66" s="12"/>
      <c r="L66" s="184"/>
      <c r="M66" s="12"/>
      <c r="N66" s="13"/>
      <c r="O66" s="12"/>
      <c r="P66" s="125"/>
      <c r="Q66" s="125"/>
      <c r="R66" s="18">
        <f>((F66*15)-G66-I66)/2</f>
        <v>0</v>
      </c>
      <c r="S66" s="125"/>
      <c r="T66" s="184"/>
      <c r="U66" s="130"/>
      <c r="V66" s="130"/>
      <c r="W66" s="54">
        <f t="shared" si="5"/>
        <v>0</v>
      </c>
      <c r="X66" s="146"/>
      <c r="Y66" s="207"/>
      <c r="Z66" s="208">
        <f t="shared" si="4"/>
        <v>0</v>
      </c>
      <c r="AA66" s="208">
        <f t="shared" si="6"/>
        <v>0</v>
      </c>
      <c r="AB66" s="213"/>
    </row>
    <row r="67" spans="1:28" s="116" customFormat="1" x14ac:dyDescent="0.25">
      <c r="A67" s="54" t="s">
        <v>859</v>
      </c>
      <c r="B67" s="54" t="s">
        <v>860</v>
      </c>
      <c r="C67" s="54">
        <v>1800</v>
      </c>
      <c r="D67" s="54">
        <v>450</v>
      </c>
      <c r="E67" s="54">
        <v>500</v>
      </c>
      <c r="F67" s="54">
        <v>0</v>
      </c>
      <c r="G67" s="54">
        <f>VLOOKUP(A67,'[1]yourspreadsheetname (1)'!$A$2:$C$968, 3, FALSE)</f>
        <v>3010</v>
      </c>
      <c r="H67" s="54">
        <v>3000</v>
      </c>
      <c r="I67" s="54"/>
      <c r="J67" s="12"/>
      <c r="K67" s="12"/>
      <c r="L67" s="12"/>
      <c r="M67" s="12"/>
      <c r="N67" s="13"/>
      <c r="O67" s="12"/>
      <c r="P67" s="96"/>
      <c r="Q67" s="96"/>
      <c r="R67" s="18">
        <v>0</v>
      </c>
      <c r="S67" s="54"/>
      <c r="T67" s="12"/>
      <c r="U67" s="54"/>
      <c r="V67" s="54"/>
      <c r="W67" s="54">
        <f t="shared" si="5"/>
        <v>0</v>
      </c>
      <c r="X67" s="206"/>
      <c r="Y67" s="207"/>
      <c r="Z67" s="208">
        <f t="shared" ref="Z67:Z80" si="7">X67*R67</f>
        <v>0</v>
      </c>
      <c r="AA67" s="208">
        <f t="shared" si="6"/>
        <v>0</v>
      </c>
      <c r="AB67" s="54"/>
    </row>
    <row r="68" spans="1:28" s="116" customFormat="1" x14ac:dyDescent="0.25">
      <c r="A68" s="105" t="s">
        <v>861</v>
      </c>
      <c r="B68" s="54" t="s">
        <v>862</v>
      </c>
      <c r="C68" s="54"/>
      <c r="D68" s="54"/>
      <c r="E68" s="54">
        <v>0</v>
      </c>
      <c r="F68" s="54">
        <v>0</v>
      </c>
      <c r="G68" s="54">
        <v>0</v>
      </c>
      <c r="H68" s="54">
        <v>0</v>
      </c>
      <c r="I68" s="54"/>
      <c r="J68" s="12"/>
      <c r="K68" s="12"/>
      <c r="L68" s="12"/>
      <c r="M68" s="29"/>
      <c r="N68" s="29"/>
      <c r="O68" s="217"/>
      <c r="P68" s="96"/>
      <c r="Q68" s="64"/>
      <c r="R68" s="18">
        <f>((F68*15)-G68-I68)/2</f>
        <v>0</v>
      </c>
      <c r="S68" s="54"/>
      <c r="T68" s="12"/>
      <c r="U68" s="54"/>
      <c r="V68" s="96"/>
      <c r="W68" s="54">
        <f t="shared" si="5"/>
        <v>0</v>
      </c>
      <c r="X68" s="206"/>
      <c r="Y68" s="207"/>
      <c r="Z68" s="208">
        <f t="shared" si="7"/>
        <v>0</v>
      </c>
      <c r="AA68" s="208">
        <f t="shared" si="6"/>
        <v>0</v>
      </c>
      <c r="AB68" s="207"/>
    </row>
    <row r="69" spans="1:28" s="116" customFormat="1" x14ac:dyDescent="0.25">
      <c r="A69" s="54" t="s">
        <v>863</v>
      </c>
      <c r="B69" s="54" t="s">
        <v>864</v>
      </c>
      <c r="C69" s="54">
        <v>0</v>
      </c>
      <c r="D69" s="125">
        <v>0</v>
      </c>
      <c r="E69" s="125">
        <v>0</v>
      </c>
      <c r="F69" s="125">
        <v>0</v>
      </c>
      <c r="G69" s="54">
        <v>0</v>
      </c>
      <c r="H69" s="54">
        <v>0</v>
      </c>
      <c r="I69" s="125"/>
      <c r="J69" s="184"/>
      <c r="K69" s="184"/>
      <c r="L69" s="184"/>
      <c r="M69" s="184"/>
      <c r="N69" s="184"/>
      <c r="O69" s="184"/>
      <c r="P69" s="54"/>
      <c r="Q69" s="126"/>
      <c r="R69" s="18">
        <f>((F69*15)-G69-I69)/2</f>
        <v>0</v>
      </c>
      <c r="S69" s="125"/>
      <c r="T69" s="184"/>
      <c r="U69" s="121"/>
      <c r="V69" s="130"/>
      <c r="W69" s="54">
        <f t="shared" si="5"/>
        <v>0</v>
      </c>
      <c r="X69" s="206"/>
      <c r="Y69" s="207"/>
      <c r="Z69" s="208">
        <f t="shared" si="7"/>
        <v>0</v>
      </c>
      <c r="AA69" s="208">
        <f t="shared" si="6"/>
        <v>0</v>
      </c>
      <c r="AB69" s="130"/>
    </row>
    <row r="70" spans="1:28" s="116" customFormat="1" x14ac:dyDescent="0.25">
      <c r="A70" s="54" t="s">
        <v>865</v>
      </c>
      <c r="B70" s="54" t="s">
        <v>866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/>
      <c r="J70" s="12"/>
      <c r="K70" s="12"/>
      <c r="L70" s="233"/>
      <c r="M70" s="13"/>
      <c r="N70" s="12"/>
      <c r="O70" s="12"/>
      <c r="P70" s="54"/>
      <c r="Q70" s="54"/>
      <c r="R70" s="18">
        <f>((F70*15)-G70-I70)/2</f>
        <v>0</v>
      </c>
      <c r="S70" s="54"/>
      <c r="T70" s="12"/>
      <c r="U70" s="54"/>
      <c r="V70" s="54"/>
      <c r="W70" s="54">
        <f t="shared" si="5"/>
        <v>0</v>
      </c>
      <c r="X70" s="206"/>
      <c r="Y70" s="207"/>
      <c r="Z70" s="208">
        <f t="shared" si="7"/>
        <v>0</v>
      </c>
      <c r="AA70" s="208">
        <f t="shared" si="6"/>
        <v>0</v>
      </c>
      <c r="AB70" s="54"/>
    </row>
    <row r="71" spans="1:28" s="116" customFormat="1" x14ac:dyDescent="0.25">
      <c r="A71" s="54" t="s">
        <v>867</v>
      </c>
      <c r="B71" s="54" t="s">
        <v>868</v>
      </c>
      <c r="C71" s="54"/>
      <c r="D71" s="54"/>
      <c r="E71" s="54">
        <v>28</v>
      </c>
      <c r="F71" s="54">
        <v>0</v>
      </c>
      <c r="G71" s="54">
        <f>VLOOKUP(A71,'[1]yourspreadsheetname (1)'!$A$2:$C$968, 3, FALSE)</f>
        <v>168</v>
      </c>
      <c r="H71" s="54">
        <v>0</v>
      </c>
      <c r="I71" s="54"/>
      <c r="J71" s="12"/>
      <c r="K71" s="12"/>
      <c r="L71" s="12"/>
      <c r="M71" s="12"/>
      <c r="N71" s="13"/>
      <c r="O71" s="12"/>
      <c r="P71" s="54"/>
      <c r="Q71" s="54"/>
      <c r="R71" s="18">
        <v>0</v>
      </c>
      <c r="S71" s="54"/>
      <c r="T71" s="12"/>
      <c r="U71" s="54"/>
      <c r="V71" s="54"/>
      <c r="W71" s="54">
        <f t="shared" si="5"/>
        <v>0</v>
      </c>
      <c r="X71" s="206">
        <v>1500</v>
      </c>
      <c r="Y71" s="207">
        <v>1869.5</v>
      </c>
      <c r="Z71" s="208">
        <f t="shared" si="7"/>
        <v>0</v>
      </c>
      <c r="AA71" s="208">
        <f t="shared" si="6"/>
        <v>0</v>
      </c>
      <c r="AB71" s="54"/>
    </row>
    <row r="72" spans="1:28" s="116" customFormat="1" x14ac:dyDescent="0.25">
      <c r="A72" s="54" t="s">
        <v>869</v>
      </c>
      <c r="B72" s="96" t="s">
        <v>870</v>
      </c>
      <c r="C72" s="368">
        <v>0</v>
      </c>
      <c r="D72" s="54">
        <v>60</v>
      </c>
      <c r="E72" s="54">
        <v>100</v>
      </c>
      <c r="F72" s="54">
        <v>60</v>
      </c>
      <c r="G72" s="54">
        <f>VLOOKUP(A72,'[1]yourspreadsheetname (1)'!$A$2:$C$968, 3, FALSE)</f>
        <v>1215</v>
      </c>
      <c r="H72" s="54">
        <v>600</v>
      </c>
      <c r="I72" s="54"/>
      <c r="J72" s="12"/>
      <c r="K72" s="12"/>
      <c r="L72" s="12"/>
      <c r="M72" s="12"/>
      <c r="N72" s="13"/>
      <c r="O72" s="12"/>
      <c r="P72" s="54"/>
      <c r="Q72" s="54"/>
      <c r="R72" s="18">
        <v>0</v>
      </c>
      <c r="S72" s="54"/>
      <c r="T72" s="12"/>
      <c r="U72" s="54"/>
      <c r="V72" s="54"/>
      <c r="W72" s="54">
        <f t="shared" si="5"/>
        <v>0</v>
      </c>
      <c r="X72" s="206">
        <v>331.66</v>
      </c>
      <c r="Y72" s="207">
        <v>380</v>
      </c>
      <c r="Z72" s="208">
        <f t="shared" si="7"/>
        <v>0</v>
      </c>
      <c r="AA72" s="208">
        <f t="shared" si="6"/>
        <v>0</v>
      </c>
      <c r="AB72" s="54"/>
    </row>
    <row r="73" spans="1:28" s="132" customFormat="1" x14ac:dyDescent="0.25">
      <c r="A73" s="54" t="s">
        <v>871</v>
      </c>
      <c r="B73" s="54" t="s">
        <v>872</v>
      </c>
      <c r="C73" s="54"/>
      <c r="D73" s="54"/>
      <c r="E73" s="54">
        <v>0</v>
      </c>
      <c r="F73" s="54">
        <v>0</v>
      </c>
      <c r="G73" s="54">
        <v>0</v>
      </c>
      <c r="H73" s="54">
        <v>0</v>
      </c>
      <c r="I73" s="54"/>
      <c r="J73" s="54"/>
      <c r="K73" s="54"/>
      <c r="L73" s="54"/>
      <c r="M73" s="54"/>
      <c r="N73" s="64"/>
      <c r="O73" s="54"/>
      <c r="P73" s="54"/>
      <c r="Q73" s="54"/>
      <c r="R73" s="18">
        <f t="shared" ref="R73:R80" si="8">((F73*15)-G73-I73)/2</f>
        <v>0</v>
      </c>
      <c r="S73" s="54"/>
      <c r="T73" s="12"/>
      <c r="U73" s="54"/>
      <c r="V73" s="54"/>
      <c r="W73" s="54">
        <f t="shared" si="5"/>
        <v>0</v>
      </c>
      <c r="X73" s="206">
        <v>118.06</v>
      </c>
      <c r="Y73" s="207">
        <v>1185</v>
      </c>
      <c r="Z73" s="208">
        <f t="shared" si="7"/>
        <v>0</v>
      </c>
      <c r="AA73" s="208">
        <f t="shared" si="6"/>
        <v>0</v>
      </c>
      <c r="AB73" s="54"/>
    </row>
    <row r="74" spans="1:28" s="116" customFormat="1" x14ac:dyDescent="0.25">
      <c r="A74" s="54" t="s">
        <v>873</v>
      </c>
      <c r="B74" s="54" t="s">
        <v>874</v>
      </c>
      <c r="C74" s="54"/>
      <c r="D74" s="54"/>
      <c r="E74" s="54">
        <v>0</v>
      </c>
      <c r="F74" s="54">
        <v>0</v>
      </c>
      <c r="G74" s="54">
        <f>VLOOKUP(A74,'[1]yourspreadsheetname (1)'!$A$2:$C$968, 3, FALSE)</f>
        <v>0</v>
      </c>
      <c r="H74" s="54">
        <v>0</v>
      </c>
      <c r="I74" s="54"/>
      <c r="J74" s="54"/>
      <c r="K74" s="54"/>
      <c r="L74" s="54"/>
      <c r="M74" s="54"/>
      <c r="N74" s="64"/>
      <c r="O74" s="54"/>
      <c r="P74" s="54"/>
      <c r="Q74" s="54"/>
      <c r="R74" s="18">
        <f t="shared" si="8"/>
        <v>0</v>
      </c>
      <c r="S74" s="54"/>
      <c r="T74" s="12"/>
      <c r="U74" s="54"/>
      <c r="V74" s="54"/>
      <c r="W74" s="54">
        <f t="shared" si="5"/>
        <v>0</v>
      </c>
      <c r="X74" s="206">
        <v>55</v>
      </c>
      <c r="Y74" s="207">
        <v>2150</v>
      </c>
      <c r="Z74" s="208">
        <f t="shared" si="7"/>
        <v>0</v>
      </c>
      <c r="AA74" s="208">
        <f t="shared" si="6"/>
        <v>0</v>
      </c>
      <c r="AB74" s="54"/>
    </row>
    <row r="75" spans="1:28" s="116" customFormat="1" x14ac:dyDescent="0.25">
      <c r="A75" s="54"/>
      <c r="B75" s="54" t="s">
        <v>875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/>
      <c r="J75" s="129"/>
      <c r="K75" s="54"/>
      <c r="L75" s="54"/>
      <c r="M75" s="54"/>
      <c r="N75" s="64"/>
      <c r="O75" s="54"/>
      <c r="P75" s="54"/>
      <c r="Q75" s="54"/>
      <c r="R75" s="18">
        <f t="shared" si="8"/>
        <v>0</v>
      </c>
      <c r="S75" s="121"/>
      <c r="T75" s="110"/>
      <c r="U75" s="54"/>
      <c r="V75" s="54"/>
      <c r="W75" s="54">
        <f t="shared" si="5"/>
        <v>0</v>
      </c>
      <c r="X75" s="206"/>
      <c r="Y75" s="207"/>
      <c r="Z75" s="208">
        <f t="shared" si="7"/>
        <v>0</v>
      </c>
      <c r="AA75" s="208">
        <f t="shared" si="6"/>
        <v>0</v>
      </c>
      <c r="AB75" s="54"/>
    </row>
    <row r="76" spans="1:28" s="116" customFormat="1" x14ac:dyDescent="0.25">
      <c r="A76" s="105" t="s">
        <v>876</v>
      </c>
      <c r="B76" s="54" t="s">
        <v>877</v>
      </c>
      <c r="C76" s="54"/>
      <c r="D76" s="54"/>
      <c r="E76" s="54">
        <v>0</v>
      </c>
      <c r="F76" s="54"/>
      <c r="G76" s="54">
        <v>0</v>
      </c>
      <c r="H76" s="54">
        <v>0</v>
      </c>
      <c r="I76" s="54"/>
      <c r="J76" s="54"/>
      <c r="K76" s="54"/>
      <c r="L76" s="54"/>
      <c r="M76" s="96"/>
      <c r="N76" s="124"/>
      <c r="O76" s="124"/>
      <c r="P76" s="96"/>
      <c r="Q76" s="64"/>
      <c r="R76" s="18">
        <f t="shared" si="8"/>
        <v>0</v>
      </c>
      <c r="S76" s="54"/>
      <c r="T76" s="12"/>
      <c r="U76" s="54"/>
      <c r="V76" s="96"/>
      <c r="W76" s="54">
        <f t="shared" si="5"/>
        <v>0</v>
      </c>
      <c r="X76" s="206"/>
      <c r="Y76" s="207"/>
      <c r="Z76" s="208">
        <f t="shared" si="7"/>
        <v>0</v>
      </c>
      <c r="AA76" s="208">
        <f t="shared" si="6"/>
        <v>0</v>
      </c>
      <c r="AB76" s="208"/>
    </row>
    <row r="77" spans="1:28" s="116" customFormat="1" x14ac:dyDescent="0.25">
      <c r="A77" s="54" t="s">
        <v>878</v>
      </c>
      <c r="B77" s="54" t="s">
        <v>879</v>
      </c>
      <c r="C77" s="54">
        <v>0</v>
      </c>
      <c r="D77" s="54"/>
      <c r="E77" s="54">
        <v>0</v>
      </c>
      <c r="F77" s="54">
        <v>0</v>
      </c>
      <c r="G77" s="54">
        <f>VLOOKUP(A77,'[1]yourspreadsheetname (1)'!$A$2:$C$968, 3, FALSE)</f>
        <v>0</v>
      </c>
      <c r="H77" s="54">
        <v>0</v>
      </c>
      <c r="I77" s="54"/>
      <c r="J77" s="54"/>
      <c r="K77" s="54"/>
      <c r="L77" s="54"/>
      <c r="M77" s="54"/>
      <c r="N77" s="64"/>
      <c r="O77" s="54"/>
      <c r="P77" s="54"/>
      <c r="Q77" s="54"/>
      <c r="R77" s="18">
        <f t="shared" si="8"/>
        <v>0</v>
      </c>
      <c r="S77" s="54"/>
      <c r="T77" s="12"/>
      <c r="U77" s="54"/>
      <c r="V77" s="54"/>
      <c r="W77" s="54">
        <f t="shared" si="5"/>
        <v>0</v>
      </c>
      <c r="X77" s="206"/>
      <c r="Y77" s="207"/>
      <c r="Z77" s="208">
        <f t="shared" si="7"/>
        <v>0</v>
      </c>
      <c r="AA77" s="208">
        <f t="shared" si="6"/>
        <v>0</v>
      </c>
      <c r="AB77" s="54"/>
    </row>
    <row r="78" spans="1:28" s="116" customFormat="1" x14ac:dyDescent="0.25">
      <c r="A78" s="54" t="s">
        <v>880</v>
      </c>
      <c r="B78" s="54" t="s">
        <v>881</v>
      </c>
      <c r="C78" s="54"/>
      <c r="D78" s="54"/>
      <c r="E78" s="54">
        <v>0</v>
      </c>
      <c r="F78" s="54">
        <v>0</v>
      </c>
      <c r="G78" s="54">
        <f>VLOOKUP(A78,'[1]yourspreadsheetname (1)'!$A$2:$C$968, 3, FALSE)</f>
        <v>0</v>
      </c>
      <c r="H78" s="54">
        <v>0</v>
      </c>
      <c r="I78" s="54"/>
      <c r="J78" s="54"/>
      <c r="K78" s="54"/>
      <c r="L78" s="54"/>
      <c r="M78" s="54"/>
      <c r="N78" s="64"/>
      <c r="O78" s="54"/>
      <c r="P78" s="54"/>
      <c r="Q78" s="54"/>
      <c r="R78" s="18">
        <f t="shared" si="8"/>
        <v>0</v>
      </c>
      <c r="S78" s="54"/>
      <c r="T78" s="12"/>
      <c r="U78" s="54"/>
      <c r="V78" s="54"/>
      <c r="W78" s="54">
        <f t="shared" si="5"/>
        <v>0</v>
      </c>
      <c r="X78" s="206"/>
      <c r="Y78" s="207"/>
      <c r="Z78" s="208">
        <f t="shared" si="7"/>
        <v>0</v>
      </c>
      <c r="AA78" s="208">
        <f t="shared" si="6"/>
        <v>0</v>
      </c>
      <c r="AB78" s="54"/>
    </row>
    <row r="79" spans="1:28" s="4" customFormat="1" x14ac:dyDescent="0.25">
      <c r="A79" s="54" t="s">
        <v>882</v>
      </c>
      <c r="B79" s="54" t="s">
        <v>883</v>
      </c>
      <c r="C79" s="54"/>
      <c r="D79" s="54"/>
      <c r="E79" s="54">
        <v>0</v>
      </c>
      <c r="F79" s="54">
        <v>0</v>
      </c>
      <c r="G79" s="54">
        <v>0</v>
      </c>
      <c r="H79" s="54">
        <v>0</v>
      </c>
      <c r="I79" s="54"/>
      <c r="J79" s="54"/>
      <c r="K79" s="54"/>
      <c r="L79" s="125"/>
      <c r="M79" s="64"/>
      <c r="N79" s="54"/>
      <c r="O79" s="54"/>
      <c r="P79" s="54"/>
      <c r="Q79" s="54"/>
      <c r="R79" s="18">
        <f t="shared" si="8"/>
        <v>0</v>
      </c>
      <c r="S79" s="54"/>
      <c r="T79" s="12"/>
      <c r="U79" s="54"/>
      <c r="V79" s="54"/>
      <c r="W79" s="54">
        <f t="shared" si="5"/>
        <v>0</v>
      </c>
      <c r="X79" s="206"/>
      <c r="Y79" s="207"/>
      <c r="Z79" s="208">
        <f t="shared" si="7"/>
        <v>0</v>
      </c>
      <c r="AA79" s="208">
        <f t="shared" si="6"/>
        <v>0</v>
      </c>
      <c r="AB79" s="54"/>
    </row>
    <row r="80" spans="1:28" x14ac:dyDescent="0.25">
      <c r="A80" s="104" t="s">
        <v>884</v>
      </c>
      <c r="B80" s="104" t="s">
        <v>885</v>
      </c>
      <c r="C80" s="54"/>
      <c r="D80" s="54"/>
      <c r="E80" s="54">
        <v>0</v>
      </c>
      <c r="F80" s="54">
        <v>0</v>
      </c>
      <c r="G80" s="54">
        <f>VLOOKUP(A80,'[1]yourspreadsheetname (1)'!$A$2:$C$968, 3, FALSE)</f>
        <v>0</v>
      </c>
      <c r="H80" s="54">
        <v>0</v>
      </c>
      <c r="I80" s="54"/>
      <c r="J80" s="54"/>
      <c r="K80" s="54"/>
      <c r="L80" s="54"/>
      <c r="M80" s="64"/>
      <c r="N80" s="54"/>
      <c r="O80" s="54"/>
      <c r="P80" s="54"/>
      <c r="Q80" s="54"/>
      <c r="R80" s="18">
        <f t="shared" si="8"/>
        <v>0</v>
      </c>
      <c r="S80" s="54"/>
      <c r="T80" s="12"/>
      <c r="U80" s="54"/>
      <c r="V80" s="54"/>
      <c r="W80" s="54">
        <f t="shared" si="5"/>
        <v>0</v>
      </c>
      <c r="X80" s="206"/>
      <c r="Y80" s="207"/>
      <c r="Z80" s="208">
        <f t="shared" si="7"/>
        <v>0</v>
      </c>
      <c r="AA80" s="208">
        <f t="shared" si="6"/>
        <v>0</v>
      </c>
      <c r="AB80" s="124"/>
    </row>
    <row r="81" spans="3:27" s="4" customFormat="1" x14ac:dyDescent="0.25">
      <c r="C81" s="116"/>
      <c r="D81" s="116"/>
      <c r="E81" s="116"/>
      <c r="F81" s="116"/>
      <c r="G81" s="116"/>
      <c r="H81" s="116"/>
      <c r="I81" s="116"/>
      <c r="J81" s="116"/>
      <c r="K81" s="116"/>
      <c r="L81" s="132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47"/>
      <c r="Y81" s="147"/>
      <c r="Z81" s="86">
        <f>SUM(Z53:Z80)</f>
        <v>19215303.399999999</v>
      </c>
      <c r="AA81" s="86">
        <f>SUM(AA51:AA80)</f>
        <v>9116688.3599999994</v>
      </c>
    </row>
    <row r="82" spans="3:27" s="4" customFormat="1" x14ac:dyDescent="0.25">
      <c r="C82" s="116"/>
      <c r="D82" s="116"/>
      <c r="E82" s="116"/>
      <c r="F82" s="116"/>
      <c r="G82" s="116"/>
      <c r="H82" s="116"/>
      <c r="I82" s="116"/>
      <c r="J82" s="116"/>
      <c r="K82" s="116"/>
      <c r="L82" s="132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47"/>
      <c r="Y82" s="147"/>
      <c r="Z82" s="680"/>
      <c r="AA82" s="680"/>
    </row>
    <row r="83" spans="3:27" s="4" customFormat="1" x14ac:dyDescent="0.25">
      <c r="C83" s="116"/>
      <c r="D83" s="116"/>
      <c r="E83" s="116"/>
      <c r="F83" s="116"/>
      <c r="G83" s="116"/>
      <c r="H83" s="116"/>
      <c r="I83" s="116"/>
      <c r="J83" s="116"/>
      <c r="K83" s="116"/>
      <c r="L83" s="132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47"/>
      <c r="Y83" s="147"/>
      <c r="Z83" s="680"/>
      <c r="AA83" s="680"/>
    </row>
    <row r="84" spans="3:27" s="4" customFormat="1" x14ac:dyDescent="0.25">
      <c r="C84" s="116"/>
      <c r="D84" s="116"/>
      <c r="E84" s="116"/>
      <c r="F84" s="116"/>
      <c r="G84" s="116"/>
      <c r="H84" s="116"/>
      <c r="I84" s="116"/>
      <c r="J84" s="116"/>
      <c r="K84" s="116"/>
      <c r="L84" s="132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47"/>
      <c r="Y84" s="147"/>
      <c r="Z84" s="680"/>
      <c r="AA84" s="680"/>
    </row>
    <row r="85" spans="3:27" s="4" customFormat="1" x14ac:dyDescent="0.25">
      <c r="C85" s="116"/>
      <c r="D85" s="116"/>
      <c r="E85" s="116"/>
      <c r="F85" s="116"/>
      <c r="G85" s="116"/>
      <c r="H85" s="116"/>
      <c r="I85" s="116"/>
      <c r="J85" s="116"/>
      <c r="K85" s="116"/>
      <c r="L85" s="132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47"/>
      <c r="Y85" s="147"/>
      <c r="Z85" s="680"/>
      <c r="AA85" s="680"/>
    </row>
    <row r="86" spans="3:27" s="4" customFormat="1" x14ac:dyDescent="0.25">
      <c r="C86" s="116"/>
      <c r="D86" s="116"/>
      <c r="E86" s="116"/>
      <c r="F86" s="116"/>
      <c r="G86" s="116"/>
      <c r="H86" s="116"/>
      <c r="I86" s="116"/>
      <c r="J86" s="116"/>
      <c r="K86" s="116"/>
      <c r="L86" s="132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47"/>
      <c r="Y86" s="147"/>
      <c r="Z86" s="680"/>
      <c r="AA86" s="680"/>
    </row>
    <row r="87" spans="3:27" s="4" customFormat="1" x14ac:dyDescent="0.25">
      <c r="C87" s="116"/>
      <c r="D87" s="116"/>
      <c r="E87" s="116"/>
      <c r="F87" s="116"/>
      <c r="G87" s="116"/>
      <c r="H87" s="116"/>
      <c r="I87" s="116"/>
      <c r="J87" s="116"/>
      <c r="K87" s="116"/>
      <c r="L87" s="132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47"/>
      <c r="Y87" s="147"/>
      <c r="Z87" s="680"/>
      <c r="AA87" s="680"/>
    </row>
    <row r="88" spans="3:27" s="4" customFormat="1" x14ac:dyDescent="0.25">
      <c r="C88" s="116"/>
      <c r="D88" s="116"/>
      <c r="E88" s="116"/>
      <c r="F88" s="116"/>
      <c r="G88" s="116"/>
      <c r="H88" s="116"/>
      <c r="I88" s="116"/>
      <c r="J88" s="116"/>
      <c r="K88" s="116"/>
      <c r="L88" s="132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47"/>
      <c r="Y88" s="147"/>
      <c r="Z88" s="680"/>
      <c r="AA88" s="680"/>
    </row>
    <row r="89" spans="3:27" s="4" customFormat="1" x14ac:dyDescent="0.25">
      <c r="C89" s="116"/>
      <c r="D89" s="116"/>
      <c r="E89" s="116"/>
      <c r="F89" s="116"/>
      <c r="G89" s="116"/>
      <c r="H89" s="116"/>
      <c r="I89" s="116"/>
      <c r="J89" s="116"/>
      <c r="K89" s="116"/>
      <c r="L89" s="132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47"/>
      <c r="Y89" s="147"/>
      <c r="Z89" s="680"/>
      <c r="AA89" s="680"/>
    </row>
    <row r="90" spans="3:27" s="4" customFormat="1" x14ac:dyDescent="0.25">
      <c r="C90" s="116"/>
      <c r="D90" s="116"/>
      <c r="E90" s="116"/>
      <c r="F90" s="116"/>
      <c r="G90" s="116"/>
      <c r="H90" s="116"/>
      <c r="I90" s="116"/>
      <c r="J90" s="116"/>
      <c r="K90" s="116"/>
      <c r="L90" s="132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47"/>
      <c r="Y90" s="147"/>
      <c r="Z90" s="680"/>
      <c r="AA90" s="680"/>
    </row>
    <row r="91" spans="3:27" s="4" customFormat="1" x14ac:dyDescent="0.25">
      <c r="C91" s="116"/>
      <c r="D91" s="116"/>
      <c r="E91" s="116"/>
      <c r="F91" s="116"/>
      <c r="G91" s="116"/>
      <c r="H91" s="116"/>
      <c r="I91" s="116"/>
      <c r="J91" s="116"/>
      <c r="K91" s="116"/>
      <c r="L91" s="132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47"/>
      <c r="Y91" s="147"/>
      <c r="Z91" s="680"/>
      <c r="AA91" s="680"/>
    </row>
    <row r="92" spans="3:27" x14ac:dyDescent="0.25"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</row>
    <row r="93" spans="3:27" x14ac:dyDescent="0.25"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</row>
    <row r="94" spans="3:27" x14ac:dyDescent="0.25"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</row>
    <row r="95" spans="3:27" x14ac:dyDescent="0.25"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</row>
    <row r="96" spans="3:27" x14ac:dyDescent="0.25"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</row>
    <row r="97" spans="3:23" x14ac:dyDescent="0.25"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</row>
    <row r="98" spans="3:23" x14ac:dyDescent="0.25"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</row>
    <row r="99" spans="3:23" x14ac:dyDescent="0.25"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</row>
    <row r="100" spans="3:23" x14ac:dyDescent="0.25"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</row>
    <row r="101" spans="3:23" x14ac:dyDescent="0.25"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</row>
    <row r="102" spans="3:23" x14ac:dyDescent="0.25"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</row>
    <row r="103" spans="3:23" x14ac:dyDescent="0.25"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</row>
    <row r="179" spans="13:28" x14ac:dyDescent="0.25"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142"/>
      <c r="Y179" s="142"/>
      <c r="AB179" s="2"/>
    </row>
    <row r="180" spans="13:28" x14ac:dyDescent="0.25"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142"/>
      <c r="Y180" s="142"/>
      <c r="AB180" s="2"/>
    </row>
    <row r="181" spans="13:28" x14ac:dyDescent="0.25"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42"/>
      <c r="Y181" s="142"/>
      <c r="AB181" s="2"/>
    </row>
    <row r="182" spans="13:28" x14ac:dyDescent="0.25"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42"/>
      <c r="Y182" s="142"/>
      <c r="AB182" s="2"/>
    </row>
    <row r="183" spans="13:28" x14ac:dyDescent="0.25"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42"/>
      <c r="Y183" s="142"/>
      <c r="AB183" s="2"/>
    </row>
    <row r="184" spans="13:28" x14ac:dyDescent="0.25"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142"/>
      <c r="Y184" s="142"/>
      <c r="AB184" s="2"/>
    </row>
    <row r="185" spans="13:28" x14ac:dyDescent="0.25"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142"/>
      <c r="Y185" s="142"/>
      <c r="AB185" s="2"/>
    </row>
    <row r="186" spans="13:28" x14ac:dyDescent="0.25"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142"/>
      <c r="Y186" s="142"/>
      <c r="AB186" s="2"/>
    </row>
    <row r="187" spans="13:28" x14ac:dyDescent="0.25"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142"/>
      <c r="Y187" s="142"/>
      <c r="AB187" s="2"/>
    </row>
    <row r="188" spans="13:28" x14ac:dyDescent="0.25"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142"/>
      <c r="Y188" s="142"/>
      <c r="AB188" s="2"/>
    </row>
    <row r="189" spans="13:28" x14ac:dyDescent="0.25"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142"/>
      <c r="Y189" s="142"/>
      <c r="AB189" s="2"/>
    </row>
    <row r="190" spans="13:28" x14ac:dyDescent="0.25"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142"/>
      <c r="Y190" s="142"/>
      <c r="AB190" s="2"/>
    </row>
    <row r="191" spans="13:28" x14ac:dyDescent="0.25"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142"/>
      <c r="Y191" s="142"/>
      <c r="AB191" s="2"/>
    </row>
    <row r="192" spans="13:28" x14ac:dyDescent="0.25"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142"/>
      <c r="Y192" s="142"/>
      <c r="AB192" s="2"/>
    </row>
    <row r="193" spans="13:28" x14ac:dyDescent="0.25"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142"/>
      <c r="Y193" s="142"/>
      <c r="AB193" s="2"/>
    </row>
    <row r="194" spans="13:28" x14ac:dyDescent="0.25"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142"/>
      <c r="Y194" s="142"/>
      <c r="AB194" s="2"/>
    </row>
  </sheetData>
  <autoFilter ref="A2:AB67">
    <sortState ref="A4:AB80">
      <sortCondition ref="O2:O67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AC1048576"/>
  <sheetViews>
    <sheetView topLeftCell="K1" zoomScale="85" zoomScaleNormal="85" workbookViewId="0">
      <pane ySplit="2" topLeftCell="A12" activePane="bottomLeft" state="frozen"/>
      <selection pane="bottomLeft" activeCell="Y48" sqref="Y48"/>
    </sheetView>
  </sheetViews>
  <sheetFormatPr baseColWidth="10" defaultColWidth="11.42578125" defaultRowHeight="15" x14ac:dyDescent="0.25"/>
  <cols>
    <col min="1" max="1" width="15" customWidth="1"/>
    <col min="2" max="2" width="52.7109375" customWidth="1"/>
    <col min="3" max="3" width="11.7109375" style="2" hidden="1" customWidth="1"/>
    <col min="4" max="6" width="10.7109375" style="2" hidden="1" customWidth="1"/>
    <col min="7" max="7" width="10.5703125" style="2" hidden="1" customWidth="1"/>
    <col min="8" max="8" width="10.5703125" hidden="1" customWidth="1"/>
    <col min="9" max="9" width="12" hidden="1" customWidth="1"/>
    <col min="10" max="10" width="15.140625" hidden="1" customWidth="1"/>
    <col min="11" max="11" width="8.85546875" customWidth="1"/>
    <col min="12" max="12" width="10.140625" customWidth="1"/>
    <col min="13" max="13" width="17.140625" customWidth="1"/>
    <col min="14" max="14" width="9.28515625" customWidth="1"/>
    <col min="15" max="15" width="7.5703125" customWidth="1"/>
    <col min="16" max="16" width="10.140625" customWidth="1"/>
    <col min="17" max="17" width="7.42578125" customWidth="1"/>
    <col min="18" max="20" width="14.42578125" customWidth="1"/>
    <col min="21" max="21" width="12.42578125" customWidth="1"/>
    <col min="22" max="22" width="11.28515625" customWidth="1"/>
    <col min="23" max="23" width="12.42578125" customWidth="1"/>
    <col min="24" max="24" width="12.85546875" style="143" customWidth="1"/>
    <col min="25" max="25" width="16.5703125" style="143" customWidth="1"/>
    <col min="26" max="26" width="18.7109375" customWidth="1"/>
    <col min="27" max="27" width="17.7109375" customWidth="1"/>
    <col min="28" max="28" width="60.7109375" customWidth="1"/>
  </cols>
  <sheetData>
    <row r="1" spans="1:29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63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85" t="s">
        <v>886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9" ht="38.25" customHeight="1" thickBot="1" x14ac:dyDescent="0.3">
      <c r="A2" s="773"/>
      <c r="B2" s="753"/>
      <c r="C2" s="776"/>
      <c r="D2" s="778"/>
      <c r="E2" s="753"/>
      <c r="F2" s="753"/>
      <c r="G2" s="753"/>
      <c r="H2" s="75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9" s="4" customFormat="1" x14ac:dyDescent="0.25">
      <c r="A3" s="66" t="s">
        <v>887</v>
      </c>
      <c r="B3" s="66" t="s">
        <v>888</v>
      </c>
      <c r="C3" s="66">
        <v>500</v>
      </c>
      <c r="D3" s="169">
        <v>400</v>
      </c>
      <c r="E3" s="169">
        <v>400</v>
      </c>
      <c r="F3" s="169">
        <v>500</v>
      </c>
      <c r="G3" s="171">
        <v>0</v>
      </c>
      <c r="H3" s="66">
        <v>5100</v>
      </c>
      <c r="I3" s="169">
        <v>0</v>
      </c>
      <c r="J3" s="173" t="s">
        <v>122</v>
      </c>
      <c r="K3" s="66">
        <v>751111</v>
      </c>
      <c r="L3" s="274"/>
      <c r="M3" s="66" t="s">
        <v>263</v>
      </c>
      <c r="N3" s="21" t="s">
        <v>889</v>
      </c>
      <c r="O3" s="18">
        <v>1</v>
      </c>
      <c r="P3" s="18" t="s">
        <v>890</v>
      </c>
      <c r="Q3" s="18" t="s">
        <v>1978</v>
      </c>
      <c r="R3" s="66">
        <v>3000</v>
      </c>
      <c r="S3" s="18"/>
      <c r="T3" s="18"/>
      <c r="U3" s="18">
        <v>3000</v>
      </c>
      <c r="V3" s="18">
        <v>3000</v>
      </c>
      <c r="W3" s="18">
        <f t="shared" ref="W3:W34" si="0">U3+V3</f>
        <v>6000</v>
      </c>
      <c r="X3" s="118">
        <v>285.10000000000002</v>
      </c>
      <c r="Y3" s="117">
        <v>494</v>
      </c>
      <c r="Z3" s="8">
        <f t="shared" ref="Z3:Z8" si="1">R3*X3</f>
        <v>855300.00000000012</v>
      </c>
      <c r="AA3" s="8">
        <f t="shared" ref="AA3:AA21" si="2">W3*Y3</f>
        <v>2964000</v>
      </c>
      <c r="AB3" s="37"/>
      <c r="AC3" s="680"/>
    </row>
    <row r="4" spans="1:29" s="4" customFormat="1" x14ac:dyDescent="0.25">
      <c r="A4" s="66" t="s">
        <v>891</v>
      </c>
      <c r="B4" s="54" t="s">
        <v>892</v>
      </c>
      <c r="C4" s="54">
        <v>120</v>
      </c>
      <c r="D4" s="169">
        <v>120</v>
      </c>
      <c r="E4" s="169">
        <v>120</v>
      </c>
      <c r="F4" s="169">
        <v>120</v>
      </c>
      <c r="G4" s="171">
        <v>450</v>
      </c>
      <c r="H4" s="66">
        <v>800</v>
      </c>
      <c r="I4" s="169">
        <v>510</v>
      </c>
      <c r="J4" s="173" t="s">
        <v>122</v>
      </c>
      <c r="K4" s="66">
        <v>751111</v>
      </c>
      <c r="L4" s="274"/>
      <c r="M4" s="66" t="s">
        <v>293</v>
      </c>
      <c r="N4" s="21" t="s">
        <v>889</v>
      </c>
      <c r="O4" s="18">
        <v>2</v>
      </c>
      <c r="P4" s="18" t="s">
        <v>893</v>
      </c>
      <c r="Q4" s="18"/>
      <c r="R4" s="66">
        <v>500</v>
      </c>
      <c r="S4" s="18"/>
      <c r="T4" s="18"/>
      <c r="U4" s="275">
        <v>500</v>
      </c>
      <c r="V4" s="18"/>
      <c r="W4" s="18">
        <f t="shared" si="0"/>
        <v>500</v>
      </c>
      <c r="X4" s="118">
        <v>31590</v>
      </c>
      <c r="Y4" s="117">
        <v>25350</v>
      </c>
      <c r="Z4" s="8">
        <f t="shared" si="1"/>
        <v>15795000</v>
      </c>
      <c r="AA4" s="8">
        <f t="shared" si="2"/>
        <v>12675000</v>
      </c>
      <c r="AB4" s="37"/>
      <c r="AC4" s="680"/>
    </row>
    <row r="5" spans="1:29" x14ac:dyDescent="0.25">
      <c r="A5" s="55" t="s">
        <v>341</v>
      </c>
      <c r="B5" s="243" t="s">
        <v>342</v>
      </c>
      <c r="C5" s="243"/>
      <c r="D5" s="429"/>
      <c r="E5" s="429">
        <v>60</v>
      </c>
      <c r="F5" s="429">
        <v>90</v>
      </c>
      <c r="G5" s="430">
        <v>0</v>
      </c>
      <c r="H5" s="55">
        <v>300</v>
      </c>
      <c r="I5" s="429"/>
      <c r="J5" s="250" t="s">
        <v>122</v>
      </c>
      <c r="K5" s="55">
        <v>751111</v>
      </c>
      <c r="L5" s="293"/>
      <c r="M5" s="55" t="s">
        <v>894</v>
      </c>
      <c r="N5" s="21" t="s">
        <v>889</v>
      </c>
      <c r="O5" s="18">
        <v>3</v>
      </c>
      <c r="P5" s="18"/>
      <c r="Q5" s="6"/>
      <c r="R5" s="66">
        <v>600</v>
      </c>
      <c r="S5" s="18"/>
      <c r="T5" s="18"/>
      <c r="U5" s="18"/>
      <c r="V5" s="6"/>
      <c r="W5" s="18">
        <f t="shared" si="0"/>
        <v>0</v>
      </c>
      <c r="X5" s="118">
        <v>615.55999999999995</v>
      </c>
      <c r="Y5" s="117">
        <v>3503.91</v>
      </c>
      <c r="Z5" s="8">
        <f t="shared" si="1"/>
        <v>369335.99999999994</v>
      </c>
      <c r="AA5" s="8">
        <f t="shared" si="2"/>
        <v>0</v>
      </c>
      <c r="AB5" s="18"/>
      <c r="AC5" s="680"/>
    </row>
    <row r="6" spans="1:29" s="4" customFormat="1" x14ac:dyDescent="0.25">
      <c r="A6" s="66" t="s">
        <v>895</v>
      </c>
      <c r="B6" s="66" t="s">
        <v>896</v>
      </c>
      <c r="C6" s="54">
        <v>30</v>
      </c>
      <c r="D6" s="333">
        <v>100</v>
      </c>
      <c r="E6" s="333">
        <v>100</v>
      </c>
      <c r="F6" s="333">
        <v>100</v>
      </c>
      <c r="G6" s="171">
        <v>800</v>
      </c>
      <c r="H6" s="66">
        <v>900</v>
      </c>
      <c r="I6" s="169"/>
      <c r="J6" s="173" t="s">
        <v>122</v>
      </c>
      <c r="K6" s="66">
        <v>751111</v>
      </c>
      <c r="L6" s="274"/>
      <c r="M6" s="66" t="s">
        <v>293</v>
      </c>
      <c r="N6" s="21" t="s">
        <v>889</v>
      </c>
      <c r="O6" s="18">
        <v>4</v>
      </c>
      <c r="P6" s="18" t="s">
        <v>893</v>
      </c>
      <c r="Q6" s="18"/>
      <c r="R6" s="66">
        <v>300</v>
      </c>
      <c r="S6" s="18"/>
      <c r="T6" s="18"/>
      <c r="U6" s="18">
        <v>300</v>
      </c>
      <c r="V6" s="18"/>
      <c r="W6" s="18">
        <f t="shared" si="0"/>
        <v>300</v>
      </c>
      <c r="X6" s="118">
        <v>1028</v>
      </c>
      <c r="Y6" s="117">
        <v>904</v>
      </c>
      <c r="Z6" s="8">
        <f t="shared" si="1"/>
        <v>308400</v>
      </c>
      <c r="AA6" s="8">
        <f t="shared" si="2"/>
        <v>271200</v>
      </c>
      <c r="AB6" s="37"/>
      <c r="AC6" s="680"/>
    </row>
    <row r="7" spans="1:29" s="4" customFormat="1" x14ac:dyDescent="0.25">
      <c r="A7" s="66" t="s">
        <v>897</v>
      </c>
      <c r="B7" s="54" t="s">
        <v>898</v>
      </c>
      <c r="C7" s="54">
        <v>1333.333333333333</v>
      </c>
      <c r="D7" s="210">
        <v>1600</v>
      </c>
      <c r="E7" s="210">
        <v>1600</v>
      </c>
      <c r="F7" s="210">
        <v>1900</v>
      </c>
      <c r="G7" s="171">
        <v>1000</v>
      </c>
      <c r="H7" s="66">
        <v>18760</v>
      </c>
      <c r="I7" s="169">
        <v>4800</v>
      </c>
      <c r="J7" s="173" t="s">
        <v>122</v>
      </c>
      <c r="K7" s="66">
        <v>751111</v>
      </c>
      <c r="L7" s="274"/>
      <c r="M7" s="66" t="s">
        <v>293</v>
      </c>
      <c r="N7" s="21" t="s">
        <v>889</v>
      </c>
      <c r="O7" s="18">
        <v>5</v>
      </c>
      <c r="P7" s="21" t="s">
        <v>893</v>
      </c>
      <c r="Q7" s="18" t="s">
        <v>1974</v>
      </c>
      <c r="R7" s="66">
        <v>9500</v>
      </c>
      <c r="S7" s="19"/>
      <c r="T7" s="19"/>
      <c r="U7" s="275">
        <v>9500</v>
      </c>
      <c r="V7" s="18">
        <v>6000</v>
      </c>
      <c r="W7" s="18">
        <f t="shared" si="0"/>
        <v>15500</v>
      </c>
      <c r="X7" s="118">
        <v>3900</v>
      </c>
      <c r="Y7" s="117">
        <v>2850</v>
      </c>
      <c r="Z7" s="8">
        <f t="shared" si="1"/>
        <v>37050000</v>
      </c>
      <c r="AA7" s="8">
        <f t="shared" si="2"/>
        <v>44175000</v>
      </c>
      <c r="AB7" s="37"/>
      <c r="AC7" s="680"/>
    </row>
    <row r="8" spans="1:29" s="4" customFormat="1" x14ac:dyDescent="0.25">
      <c r="A8" s="66" t="s">
        <v>899</v>
      </c>
      <c r="B8" s="66" t="s">
        <v>900</v>
      </c>
      <c r="C8" s="54">
        <v>300</v>
      </c>
      <c r="D8" s="333">
        <v>250</v>
      </c>
      <c r="E8" s="333">
        <v>300</v>
      </c>
      <c r="F8" s="333">
        <v>450</v>
      </c>
      <c r="G8" s="171">
        <v>1700</v>
      </c>
      <c r="H8" s="66">
        <v>3100</v>
      </c>
      <c r="I8" s="169"/>
      <c r="J8" s="173" t="s">
        <v>122</v>
      </c>
      <c r="K8" s="66">
        <v>751111</v>
      </c>
      <c r="L8" s="274"/>
      <c r="M8" s="63" t="s">
        <v>293</v>
      </c>
      <c r="N8" s="21" t="s">
        <v>889</v>
      </c>
      <c r="O8" s="18">
        <v>6</v>
      </c>
      <c r="P8" s="21" t="s">
        <v>893</v>
      </c>
      <c r="Q8" s="18" t="s">
        <v>1974</v>
      </c>
      <c r="R8" s="66">
        <v>3000</v>
      </c>
      <c r="S8" s="18"/>
      <c r="T8" s="18"/>
      <c r="U8" s="18">
        <v>3000</v>
      </c>
      <c r="V8" s="6">
        <v>400</v>
      </c>
      <c r="W8" s="18">
        <f t="shared" si="0"/>
        <v>3400</v>
      </c>
      <c r="X8" s="118">
        <v>2249</v>
      </c>
      <c r="Y8" s="117">
        <v>2028</v>
      </c>
      <c r="Z8" s="8">
        <f t="shared" si="1"/>
        <v>6747000</v>
      </c>
      <c r="AA8" s="8">
        <f t="shared" si="2"/>
        <v>6895200</v>
      </c>
      <c r="AB8" s="38"/>
      <c r="AC8" s="680"/>
    </row>
    <row r="9" spans="1:29" s="4" customFormat="1" x14ac:dyDescent="0.25">
      <c r="A9" s="323" t="s">
        <v>901</v>
      </c>
      <c r="B9" s="323" t="s">
        <v>902</v>
      </c>
      <c r="C9" s="54"/>
      <c r="D9" s="209"/>
      <c r="E9" s="209"/>
      <c r="F9" s="209">
        <v>30</v>
      </c>
      <c r="G9" s="171">
        <v>25</v>
      </c>
      <c r="H9" s="66">
        <v>0</v>
      </c>
      <c r="I9" s="169">
        <v>100</v>
      </c>
      <c r="J9" s="173" t="s">
        <v>122</v>
      </c>
      <c r="K9" s="66">
        <v>751111</v>
      </c>
      <c r="L9" s="274"/>
      <c r="M9" s="63" t="s">
        <v>688</v>
      </c>
      <c r="N9" s="21" t="s">
        <v>889</v>
      </c>
      <c r="O9" s="18">
        <v>7</v>
      </c>
      <c r="P9" s="6" t="s">
        <v>903</v>
      </c>
      <c r="Q9" s="6"/>
      <c r="R9" s="66">
        <v>120</v>
      </c>
      <c r="S9" s="18"/>
      <c r="T9" s="18"/>
      <c r="U9" s="18">
        <v>120</v>
      </c>
      <c r="V9" s="6"/>
      <c r="W9" s="18">
        <f t="shared" si="0"/>
        <v>120</v>
      </c>
      <c r="X9" s="118">
        <v>26800</v>
      </c>
      <c r="Y9" s="117">
        <v>32460</v>
      </c>
      <c r="Z9" s="8"/>
      <c r="AA9" s="8">
        <f t="shared" si="2"/>
        <v>3895200</v>
      </c>
      <c r="AB9" s="38"/>
      <c r="AC9" s="680"/>
    </row>
    <row r="10" spans="1:29" s="4" customFormat="1" x14ac:dyDescent="0.25">
      <c r="A10" s="66" t="s">
        <v>904</v>
      </c>
      <c r="B10" s="66" t="s">
        <v>905</v>
      </c>
      <c r="C10" s="66"/>
      <c r="D10" s="333"/>
      <c r="E10" s="333">
        <v>0</v>
      </c>
      <c r="F10" s="333">
        <v>0</v>
      </c>
      <c r="G10" s="171">
        <v>0</v>
      </c>
      <c r="H10" s="66">
        <v>0</v>
      </c>
      <c r="I10" s="169"/>
      <c r="J10" s="173" t="s">
        <v>122</v>
      </c>
      <c r="K10" s="66">
        <v>751111</v>
      </c>
      <c r="L10" s="66"/>
      <c r="M10" s="66" t="s">
        <v>259</v>
      </c>
      <c r="N10" s="21" t="s">
        <v>889</v>
      </c>
      <c r="O10" s="18">
        <v>8</v>
      </c>
      <c r="P10" s="18" t="s">
        <v>906</v>
      </c>
      <c r="Q10" s="18"/>
      <c r="R10" s="66">
        <v>20</v>
      </c>
      <c r="S10" s="18"/>
      <c r="T10" s="18"/>
      <c r="U10" s="18">
        <v>20</v>
      </c>
      <c r="V10" s="18"/>
      <c r="W10" s="18">
        <f t="shared" si="0"/>
        <v>20</v>
      </c>
      <c r="X10" s="118">
        <v>4053.81</v>
      </c>
      <c r="Y10" s="117">
        <v>4905.6000000000004</v>
      </c>
      <c r="Z10" s="8">
        <f t="shared" ref="Z10:Z26" si="3">R10*X10</f>
        <v>81076.2</v>
      </c>
      <c r="AA10" s="8">
        <f t="shared" si="2"/>
        <v>98112</v>
      </c>
      <c r="AB10" s="37"/>
      <c r="AC10" s="680"/>
    </row>
    <row r="11" spans="1:29" s="4" customFormat="1" x14ac:dyDescent="0.25">
      <c r="A11" s="66" t="s">
        <v>907</v>
      </c>
      <c r="B11" s="66" t="s">
        <v>908</v>
      </c>
      <c r="C11" s="54">
        <v>1050</v>
      </c>
      <c r="D11" s="333">
        <v>300</v>
      </c>
      <c r="E11" s="333">
        <v>500</v>
      </c>
      <c r="F11" s="333">
        <v>600</v>
      </c>
      <c r="G11" s="171">
        <v>2700</v>
      </c>
      <c r="H11" s="66">
        <v>4500</v>
      </c>
      <c r="I11" s="169"/>
      <c r="J11" s="173" t="s">
        <v>122</v>
      </c>
      <c r="K11" s="66">
        <v>751111</v>
      </c>
      <c r="L11" s="274"/>
      <c r="M11" s="66" t="s">
        <v>688</v>
      </c>
      <c r="N11" s="21" t="s">
        <v>889</v>
      </c>
      <c r="O11" s="18">
        <v>9</v>
      </c>
      <c r="P11" s="6" t="s">
        <v>903</v>
      </c>
      <c r="Q11" s="18" t="s">
        <v>1975</v>
      </c>
      <c r="R11" s="66">
        <v>3000</v>
      </c>
      <c r="S11" s="18"/>
      <c r="T11" s="18"/>
      <c r="U11" s="18">
        <v>3000</v>
      </c>
      <c r="V11" s="18">
        <v>1000</v>
      </c>
      <c r="W11" s="18">
        <f t="shared" si="0"/>
        <v>4000</v>
      </c>
      <c r="X11" s="118">
        <v>496</v>
      </c>
      <c r="Y11" s="117">
        <v>495</v>
      </c>
      <c r="Z11" s="8">
        <f t="shared" si="3"/>
        <v>1488000</v>
      </c>
      <c r="AA11" s="8">
        <f t="shared" si="2"/>
        <v>1980000</v>
      </c>
      <c r="AB11" s="37"/>
      <c r="AC11" s="680"/>
    </row>
    <row r="12" spans="1:29" s="4" customFormat="1" x14ac:dyDescent="0.25">
      <c r="A12" s="66" t="s">
        <v>909</v>
      </c>
      <c r="B12" s="66" t="s">
        <v>910</v>
      </c>
      <c r="C12" s="54">
        <v>216.66666666666671</v>
      </c>
      <c r="D12" s="210">
        <v>230</v>
      </c>
      <c r="E12" s="210">
        <v>350</v>
      </c>
      <c r="F12" s="210">
        <v>200</v>
      </c>
      <c r="G12" s="171">
        <v>1000</v>
      </c>
      <c r="H12" s="66">
        <v>1300</v>
      </c>
      <c r="I12" s="169"/>
      <c r="J12" s="173" t="s">
        <v>122</v>
      </c>
      <c r="K12" s="66">
        <v>751111</v>
      </c>
      <c r="L12" s="274"/>
      <c r="M12" s="66" t="s">
        <v>688</v>
      </c>
      <c r="N12" s="21" t="s">
        <v>889</v>
      </c>
      <c r="O12" s="18">
        <v>10</v>
      </c>
      <c r="P12" s="6" t="s">
        <v>903</v>
      </c>
      <c r="Q12" s="18" t="s">
        <v>1975</v>
      </c>
      <c r="R12" s="66">
        <v>1200</v>
      </c>
      <c r="S12" s="18"/>
      <c r="T12" s="18"/>
      <c r="U12" s="18">
        <v>1200</v>
      </c>
      <c r="V12" s="18">
        <v>300</v>
      </c>
      <c r="W12" s="18">
        <f t="shared" si="0"/>
        <v>1500</v>
      </c>
      <c r="X12" s="118">
        <v>18123</v>
      </c>
      <c r="Y12" s="117">
        <v>19995</v>
      </c>
      <c r="Z12" s="8">
        <f t="shared" si="3"/>
        <v>21747600</v>
      </c>
      <c r="AA12" s="8">
        <f t="shared" si="2"/>
        <v>29992500</v>
      </c>
      <c r="AB12" s="37"/>
      <c r="AC12" s="680"/>
    </row>
    <row r="13" spans="1:29" s="4" customFormat="1" x14ac:dyDescent="0.25">
      <c r="A13" s="66" t="s">
        <v>911</v>
      </c>
      <c r="B13" s="66" t="s">
        <v>912</v>
      </c>
      <c r="C13" s="66">
        <v>550</v>
      </c>
      <c r="D13" s="169">
        <v>650</v>
      </c>
      <c r="E13" s="169">
        <v>600</v>
      </c>
      <c r="F13" s="169">
        <v>250</v>
      </c>
      <c r="G13" s="171">
        <v>1000</v>
      </c>
      <c r="H13" s="66">
        <v>5000</v>
      </c>
      <c r="I13" s="169">
        <v>200</v>
      </c>
      <c r="J13" s="173" t="s">
        <v>122</v>
      </c>
      <c r="K13" s="66">
        <v>751111</v>
      </c>
      <c r="L13" s="274"/>
      <c r="M13" s="66" t="s">
        <v>293</v>
      </c>
      <c r="N13" s="21" t="s">
        <v>889</v>
      </c>
      <c r="O13" s="18">
        <v>11</v>
      </c>
      <c r="P13" s="21" t="s">
        <v>893</v>
      </c>
      <c r="Q13" s="18" t="s">
        <v>1974</v>
      </c>
      <c r="R13" s="66">
        <v>1250</v>
      </c>
      <c r="S13" s="18"/>
      <c r="T13" s="18"/>
      <c r="U13" s="18">
        <v>1250</v>
      </c>
      <c r="V13" s="18">
        <v>1250</v>
      </c>
      <c r="W13" s="18">
        <f t="shared" si="0"/>
        <v>2500</v>
      </c>
      <c r="X13" s="118">
        <v>3345</v>
      </c>
      <c r="Y13" s="117">
        <v>2340</v>
      </c>
      <c r="Z13" s="8">
        <f t="shared" si="3"/>
        <v>4181250</v>
      </c>
      <c r="AA13" s="8">
        <f t="shared" si="2"/>
        <v>5850000</v>
      </c>
      <c r="AB13" s="37"/>
      <c r="AC13" s="680"/>
    </row>
    <row r="14" spans="1:29" s="4" customFormat="1" x14ac:dyDescent="0.25">
      <c r="A14" s="66" t="s">
        <v>913</v>
      </c>
      <c r="B14" s="66" t="s">
        <v>914</v>
      </c>
      <c r="C14" s="54">
        <v>500</v>
      </c>
      <c r="D14" s="333">
        <v>350</v>
      </c>
      <c r="E14" s="333">
        <v>1000</v>
      </c>
      <c r="F14" s="333">
        <v>1400</v>
      </c>
      <c r="G14" s="171">
        <v>6500</v>
      </c>
      <c r="H14" s="66">
        <v>10500</v>
      </c>
      <c r="I14" s="169">
        <v>4500</v>
      </c>
      <c r="J14" s="173" t="s">
        <v>122</v>
      </c>
      <c r="K14" s="66">
        <v>751111</v>
      </c>
      <c r="L14" s="274"/>
      <c r="M14" s="66" t="s">
        <v>293</v>
      </c>
      <c r="N14" s="21" t="s">
        <v>889</v>
      </c>
      <c r="O14" s="18">
        <v>12</v>
      </c>
      <c r="P14" s="21" t="s">
        <v>893</v>
      </c>
      <c r="Q14" s="18" t="s">
        <v>1974</v>
      </c>
      <c r="R14" s="66">
        <f>((F14*15)-G14-I14)/2</f>
        <v>5000</v>
      </c>
      <c r="S14" s="18"/>
      <c r="T14" s="18"/>
      <c r="U14" s="18">
        <v>5000</v>
      </c>
      <c r="V14" s="18">
        <v>4000</v>
      </c>
      <c r="W14" s="18">
        <f t="shared" si="0"/>
        <v>9000</v>
      </c>
      <c r="X14" s="118">
        <v>3195</v>
      </c>
      <c r="Y14" s="117">
        <v>2465</v>
      </c>
      <c r="Z14" s="8">
        <f t="shared" si="3"/>
        <v>15975000</v>
      </c>
      <c r="AA14" s="8">
        <f t="shared" si="2"/>
        <v>22185000</v>
      </c>
      <c r="AB14" s="37"/>
      <c r="AC14" s="680"/>
    </row>
    <row r="15" spans="1:29" s="4" customFormat="1" x14ac:dyDescent="0.25">
      <c r="A15" s="66" t="s">
        <v>915</v>
      </c>
      <c r="B15" s="66" t="s">
        <v>916</v>
      </c>
      <c r="C15" s="82">
        <v>0</v>
      </c>
      <c r="D15" s="333"/>
      <c r="E15" s="333">
        <v>0</v>
      </c>
      <c r="F15" s="333">
        <v>42</v>
      </c>
      <c r="G15" s="171"/>
      <c r="H15" s="66">
        <v>0</v>
      </c>
      <c r="I15" s="169"/>
      <c r="J15" s="173" t="s">
        <v>122</v>
      </c>
      <c r="K15" s="66">
        <v>751111</v>
      </c>
      <c r="L15" s="274"/>
      <c r="M15" s="66" t="s">
        <v>263</v>
      </c>
      <c r="N15" s="21" t="s">
        <v>889</v>
      </c>
      <c r="O15" s="18">
        <v>13</v>
      </c>
      <c r="P15" s="18" t="s">
        <v>890</v>
      </c>
      <c r="Q15" s="18"/>
      <c r="R15" s="66">
        <v>300</v>
      </c>
      <c r="S15" s="18"/>
      <c r="T15" s="18"/>
      <c r="U15" s="18">
        <v>300</v>
      </c>
      <c r="V15" s="18"/>
      <c r="W15" s="18">
        <f t="shared" si="0"/>
        <v>300</v>
      </c>
      <c r="X15" s="118">
        <v>4998</v>
      </c>
      <c r="Y15" s="117">
        <v>5193</v>
      </c>
      <c r="Z15" s="8">
        <f t="shared" si="3"/>
        <v>1499400</v>
      </c>
      <c r="AA15" s="8">
        <f t="shared" si="2"/>
        <v>1557900</v>
      </c>
      <c r="AB15" s="37"/>
      <c r="AC15" s="680"/>
    </row>
    <row r="16" spans="1:29" s="4" customFormat="1" x14ac:dyDescent="0.25">
      <c r="A16" s="55" t="s">
        <v>343</v>
      </c>
      <c r="B16" s="92" t="s">
        <v>344</v>
      </c>
      <c r="C16" s="55"/>
      <c r="D16" s="429"/>
      <c r="E16" s="429">
        <v>60</v>
      </c>
      <c r="F16" s="429">
        <v>60</v>
      </c>
      <c r="G16" s="430">
        <v>156</v>
      </c>
      <c r="H16" s="55">
        <v>300</v>
      </c>
      <c r="I16" s="429"/>
      <c r="J16" s="250" t="s">
        <v>122</v>
      </c>
      <c r="K16" s="55">
        <v>751111</v>
      </c>
      <c r="L16" s="293"/>
      <c r="M16" s="55" t="s">
        <v>894</v>
      </c>
      <c r="N16" s="21" t="s">
        <v>889</v>
      </c>
      <c r="O16" s="18">
        <v>14</v>
      </c>
      <c r="P16" s="18"/>
      <c r="Q16" s="18"/>
      <c r="R16" s="66">
        <v>360</v>
      </c>
      <c r="S16" s="18"/>
      <c r="T16" s="18"/>
      <c r="U16" s="18"/>
      <c r="V16" s="18"/>
      <c r="W16" s="18">
        <f t="shared" si="0"/>
        <v>0</v>
      </c>
      <c r="X16" s="118">
        <v>3116</v>
      </c>
      <c r="Y16" s="117">
        <v>4112.3500000000004</v>
      </c>
      <c r="Z16" s="8">
        <f t="shared" si="3"/>
        <v>1121760</v>
      </c>
      <c r="AA16" s="8">
        <f t="shared" si="2"/>
        <v>0</v>
      </c>
      <c r="AB16" s="69"/>
      <c r="AC16" s="22"/>
    </row>
    <row r="17" spans="1:28" s="4" customFormat="1" x14ac:dyDescent="0.25">
      <c r="A17" s="66" t="s">
        <v>917</v>
      </c>
      <c r="B17" s="66" t="s">
        <v>918</v>
      </c>
      <c r="C17" s="66">
        <v>50</v>
      </c>
      <c r="D17" s="169">
        <v>60</v>
      </c>
      <c r="E17" s="169">
        <v>50</v>
      </c>
      <c r="F17" s="169">
        <v>300</v>
      </c>
      <c r="G17" s="171">
        <v>200</v>
      </c>
      <c r="H17" s="66">
        <v>400</v>
      </c>
      <c r="I17" s="169">
        <v>0</v>
      </c>
      <c r="J17" s="173" t="s">
        <v>122</v>
      </c>
      <c r="K17" s="66">
        <v>751111</v>
      </c>
      <c r="L17" s="274"/>
      <c r="M17" s="66" t="s">
        <v>293</v>
      </c>
      <c r="N17" s="21" t="s">
        <v>889</v>
      </c>
      <c r="O17" s="18">
        <v>15</v>
      </c>
      <c r="P17" s="21" t="s">
        <v>893</v>
      </c>
      <c r="Q17" s="18" t="s">
        <v>1974</v>
      </c>
      <c r="R17" s="66">
        <v>2100</v>
      </c>
      <c r="S17" s="18"/>
      <c r="T17" s="18"/>
      <c r="U17" s="18">
        <v>2100</v>
      </c>
      <c r="V17" s="18">
        <v>1000</v>
      </c>
      <c r="W17" s="18">
        <f t="shared" si="0"/>
        <v>3100</v>
      </c>
      <c r="X17" s="118">
        <v>3489</v>
      </c>
      <c r="Y17" s="117">
        <v>3189</v>
      </c>
      <c r="Z17" s="8">
        <f t="shared" si="3"/>
        <v>7326900</v>
      </c>
      <c r="AA17" s="8">
        <f t="shared" si="2"/>
        <v>9885900</v>
      </c>
      <c r="AB17" s="37"/>
    </row>
    <row r="18" spans="1:28" s="4" customFormat="1" x14ac:dyDescent="0.25">
      <c r="A18" s="66" t="s">
        <v>919</v>
      </c>
      <c r="B18" s="66" t="s">
        <v>920</v>
      </c>
      <c r="C18" s="54">
        <v>200</v>
      </c>
      <c r="D18" s="333">
        <v>150</v>
      </c>
      <c r="E18" s="333">
        <v>200</v>
      </c>
      <c r="F18" s="333">
        <v>150</v>
      </c>
      <c r="G18" s="171">
        <v>400</v>
      </c>
      <c r="H18" s="66">
        <v>2100</v>
      </c>
      <c r="I18" s="169">
        <v>0</v>
      </c>
      <c r="J18" s="173" t="s">
        <v>122</v>
      </c>
      <c r="K18" s="66">
        <v>751111</v>
      </c>
      <c r="L18" s="274"/>
      <c r="M18" s="66" t="s">
        <v>293</v>
      </c>
      <c r="N18" s="21" t="s">
        <v>889</v>
      </c>
      <c r="O18" s="18">
        <v>16</v>
      </c>
      <c r="P18" s="21" t="s">
        <v>893</v>
      </c>
      <c r="Q18" s="18" t="s">
        <v>1974</v>
      </c>
      <c r="R18" s="66">
        <v>900</v>
      </c>
      <c r="S18" s="18"/>
      <c r="T18" s="18"/>
      <c r="U18" s="18">
        <v>900</v>
      </c>
      <c r="V18" s="18">
        <v>900</v>
      </c>
      <c r="W18" s="18">
        <f t="shared" si="0"/>
        <v>1800</v>
      </c>
      <c r="X18" s="118">
        <v>4144</v>
      </c>
      <c r="Y18" s="117">
        <v>2881</v>
      </c>
      <c r="Z18" s="8">
        <f t="shared" si="3"/>
        <v>3729600</v>
      </c>
      <c r="AA18" s="8">
        <f t="shared" si="2"/>
        <v>5185800</v>
      </c>
      <c r="AB18" s="18"/>
    </row>
    <row r="19" spans="1:28" x14ac:dyDescent="0.25">
      <c r="A19" s="66" t="s">
        <v>921</v>
      </c>
      <c r="B19" s="66" t="s">
        <v>922</v>
      </c>
      <c r="C19" s="54">
        <v>900</v>
      </c>
      <c r="D19" s="333">
        <v>800</v>
      </c>
      <c r="E19" s="333">
        <v>800</v>
      </c>
      <c r="F19" s="333">
        <v>900</v>
      </c>
      <c r="G19" s="171">
        <v>2300</v>
      </c>
      <c r="H19" s="66">
        <v>8080</v>
      </c>
      <c r="I19" s="169">
        <v>320</v>
      </c>
      <c r="J19" s="173" t="s">
        <v>122</v>
      </c>
      <c r="K19" s="66">
        <v>751111</v>
      </c>
      <c r="L19" s="274"/>
      <c r="M19" s="66" t="s">
        <v>293</v>
      </c>
      <c r="N19" s="21" t="s">
        <v>889</v>
      </c>
      <c r="O19" s="18">
        <v>17</v>
      </c>
      <c r="P19" s="21" t="s">
        <v>893</v>
      </c>
      <c r="Q19" s="18" t="s">
        <v>1974</v>
      </c>
      <c r="R19" s="66">
        <v>5400</v>
      </c>
      <c r="S19" s="18"/>
      <c r="T19" s="18"/>
      <c r="U19" s="18">
        <v>5400</v>
      </c>
      <c r="V19" s="18">
        <v>3500</v>
      </c>
      <c r="W19" s="18">
        <f t="shared" si="0"/>
        <v>8900</v>
      </c>
      <c r="X19" s="118">
        <v>3148</v>
      </c>
      <c r="Y19" s="117">
        <v>2158</v>
      </c>
      <c r="Z19" s="8">
        <f t="shared" si="3"/>
        <v>16999200</v>
      </c>
      <c r="AA19" s="8">
        <f t="shared" si="2"/>
        <v>19206200</v>
      </c>
      <c r="AB19" s="22"/>
    </row>
    <row r="20" spans="1:28" s="4" customFormat="1" x14ac:dyDescent="0.25">
      <c r="A20" s="66" t="s">
        <v>923</v>
      </c>
      <c r="B20" s="66" t="s">
        <v>924</v>
      </c>
      <c r="C20" s="64" t="s">
        <v>925</v>
      </c>
      <c r="D20" s="210">
        <v>2100</v>
      </c>
      <c r="E20" s="210">
        <v>2100</v>
      </c>
      <c r="F20" s="210">
        <v>2000</v>
      </c>
      <c r="G20" s="171">
        <v>350</v>
      </c>
      <c r="H20" s="66">
        <v>16500</v>
      </c>
      <c r="I20" s="169">
        <v>8700</v>
      </c>
      <c r="J20" s="173" t="s">
        <v>122</v>
      </c>
      <c r="K20" s="66">
        <v>751111</v>
      </c>
      <c r="L20" s="274"/>
      <c r="M20" s="66" t="s">
        <v>283</v>
      </c>
      <c r="N20" s="21" t="s">
        <v>889</v>
      </c>
      <c r="O20" s="18">
        <v>18</v>
      </c>
      <c r="P20" s="21" t="s">
        <v>926</v>
      </c>
      <c r="Q20" s="18" t="s">
        <v>1977</v>
      </c>
      <c r="R20" s="66">
        <v>11000</v>
      </c>
      <c r="S20" s="19"/>
      <c r="T20" s="19"/>
      <c r="U20" s="18">
        <v>11000</v>
      </c>
      <c r="V20" s="18">
        <v>2200</v>
      </c>
      <c r="W20" s="18">
        <f t="shared" si="0"/>
        <v>13200</v>
      </c>
      <c r="X20" s="118">
        <v>2465</v>
      </c>
      <c r="Y20" s="117">
        <v>2845</v>
      </c>
      <c r="Z20" s="8">
        <f t="shared" si="3"/>
        <v>27115000</v>
      </c>
      <c r="AA20" s="8">
        <f t="shared" si="2"/>
        <v>37554000</v>
      </c>
      <c r="AB20" s="18"/>
    </row>
    <row r="21" spans="1:28" x14ac:dyDescent="0.25">
      <c r="A21" s="199" t="s">
        <v>927</v>
      </c>
      <c r="B21" s="66" t="s">
        <v>928</v>
      </c>
      <c r="C21" s="214">
        <v>200</v>
      </c>
      <c r="D21" s="210">
        <v>200</v>
      </c>
      <c r="E21" s="210">
        <v>200</v>
      </c>
      <c r="F21" s="210">
        <v>250</v>
      </c>
      <c r="G21" s="171">
        <v>800</v>
      </c>
      <c r="H21" s="66">
        <v>1800</v>
      </c>
      <c r="I21" s="169"/>
      <c r="J21" s="173" t="s">
        <v>122</v>
      </c>
      <c r="K21" s="66">
        <v>751111</v>
      </c>
      <c r="L21" s="274"/>
      <c r="M21" s="66" t="s">
        <v>688</v>
      </c>
      <c r="N21" s="21" t="s">
        <v>889</v>
      </c>
      <c r="O21" s="18">
        <v>19</v>
      </c>
      <c r="P21" s="6" t="s">
        <v>903</v>
      </c>
      <c r="Q21" s="18"/>
      <c r="R21" s="66">
        <v>1500</v>
      </c>
      <c r="S21" s="18"/>
      <c r="T21" s="18"/>
      <c r="U21" s="18">
        <v>1500</v>
      </c>
      <c r="V21" s="18"/>
      <c r="W21" s="18">
        <f t="shared" si="0"/>
        <v>1500</v>
      </c>
      <c r="X21" s="118">
        <v>9100</v>
      </c>
      <c r="Y21" s="150">
        <v>7890</v>
      </c>
      <c r="Z21" s="8">
        <f t="shared" si="3"/>
        <v>13650000</v>
      </c>
      <c r="AA21" s="8">
        <f t="shared" si="2"/>
        <v>11835000</v>
      </c>
      <c r="AB21" s="18"/>
    </row>
    <row r="22" spans="1:28" x14ac:dyDescent="0.25">
      <c r="A22" s="12" t="s">
        <v>224</v>
      </c>
      <c r="B22" s="66" t="s">
        <v>929</v>
      </c>
      <c r="C22" s="54">
        <v>2000</v>
      </c>
      <c r="D22" s="333">
        <v>1500</v>
      </c>
      <c r="E22" s="333">
        <v>1600</v>
      </c>
      <c r="F22" s="333">
        <v>1600</v>
      </c>
      <c r="G22" s="171">
        <v>5200</v>
      </c>
      <c r="H22" s="66">
        <v>12600</v>
      </c>
      <c r="I22" s="169"/>
      <c r="J22" s="173" t="s">
        <v>122</v>
      </c>
      <c r="K22" s="66">
        <v>751111</v>
      </c>
      <c r="L22" s="274"/>
      <c r="M22" s="66" t="s">
        <v>293</v>
      </c>
      <c r="N22" s="21" t="s">
        <v>889</v>
      </c>
      <c r="O22" s="18">
        <v>20</v>
      </c>
      <c r="P22" s="21" t="s">
        <v>893</v>
      </c>
      <c r="Q22" s="18" t="s">
        <v>1974</v>
      </c>
      <c r="R22" s="66">
        <f>((F22*15)-G22-I22)/2</f>
        <v>9400</v>
      </c>
      <c r="S22" s="18"/>
      <c r="T22" s="18"/>
      <c r="U22" s="18">
        <v>9400</v>
      </c>
      <c r="V22" s="18">
        <v>1880</v>
      </c>
      <c r="W22" s="18">
        <f t="shared" si="0"/>
        <v>11280</v>
      </c>
      <c r="X22" s="151">
        <v>1095</v>
      </c>
      <c r="Y22" s="151">
        <v>788</v>
      </c>
      <c r="Z22" s="8">
        <f t="shared" si="3"/>
        <v>10293000</v>
      </c>
      <c r="AA22" s="8">
        <f>W22*Y78</f>
        <v>202927200</v>
      </c>
      <c r="AB22" s="18"/>
    </row>
    <row r="23" spans="1:28" s="4" customFormat="1" x14ac:dyDescent="0.25">
      <c r="A23" s="66" t="s">
        <v>225</v>
      </c>
      <c r="B23" s="66" t="s">
        <v>930</v>
      </c>
      <c r="C23" s="64" t="s">
        <v>931</v>
      </c>
      <c r="D23" s="210">
        <v>700</v>
      </c>
      <c r="E23" s="210">
        <v>800</v>
      </c>
      <c r="F23" s="210">
        <v>800</v>
      </c>
      <c r="G23" s="171">
        <v>2550</v>
      </c>
      <c r="H23" s="66">
        <v>5800</v>
      </c>
      <c r="I23" s="169">
        <v>1000</v>
      </c>
      <c r="J23" s="173" t="s">
        <v>122</v>
      </c>
      <c r="K23" s="66">
        <v>751111</v>
      </c>
      <c r="L23" s="274"/>
      <c r="M23" s="66" t="s">
        <v>293</v>
      </c>
      <c r="N23" s="21" t="s">
        <v>889</v>
      </c>
      <c r="O23" s="18">
        <v>21</v>
      </c>
      <c r="P23" s="21" t="s">
        <v>893</v>
      </c>
      <c r="Q23" s="18" t="s">
        <v>1974</v>
      </c>
      <c r="R23" s="66">
        <v>4200</v>
      </c>
      <c r="S23" s="6"/>
      <c r="T23" s="6"/>
      <c r="U23" s="18">
        <v>4200</v>
      </c>
      <c r="V23" s="6">
        <v>4200</v>
      </c>
      <c r="W23" s="18">
        <f t="shared" si="0"/>
        <v>8400</v>
      </c>
      <c r="X23" s="118">
        <v>4390</v>
      </c>
      <c r="Y23" s="117">
        <v>3997</v>
      </c>
      <c r="Z23" s="8">
        <f t="shared" si="3"/>
        <v>18438000</v>
      </c>
      <c r="AA23" s="8">
        <f t="shared" ref="AA23:AA54" si="4">W23*Y23</f>
        <v>33574800</v>
      </c>
      <c r="AB23" s="18"/>
    </row>
    <row r="24" spans="1:28" s="4" customFormat="1" x14ac:dyDescent="0.25">
      <c r="A24" s="66" t="s">
        <v>932</v>
      </c>
      <c r="B24" s="66" t="s">
        <v>933</v>
      </c>
      <c r="C24" s="66"/>
      <c r="D24" s="169"/>
      <c r="E24" s="169">
        <v>50</v>
      </c>
      <c r="F24" s="106">
        <v>30</v>
      </c>
      <c r="G24" s="77">
        <v>0</v>
      </c>
      <c r="H24" s="66">
        <v>300</v>
      </c>
      <c r="I24" s="169"/>
      <c r="J24" s="173" t="s">
        <v>122</v>
      </c>
      <c r="K24" s="66">
        <v>751116</v>
      </c>
      <c r="L24" s="274"/>
      <c r="M24" s="336" t="s">
        <v>263</v>
      </c>
      <c r="N24" s="21" t="s">
        <v>934</v>
      </c>
      <c r="O24" s="18">
        <v>1</v>
      </c>
      <c r="P24" s="18" t="s">
        <v>935</v>
      </c>
      <c r="Q24" s="18"/>
      <c r="R24" s="66">
        <v>300</v>
      </c>
      <c r="S24" s="18"/>
      <c r="T24" s="18"/>
      <c r="U24" s="18">
        <v>300</v>
      </c>
      <c r="V24" s="6"/>
      <c r="W24" s="18">
        <f t="shared" si="0"/>
        <v>300</v>
      </c>
      <c r="X24" s="118">
        <v>78.489999999999995</v>
      </c>
      <c r="Y24" s="117">
        <v>699.08</v>
      </c>
      <c r="Z24" s="8">
        <f t="shared" si="3"/>
        <v>23547</v>
      </c>
      <c r="AA24" s="8">
        <f t="shared" si="4"/>
        <v>209724</v>
      </c>
      <c r="AB24" s="18"/>
    </row>
    <row r="25" spans="1:28" s="4" customFormat="1" x14ac:dyDescent="0.25">
      <c r="A25" s="258" t="s">
        <v>936</v>
      </c>
      <c r="B25" s="258" t="s">
        <v>937</v>
      </c>
      <c r="C25" s="258">
        <v>14</v>
      </c>
      <c r="D25" s="334"/>
      <c r="E25" s="334">
        <v>10</v>
      </c>
      <c r="F25" s="351">
        <v>15</v>
      </c>
      <c r="G25" s="77">
        <v>45</v>
      </c>
      <c r="H25" s="66">
        <v>140</v>
      </c>
      <c r="I25" s="334">
        <v>45</v>
      </c>
      <c r="J25" s="173" t="s">
        <v>122</v>
      </c>
      <c r="K25" s="66">
        <v>751116</v>
      </c>
      <c r="L25" s="335"/>
      <c r="M25" s="336" t="s">
        <v>688</v>
      </c>
      <c r="N25" s="21" t="s">
        <v>934</v>
      </c>
      <c r="O25" s="18">
        <v>2</v>
      </c>
      <c r="P25" s="18" t="s">
        <v>938</v>
      </c>
      <c r="Q25" s="20" t="s">
        <v>1983</v>
      </c>
      <c r="R25" s="66">
        <v>70</v>
      </c>
      <c r="S25" s="20"/>
      <c r="T25" s="20"/>
      <c r="U25" s="20">
        <v>70</v>
      </c>
      <c r="V25" s="6">
        <v>60</v>
      </c>
      <c r="W25" s="18">
        <f t="shared" si="0"/>
        <v>130</v>
      </c>
      <c r="X25" s="118">
        <v>39999</v>
      </c>
      <c r="Y25" s="117">
        <v>49500</v>
      </c>
      <c r="Z25" s="8">
        <f t="shared" si="3"/>
        <v>2799930</v>
      </c>
      <c r="AA25" s="9">
        <f t="shared" si="4"/>
        <v>6435000</v>
      </c>
      <c r="AB25" s="18"/>
    </row>
    <row r="26" spans="1:28" s="4" customFormat="1" x14ac:dyDescent="0.25">
      <c r="A26" s="66" t="s">
        <v>939</v>
      </c>
      <c r="B26" s="66" t="s">
        <v>940</v>
      </c>
      <c r="C26" s="66">
        <v>300</v>
      </c>
      <c r="D26" s="169">
        <v>300</v>
      </c>
      <c r="E26" s="169">
        <v>300</v>
      </c>
      <c r="F26" s="106">
        <v>350</v>
      </c>
      <c r="G26" s="77">
        <v>240</v>
      </c>
      <c r="H26" s="66">
        <v>3000</v>
      </c>
      <c r="I26" s="169"/>
      <c r="J26" s="173" t="s">
        <v>122</v>
      </c>
      <c r="K26" s="66">
        <v>751116</v>
      </c>
      <c r="L26" s="274"/>
      <c r="M26" s="62" t="s">
        <v>259</v>
      </c>
      <c r="N26" s="21" t="s">
        <v>934</v>
      </c>
      <c r="O26" s="18">
        <v>3</v>
      </c>
      <c r="P26" s="7" t="s">
        <v>941</v>
      </c>
      <c r="Q26" s="18"/>
      <c r="R26" s="66">
        <v>2500</v>
      </c>
      <c r="S26" s="18"/>
      <c r="T26" s="18"/>
      <c r="U26" s="18">
        <v>2500</v>
      </c>
      <c r="V26" s="18"/>
      <c r="W26" s="18">
        <f t="shared" si="0"/>
        <v>2500</v>
      </c>
      <c r="X26" s="118">
        <v>376.8</v>
      </c>
      <c r="Y26" s="117">
        <v>350</v>
      </c>
      <c r="Z26" s="8">
        <f t="shared" si="3"/>
        <v>942000</v>
      </c>
      <c r="AA26" s="9">
        <f t="shared" si="4"/>
        <v>875000</v>
      </c>
      <c r="AB26" s="18"/>
    </row>
    <row r="27" spans="1:28" s="4" customFormat="1" x14ac:dyDescent="0.25">
      <c r="A27" s="66" t="s">
        <v>942</v>
      </c>
      <c r="B27" s="66" t="s">
        <v>943</v>
      </c>
      <c r="C27" s="66">
        <v>50</v>
      </c>
      <c r="D27" s="169"/>
      <c r="E27" s="169">
        <v>30</v>
      </c>
      <c r="F27" s="106">
        <v>30</v>
      </c>
      <c r="G27" s="77">
        <v>100</v>
      </c>
      <c r="H27" s="66">
        <v>200</v>
      </c>
      <c r="I27" s="169">
        <v>100</v>
      </c>
      <c r="J27" s="173" t="s">
        <v>122</v>
      </c>
      <c r="K27" s="66">
        <v>751116</v>
      </c>
      <c r="L27" s="274"/>
      <c r="M27" s="451" t="s">
        <v>688</v>
      </c>
      <c r="N27" s="21" t="s">
        <v>934</v>
      </c>
      <c r="O27" s="18">
        <v>4</v>
      </c>
      <c r="P27" s="18" t="s">
        <v>938</v>
      </c>
      <c r="Q27" s="18" t="s">
        <v>1983</v>
      </c>
      <c r="R27" s="66">
        <v>120</v>
      </c>
      <c r="S27" s="19"/>
      <c r="T27" s="19"/>
      <c r="U27" s="18">
        <v>120</v>
      </c>
      <c r="V27" s="18">
        <v>120</v>
      </c>
      <c r="W27" s="18">
        <f t="shared" si="0"/>
        <v>240</v>
      </c>
      <c r="X27" s="118">
        <v>35900</v>
      </c>
      <c r="Y27" s="117">
        <v>39700</v>
      </c>
      <c r="Z27" s="8">
        <f>X27*H27</f>
        <v>7180000</v>
      </c>
      <c r="AA27" s="9">
        <f t="shared" si="4"/>
        <v>9528000</v>
      </c>
      <c r="AB27" s="18"/>
    </row>
    <row r="28" spans="1:28" s="4" customFormat="1" x14ac:dyDescent="0.25">
      <c r="A28" s="55" t="s">
        <v>295</v>
      </c>
      <c r="B28" s="55" t="s">
        <v>296</v>
      </c>
      <c r="C28" s="55">
        <v>50</v>
      </c>
      <c r="D28" s="429"/>
      <c r="E28" s="429">
        <v>50</v>
      </c>
      <c r="F28" s="429">
        <v>50</v>
      </c>
      <c r="G28" s="430">
        <v>150</v>
      </c>
      <c r="H28" s="55">
        <v>600</v>
      </c>
      <c r="I28" s="429"/>
      <c r="J28" s="250" t="s">
        <v>122</v>
      </c>
      <c r="K28" s="55">
        <v>751116</v>
      </c>
      <c r="L28" s="293"/>
      <c r="M28" s="243" t="s">
        <v>263</v>
      </c>
      <c r="N28" s="21" t="s">
        <v>934</v>
      </c>
      <c r="O28" s="18">
        <v>5</v>
      </c>
      <c r="P28" s="6"/>
      <c r="Q28" s="6"/>
      <c r="R28" s="66">
        <f>((F28*15)-G28-I28)/2</f>
        <v>300</v>
      </c>
      <c r="S28" s="18"/>
      <c r="T28" s="18"/>
      <c r="U28" s="18"/>
      <c r="V28" s="6"/>
      <c r="W28" s="18">
        <f t="shared" si="0"/>
        <v>0</v>
      </c>
      <c r="X28" s="118">
        <v>2100</v>
      </c>
      <c r="Y28" s="117">
        <v>4483.99</v>
      </c>
      <c r="Z28" s="8">
        <f>R28*X28</f>
        <v>630000</v>
      </c>
      <c r="AA28" s="9">
        <f t="shared" si="4"/>
        <v>0</v>
      </c>
      <c r="AB28" s="6"/>
    </row>
    <row r="29" spans="1:28" s="4" customFormat="1" ht="18" customHeight="1" x14ac:dyDescent="0.25">
      <c r="A29" s="66" t="s">
        <v>944</v>
      </c>
      <c r="B29" s="66" t="s">
        <v>945</v>
      </c>
      <c r="C29" s="66"/>
      <c r="D29" s="333">
        <v>100</v>
      </c>
      <c r="E29" s="333">
        <v>300</v>
      </c>
      <c r="F29" s="426">
        <v>300</v>
      </c>
      <c r="G29" s="171">
        <v>3050</v>
      </c>
      <c r="H29" s="66">
        <v>3000</v>
      </c>
      <c r="I29" s="169"/>
      <c r="J29" s="173" t="s">
        <v>122</v>
      </c>
      <c r="K29" s="66">
        <v>751116</v>
      </c>
      <c r="L29" s="274"/>
      <c r="M29" s="66" t="s">
        <v>263</v>
      </c>
      <c r="N29" s="21" t="s">
        <v>934</v>
      </c>
      <c r="O29" s="18">
        <v>6</v>
      </c>
      <c r="P29" s="18" t="s">
        <v>935</v>
      </c>
      <c r="Q29" s="18"/>
      <c r="R29" s="66">
        <v>1000</v>
      </c>
      <c r="S29" s="18"/>
      <c r="T29" s="18"/>
      <c r="U29" s="18">
        <v>1000</v>
      </c>
      <c r="V29" s="18"/>
      <c r="W29" s="18">
        <f t="shared" si="0"/>
        <v>1000</v>
      </c>
      <c r="X29" s="118">
        <v>9685</v>
      </c>
      <c r="Y29" s="117">
        <v>12999</v>
      </c>
      <c r="Z29" s="8">
        <f>R29*X29</f>
        <v>9685000</v>
      </c>
      <c r="AA29" s="9">
        <f t="shared" si="4"/>
        <v>12999000</v>
      </c>
      <c r="AB29" s="18"/>
    </row>
    <row r="30" spans="1:28" s="4" customFormat="1" x14ac:dyDescent="0.25">
      <c r="A30" s="125" t="s">
        <v>946</v>
      </c>
      <c r="B30" s="66" t="s">
        <v>947</v>
      </c>
      <c r="C30" s="171"/>
      <c r="D30" s="209"/>
      <c r="E30" s="209">
        <v>25</v>
      </c>
      <c r="F30" s="209">
        <v>20</v>
      </c>
      <c r="G30" s="171">
        <v>75</v>
      </c>
      <c r="H30" s="66">
        <v>150</v>
      </c>
      <c r="I30" s="276"/>
      <c r="J30" s="173" t="s">
        <v>122</v>
      </c>
      <c r="K30" s="66">
        <v>751116</v>
      </c>
      <c r="L30" s="276"/>
      <c r="M30" s="63" t="s">
        <v>688</v>
      </c>
      <c r="N30" s="21" t="s">
        <v>934</v>
      </c>
      <c r="O30" s="18">
        <v>7</v>
      </c>
      <c r="P30" s="18" t="s">
        <v>938</v>
      </c>
      <c r="Q30" s="36"/>
      <c r="R30" s="66">
        <v>125</v>
      </c>
      <c r="S30" s="77"/>
      <c r="T30" s="77"/>
      <c r="U30" s="77">
        <v>125</v>
      </c>
      <c r="V30" s="680"/>
      <c r="W30" s="18">
        <f t="shared" si="0"/>
        <v>125</v>
      </c>
      <c r="X30" s="143">
        <v>29100</v>
      </c>
      <c r="Y30" s="143">
        <v>32500</v>
      </c>
      <c r="Z30" s="8">
        <f>R30*X30</f>
        <v>3637500</v>
      </c>
      <c r="AA30" s="9">
        <f t="shared" si="4"/>
        <v>4062500</v>
      </c>
      <c r="AB30" s="18"/>
    </row>
    <row r="31" spans="1:28" s="4" customFormat="1" x14ac:dyDescent="0.25">
      <c r="A31" s="12" t="s">
        <v>226</v>
      </c>
      <c r="B31" s="64" t="s">
        <v>948</v>
      </c>
      <c r="C31" s="64" t="s">
        <v>830</v>
      </c>
      <c r="D31" s="169">
        <v>400</v>
      </c>
      <c r="E31" s="169">
        <v>400</v>
      </c>
      <c r="F31" s="169">
        <v>400</v>
      </c>
      <c r="G31" s="171">
        <v>500</v>
      </c>
      <c r="H31" s="66">
        <v>3200</v>
      </c>
      <c r="I31" s="169"/>
      <c r="J31" s="173" t="s">
        <v>122</v>
      </c>
      <c r="K31" s="66">
        <v>751116</v>
      </c>
      <c r="L31" s="274"/>
      <c r="M31" s="66" t="s">
        <v>259</v>
      </c>
      <c r="N31" s="21" t="s">
        <v>934</v>
      </c>
      <c r="O31" s="18">
        <v>8</v>
      </c>
      <c r="P31" s="7" t="s">
        <v>941</v>
      </c>
      <c r="Q31" s="18"/>
      <c r="R31" s="66">
        <v>2800</v>
      </c>
      <c r="S31" s="18"/>
      <c r="T31" s="18"/>
      <c r="U31" s="18">
        <v>2800</v>
      </c>
      <c r="V31" s="18"/>
      <c r="W31" s="18">
        <f t="shared" si="0"/>
        <v>2800</v>
      </c>
      <c r="X31" s="153">
        <v>690</v>
      </c>
      <c r="Y31" s="117">
        <v>630</v>
      </c>
      <c r="Z31" s="8">
        <f>H31*X31</f>
        <v>2208000</v>
      </c>
      <c r="AA31" s="9">
        <f t="shared" si="4"/>
        <v>1764000</v>
      </c>
      <c r="AB31" s="18"/>
    </row>
    <row r="32" spans="1:28" s="4" customFormat="1" x14ac:dyDescent="0.25">
      <c r="A32" s="55" t="s">
        <v>537</v>
      </c>
      <c r="B32" s="55" t="s">
        <v>538</v>
      </c>
      <c r="C32" s="55"/>
      <c r="D32" s="431"/>
      <c r="E32" s="431">
        <v>24</v>
      </c>
      <c r="F32" s="431"/>
      <c r="G32" s="430">
        <v>0</v>
      </c>
      <c r="H32" s="55">
        <v>140</v>
      </c>
      <c r="I32" s="429"/>
      <c r="J32" s="250" t="s">
        <v>122</v>
      </c>
      <c r="K32" s="55">
        <v>751116</v>
      </c>
      <c r="L32" s="293"/>
      <c r="M32" s="55" t="s">
        <v>285</v>
      </c>
      <c r="N32" s="21" t="s">
        <v>934</v>
      </c>
      <c r="O32" s="18">
        <v>9</v>
      </c>
      <c r="P32" s="18"/>
      <c r="Q32" s="6"/>
      <c r="R32" s="66">
        <v>42</v>
      </c>
      <c r="S32" s="19"/>
      <c r="T32" s="19"/>
      <c r="U32" s="18"/>
      <c r="V32" s="6"/>
      <c r="W32" s="18">
        <f t="shared" si="0"/>
        <v>0</v>
      </c>
      <c r="X32" s="118">
        <v>102202</v>
      </c>
      <c r="Y32" s="117">
        <v>213018.5</v>
      </c>
      <c r="Z32" s="8">
        <f t="shared" ref="Z32:Z45" si="5">R32*X32</f>
        <v>4292484</v>
      </c>
      <c r="AA32" s="9">
        <f t="shared" si="4"/>
        <v>0</v>
      </c>
      <c r="AB32" s="18"/>
    </row>
    <row r="33" spans="1:28" s="4" customFormat="1" x14ac:dyDescent="0.25">
      <c r="A33" s="55" t="s">
        <v>539</v>
      </c>
      <c r="B33" s="55" t="s">
        <v>540</v>
      </c>
      <c r="C33" s="55"/>
      <c r="D33" s="431"/>
      <c r="E33" s="431">
        <v>12</v>
      </c>
      <c r="F33" s="431"/>
      <c r="G33" s="430">
        <v>0</v>
      </c>
      <c r="H33" s="55">
        <v>60</v>
      </c>
      <c r="I33" s="429"/>
      <c r="J33" s="250" t="s">
        <v>122</v>
      </c>
      <c r="K33" s="55">
        <v>751116</v>
      </c>
      <c r="L33" s="293"/>
      <c r="M33" s="55" t="s">
        <v>285</v>
      </c>
      <c r="N33" s="21" t="s">
        <v>934</v>
      </c>
      <c r="O33" s="18">
        <v>10</v>
      </c>
      <c r="P33" s="18"/>
      <c r="Q33" s="6"/>
      <c r="R33" s="66">
        <v>20</v>
      </c>
      <c r="S33" s="19"/>
      <c r="T33" s="19"/>
      <c r="U33" s="18"/>
      <c r="V33" s="6"/>
      <c r="W33" s="18">
        <f t="shared" si="0"/>
        <v>0</v>
      </c>
      <c r="X33" s="118">
        <v>511183</v>
      </c>
      <c r="Y33" s="117">
        <v>1214425.45</v>
      </c>
      <c r="Z33" s="8">
        <f t="shared" si="5"/>
        <v>10223660</v>
      </c>
      <c r="AA33" s="9">
        <f t="shared" si="4"/>
        <v>0</v>
      </c>
      <c r="AB33" s="18"/>
    </row>
    <row r="34" spans="1:28" x14ac:dyDescent="0.25">
      <c r="A34" s="510" t="s">
        <v>297</v>
      </c>
      <c r="B34" s="511" t="s">
        <v>298</v>
      </c>
      <c r="C34" s="511">
        <v>480</v>
      </c>
      <c r="D34" s="512">
        <v>300</v>
      </c>
      <c r="E34" s="512">
        <v>400</v>
      </c>
      <c r="F34" s="512">
        <v>400</v>
      </c>
      <c r="G34" s="513">
        <v>1380</v>
      </c>
      <c r="H34" s="55">
        <v>3600</v>
      </c>
      <c r="I34" s="512"/>
      <c r="J34" s="250" t="s">
        <v>122</v>
      </c>
      <c r="K34" s="55">
        <v>751116</v>
      </c>
      <c r="L34" s="514"/>
      <c r="M34" s="510" t="s">
        <v>263</v>
      </c>
      <c r="N34" s="21" t="s">
        <v>934</v>
      </c>
      <c r="O34" s="18">
        <v>11</v>
      </c>
      <c r="P34" s="18"/>
      <c r="Q34" s="20"/>
      <c r="R34" s="66">
        <v>2400</v>
      </c>
      <c r="S34" s="20"/>
      <c r="T34" s="20"/>
      <c r="U34" s="20"/>
      <c r="V34" s="20"/>
      <c r="W34" s="18">
        <f t="shared" si="0"/>
        <v>0</v>
      </c>
      <c r="X34" s="453">
        <v>880</v>
      </c>
      <c r="Y34" s="191">
        <v>1277.2</v>
      </c>
      <c r="Z34" s="8">
        <f t="shared" si="5"/>
        <v>2112000</v>
      </c>
      <c r="AA34" s="43">
        <f t="shared" si="4"/>
        <v>0</v>
      </c>
      <c r="AB34" s="20"/>
    </row>
    <row r="35" spans="1:28" s="36" customFormat="1" x14ac:dyDescent="0.25">
      <c r="A35" s="55" t="s">
        <v>299</v>
      </c>
      <c r="B35" s="55" t="s">
        <v>300</v>
      </c>
      <c r="C35" s="55"/>
      <c r="D35" s="55"/>
      <c r="E35" s="55">
        <v>100</v>
      </c>
      <c r="F35" s="55">
        <v>100</v>
      </c>
      <c r="G35" s="430">
        <v>423</v>
      </c>
      <c r="H35" s="55">
        <v>888</v>
      </c>
      <c r="I35" s="55"/>
      <c r="J35" s="250" t="s">
        <v>122</v>
      </c>
      <c r="K35" s="55">
        <v>751116</v>
      </c>
      <c r="L35" s="55"/>
      <c r="M35" s="510" t="s">
        <v>263</v>
      </c>
      <c r="N35" s="21" t="s">
        <v>934</v>
      </c>
      <c r="O35" s="18">
        <v>12</v>
      </c>
      <c r="P35" s="18"/>
      <c r="Q35" s="18"/>
      <c r="R35" s="66">
        <v>600</v>
      </c>
      <c r="S35" s="18"/>
      <c r="T35" s="18"/>
      <c r="U35" s="18"/>
      <c r="V35" s="6"/>
      <c r="W35" s="18">
        <f t="shared" ref="W35:W66" si="6">U35+V35</f>
        <v>0</v>
      </c>
      <c r="X35" s="118">
        <v>1486.45</v>
      </c>
      <c r="Y35" s="117">
        <v>2480.3000000000002</v>
      </c>
      <c r="Z35" s="8">
        <f t="shared" si="5"/>
        <v>891870</v>
      </c>
      <c r="AA35" s="8">
        <f t="shared" si="4"/>
        <v>0</v>
      </c>
      <c r="AB35" s="18"/>
    </row>
    <row r="36" spans="1:28" s="36" customFormat="1" x14ac:dyDescent="0.25">
      <c r="A36" s="66" t="s">
        <v>949</v>
      </c>
      <c r="B36" s="54" t="s">
        <v>950</v>
      </c>
      <c r="C36" s="54">
        <v>100</v>
      </c>
      <c r="D36" s="66"/>
      <c r="E36" s="66">
        <v>100</v>
      </c>
      <c r="F36" s="66">
        <v>120</v>
      </c>
      <c r="G36" s="171">
        <v>360</v>
      </c>
      <c r="H36" s="66">
        <v>1200</v>
      </c>
      <c r="I36" s="66"/>
      <c r="J36" s="173" t="s">
        <v>122</v>
      </c>
      <c r="K36" s="66">
        <v>751116</v>
      </c>
      <c r="L36" s="66"/>
      <c r="M36" s="66" t="s">
        <v>263</v>
      </c>
      <c r="N36" s="21" t="s">
        <v>934</v>
      </c>
      <c r="O36" s="18">
        <v>13</v>
      </c>
      <c r="P36" s="18" t="s">
        <v>935</v>
      </c>
      <c r="Q36" s="18"/>
      <c r="R36" s="66">
        <f>((F36*15)-G36-I36)/2</f>
        <v>720</v>
      </c>
      <c r="S36" s="18"/>
      <c r="T36" s="18"/>
      <c r="U36" s="18">
        <v>720</v>
      </c>
      <c r="V36" s="18"/>
      <c r="W36" s="18">
        <f t="shared" si="6"/>
        <v>720</v>
      </c>
      <c r="X36" s="118">
        <v>1699.86</v>
      </c>
      <c r="Y36" s="117">
        <v>1448.7</v>
      </c>
      <c r="Z36" s="8">
        <f t="shared" si="5"/>
        <v>1223899.2</v>
      </c>
      <c r="AA36" s="8">
        <f t="shared" si="4"/>
        <v>1043064</v>
      </c>
      <c r="AB36" s="18"/>
    </row>
    <row r="37" spans="1:28" s="36" customFormat="1" x14ac:dyDescent="0.25">
      <c r="A37" s="66" t="s">
        <v>951</v>
      </c>
      <c r="B37" s="66" t="s">
        <v>952</v>
      </c>
      <c r="C37" s="171"/>
      <c r="D37" s="171"/>
      <c r="E37" s="171"/>
      <c r="F37" s="171">
        <v>60</v>
      </c>
      <c r="G37" s="171"/>
      <c r="H37" s="66">
        <v>600</v>
      </c>
      <c r="I37" s="276"/>
      <c r="J37" s="173" t="s">
        <v>122</v>
      </c>
      <c r="K37" s="66">
        <v>751116</v>
      </c>
      <c r="L37" s="276"/>
      <c r="M37" s="63" t="s">
        <v>263</v>
      </c>
      <c r="N37" s="21" t="s">
        <v>934</v>
      </c>
      <c r="O37" s="18">
        <v>14</v>
      </c>
      <c r="P37" s="18" t="s">
        <v>935</v>
      </c>
      <c r="R37" s="66">
        <f>((F37*15)-G37-I37)/2</f>
        <v>450</v>
      </c>
      <c r="T37" s="77"/>
      <c r="U37" s="36">
        <v>450</v>
      </c>
      <c r="W37" s="18">
        <f t="shared" si="6"/>
        <v>450</v>
      </c>
      <c r="X37" s="162">
        <v>320</v>
      </c>
      <c r="Y37" s="162">
        <v>475</v>
      </c>
      <c r="Z37" s="8">
        <f t="shared" si="5"/>
        <v>144000</v>
      </c>
      <c r="AA37" s="8">
        <f t="shared" si="4"/>
        <v>213750</v>
      </c>
    </row>
    <row r="38" spans="1:28" s="36" customFormat="1" x14ac:dyDescent="0.25">
      <c r="A38" s="55" t="s">
        <v>228</v>
      </c>
      <c r="B38" s="55" t="s">
        <v>229</v>
      </c>
      <c r="C38" s="55"/>
      <c r="D38" s="55"/>
      <c r="E38" s="55">
        <v>30</v>
      </c>
      <c r="F38" s="55">
        <v>50</v>
      </c>
      <c r="G38" s="430">
        <v>150</v>
      </c>
      <c r="H38" s="55">
        <v>200</v>
      </c>
      <c r="I38" s="55"/>
      <c r="J38" s="250" t="s">
        <v>122</v>
      </c>
      <c r="K38" s="55">
        <v>751116</v>
      </c>
      <c r="L38" s="55"/>
      <c r="M38" s="55" t="s">
        <v>283</v>
      </c>
      <c r="N38" s="21" t="s">
        <v>934</v>
      </c>
      <c r="O38" s="18">
        <v>15</v>
      </c>
      <c r="P38" s="18"/>
      <c r="Q38" s="18"/>
      <c r="R38" s="66">
        <v>300</v>
      </c>
      <c r="S38" s="18"/>
      <c r="T38" s="18"/>
      <c r="U38" s="18"/>
      <c r="V38" s="18"/>
      <c r="W38" s="18">
        <f t="shared" si="6"/>
        <v>0</v>
      </c>
      <c r="X38" s="118">
        <v>4465</v>
      </c>
      <c r="Y38" s="117">
        <v>7450</v>
      </c>
      <c r="Z38" s="8">
        <f t="shared" si="5"/>
        <v>1339500</v>
      </c>
      <c r="AA38" s="8">
        <f t="shared" si="4"/>
        <v>0</v>
      </c>
      <c r="AB38" s="18"/>
    </row>
    <row r="39" spans="1:28" s="36" customFormat="1" x14ac:dyDescent="0.25">
      <c r="A39" s="66" t="s">
        <v>953</v>
      </c>
      <c r="B39" s="54" t="s">
        <v>954</v>
      </c>
      <c r="C39" s="54">
        <v>20</v>
      </c>
      <c r="D39" s="66"/>
      <c r="E39" s="66">
        <v>100</v>
      </c>
      <c r="F39" s="66">
        <v>120</v>
      </c>
      <c r="G39" s="171">
        <v>930</v>
      </c>
      <c r="H39" s="66">
        <v>1000</v>
      </c>
      <c r="I39" s="66">
        <v>0</v>
      </c>
      <c r="J39" s="173" t="s">
        <v>122</v>
      </c>
      <c r="K39" s="66">
        <v>751116</v>
      </c>
      <c r="L39" s="66"/>
      <c r="M39" s="66" t="s">
        <v>688</v>
      </c>
      <c r="N39" s="21" t="s">
        <v>934</v>
      </c>
      <c r="O39" s="18">
        <v>16</v>
      </c>
      <c r="P39" s="18" t="s">
        <v>938</v>
      </c>
      <c r="Q39" s="18"/>
      <c r="R39" s="66">
        <v>720</v>
      </c>
      <c r="S39" s="18"/>
      <c r="T39" s="18"/>
      <c r="U39" s="18">
        <v>720</v>
      </c>
      <c r="V39" s="18"/>
      <c r="W39" s="18">
        <f t="shared" si="6"/>
        <v>720</v>
      </c>
      <c r="X39" s="117">
        <v>4690</v>
      </c>
      <c r="Y39" s="117">
        <v>4999</v>
      </c>
      <c r="Z39" s="8">
        <f t="shared" si="5"/>
        <v>3376800</v>
      </c>
      <c r="AA39" s="8">
        <f t="shared" si="4"/>
        <v>3599280</v>
      </c>
      <c r="AB39" s="18"/>
    </row>
    <row r="40" spans="1:28" s="36" customFormat="1" x14ac:dyDescent="0.25">
      <c r="A40" s="66" t="s">
        <v>955</v>
      </c>
      <c r="B40" s="66" t="s">
        <v>956</v>
      </c>
      <c r="C40" s="54">
        <v>80</v>
      </c>
      <c r="D40" s="173">
        <v>110</v>
      </c>
      <c r="E40" s="173">
        <v>150</v>
      </c>
      <c r="F40" s="173">
        <v>100</v>
      </c>
      <c r="G40" s="171">
        <v>1030</v>
      </c>
      <c r="H40" s="66">
        <v>1200</v>
      </c>
      <c r="I40" s="66"/>
      <c r="J40" s="173" t="s">
        <v>122</v>
      </c>
      <c r="K40" s="66">
        <v>751116</v>
      </c>
      <c r="L40" s="66"/>
      <c r="M40" s="66" t="s">
        <v>688</v>
      </c>
      <c r="N40" s="21" t="s">
        <v>934</v>
      </c>
      <c r="O40" s="18">
        <v>17</v>
      </c>
      <c r="P40" s="18" t="s">
        <v>938</v>
      </c>
      <c r="Q40" s="18"/>
      <c r="R40" s="66">
        <v>600</v>
      </c>
      <c r="S40" s="18"/>
      <c r="T40" s="18"/>
      <c r="U40" s="18">
        <v>600</v>
      </c>
      <c r="V40" s="18"/>
      <c r="W40" s="18">
        <f t="shared" si="6"/>
        <v>600</v>
      </c>
      <c r="X40" s="118">
        <v>24999</v>
      </c>
      <c r="Y40" s="117">
        <v>26900</v>
      </c>
      <c r="Z40" s="8">
        <f t="shared" si="5"/>
        <v>14999400</v>
      </c>
      <c r="AA40" s="8">
        <f t="shared" si="4"/>
        <v>16140000</v>
      </c>
      <c r="AB40" s="18"/>
    </row>
    <row r="41" spans="1:28" s="36" customFormat="1" x14ac:dyDescent="0.25">
      <c r="A41" s="428" t="s">
        <v>302</v>
      </c>
      <c r="B41" s="92" t="s">
        <v>303</v>
      </c>
      <c r="C41" s="92"/>
      <c r="D41" s="55"/>
      <c r="E41" s="55">
        <v>30</v>
      </c>
      <c r="F41" s="55">
        <v>20</v>
      </c>
      <c r="G41" s="430">
        <v>216</v>
      </c>
      <c r="H41" s="55">
        <v>180</v>
      </c>
      <c r="I41" s="55"/>
      <c r="J41" s="250" t="s">
        <v>122</v>
      </c>
      <c r="K41" s="55">
        <v>751116</v>
      </c>
      <c r="L41" s="55"/>
      <c r="M41" s="55" t="s">
        <v>285</v>
      </c>
      <c r="N41" s="21" t="s">
        <v>934</v>
      </c>
      <c r="O41" s="18">
        <v>18</v>
      </c>
      <c r="P41" s="321"/>
      <c r="Q41" s="18"/>
      <c r="R41" s="66">
        <v>120</v>
      </c>
      <c r="S41" s="18"/>
      <c r="T41" s="18"/>
      <c r="U41" s="18"/>
      <c r="V41" s="18"/>
      <c r="W41" s="18">
        <f t="shared" si="6"/>
        <v>0</v>
      </c>
      <c r="X41" s="118">
        <v>338</v>
      </c>
      <c r="Y41" s="117"/>
      <c r="Z41" s="8">
        <f t="shared" si="5"/>
        <v>40560</v>
      </c>
      <c r="AA41" s="8">
        <f t="shared" si="4"/>
        <v>0</v>
      </c>
      <c r="AB41" s="18"/>
    </row>
    <row r="42" spans="1:28" s="36" customFormat="1" x14ac:dyDescent="0.25">
      <c r="A42" s="55" t="s">
        <v>305</v>
      </c>
      <c r="B42" s="55" t="s">
        <v>306</v>
      </c>
      <c r="C42" s="55"/>
      <c r="D42" s="55">
        <v>120</v>
      </c>
      <c r="E42" s="55">
        <v>120</v>
      </c>
      <c r="F42" s="55">
        <v>140</v>
      </c>
      <c r="G42" s="430">
        <v>290</v>
      </c>
      <c r="H42" s="55">
        <v>1070</v>
      </c>
      <c r="I42" s="55">
        <v>70</v>
      </c>
      <c r="J42" s="250" t="s">
        <v>122</v>
      </c>
      <c r="K42" s="55">
        <v>751116</v>
      </c>
      <c r="L42" s="55"/>
      <c r="M42" s="93" t="s">
        <v>259</v>
      </c>
      <c r="N42" s="21" t="s">
        <v>934</v>
      </c>
      <c r="O42" s="18">
        <v>19</v>
      </c>
      <c r="P42" s="18"/>
      <c r="Q42" s="18"/>
      <c r="R42" s="66">
        <v>900</v>
      </c>
      <c r="S42" s="18"/>
      <c r="T42" s="18"/>
      <c r="U42" s="18"/>
      <c r="V42" s="18"/>
      <c r="W42" s="18">
        <f t="shared" si="6"/>
        <v>0</v>
      </c>
      <c r="X42" s="118">
        <v>1819.5</v>
      </c>
      <c r="Y42" s="117">
        <v>2109.8000000000002</v>
      </c>
      <c r="Z42" s="8">
        <f t="shared" si="5"/>
        <v>1637550</v>
      </c>
      <c r="AA42" s="8">
        <f t="shared" si="4"/>
        <v>0</v>
      </c>
      <c r="AB42" s="18"/>
    </row>
    <row r="43" spans="1:28" x14ac:dyDescent="0.25">
      <c r="A43" s="12" t="s">
        <v>231</v>
      </c>
      <c r="B43" s="66" t="s">
        <v>957</v>
      </c>
      <c r="C43" s="54">
        <v>733</v>
      </c>
      <c r="D43" s="173">
        <v>600</v>
      </c>
      <c r="E43" s="173">
        <v>600</v>
      </c>
      <c r="F43" s="173">
        <v>600</v>
      </c>
      <c r="G43" s="171">
        <v>950</v>
      </c>
      <c r="H43" s="66">
        <v>4860</v>
      </c>
      <c r="I43" s="66"/>
      <c r="J43" s="173" t="s">
        <v>122</v>
      </c>
      <c r="K43" s="66">
        <v>751116</v>
      </c>
      <c r="L43" s="66"/>
      <c r="M43" s="64" t="s">
        <v>283</v>
      </c>
      <c r="N43" s="21" t="s">
        <v>934</v>
      </c>
      <c r="O43" s="18">
        <v>20</v>
      </c>
      <c r="P43" s="18" t="s">
        <v>958</v>
      </c>
      <c r="Q43" s="18"/>
      <c r="R43" s="66">
        <v>4000</v>
      </c>
      <c r="S43" s="18"/>
      <c r="T43" s="18"/>
      <c r="U43" s="18">
        <v>4000</v>
      </c>
      <c r="V43" s="18"/>
      <c r="W43" s="18">
        <f t="shared" si="6"/>
        <v>4000</v>
      </c>
      <c r="X43" s="118">
        <v>2314</v>
      </c>
      <c r="Y43" s="117">
        <v>2783</v>
      </c>
      <c r="Z43" s="8">
        <f t="shared" si="5"/>
        <v>9256000</v>
      </c>
      <c r="AA43" s="8">
        <f t="shared" si="4"/>
        <v>11132000</v>
      </c>
      <c r="AB43" s="36"/>
    </row>
    <row r="44" spans="1:28" x14ac:dyDescent="0.25">
      <c r="A44" s="62" t="s">
        <v>238</v>
      </c>
      <c r="B44" s="56" t="s">
        <v>239</v>
      </c>
      <c r="C44" s="56">
        <v>56</v>
      </c>
      <c r="D44" s="441">
        <v>120</v>
      </c>
      <c r="E44" s="441">
        <v>100</v>
      </c>
      <c r="F44" s="441">
        <v>120</v>
      </c>
      <c r="G44" s="445">
        <v>492</v>
      </c>
      <c r="H44" s="55">
        <v>600</v>
      </c>
      <c r="I44" s="446">
        <v>0</v>
      </c>
      <c r="J44" s="250" t="s">
        <v>122</v>
      </c>
      <c r="K44" s="55">
        <v>751116</v>
      </c>
      <c r="L44" s="447"/>
      <c r="M44" s="450" t="s">
        <v>285</v>
      </c>
      <c r="N44" s="21" t="s">
        <v>934</v>
      </c>
      <c r="O44" s="18">
        <v>21</v>
      </c>
      <c r="P44" s="7"/>
      <c r="Q44" s="264"/>
      <c r="R44" s="66">
        <v>500</v>
      </c>
      <c r="S44" s="39"/>
      <c r="T44" s="39"/>
      <c r="U44" s="107"/>
      <c r="V44" s="673"/>
      <c r="W44" s="18">
        <f t="shared" si="6"/>
        <v>0</v>
      </c>
      <c r="X44" s="452">
        <v>515.20000000000005</v>
      </c>
      <c r="Y44" s="454">
        <v>1682.7</v>
      </c>
      <c r="Z44" s="9">
        <f t="shared" si="5"/>
        <v>257600.00000000003</v>
      </c>
      <c r="AA44" s="8">
        <f t="shared" si="4"/>
        <v>0</v>
      </c>
      <c r="AB44" s="7"/>
    </row>
    <row r="45" spans="1:28" s="4" customFormat="1" x14ac:dyDescent="0.25">
      <c r="A45" s="66" t="s">
        <v>959</v>
      </c>
      <c r="B45" s="54" t="s">
        <v>960</v>
      </c>
      <c r="C45" s="54">
        <v>100</v>
      </c>
      <c r="D45" s="169"/>
      <c r="E45" s="169">
        <v>60</v>
      </c>
      <c r="F45" s="169">
        <v>60</v>
      </c>
      <c r="G45" s="171">
        <v>510</v>
      </c>
      <c r="H45" s="66">
        <v>870</v>
      </c>
      <c r="I45" s="169"/>
      <c r="J45" s="173" t="s">
        <v>122</v>
      </c>
      <c r="K45" s="66">
        <v>751116</v>
      </c>
      <c r="L45" s="274"/>
      <c r="M45" s="323" t="s">
        <v>259</v>
      </c>
      <c r="N45" s="21" t="s">
        <v>934</v>
      </c>
      <c r="O45" s="18">
        <v>22</v>
      </c>
      <c r="P45" s="7" t="s">
        <v>941</v>
      </c>
      <c r="Q45" s="18"/>
      <c r="R45" s="66">
        <v>200</v>
      </c>
      <c r="S45" s="18"/>
      <c r="T45" s="18"/>
      <c r="U45" s="18">
        <v>200</v>
      </c>
      <c r="V45" s="18"/>
      <c r="W45" s="18">
        <f t="shared" si="6"/>
        <v>200</v>
      </c>
      <c r="X45" s="153">
        <v>215.83</v>
      </c>
      <c r="Y45" s="117">
        <v>201.15</v>
      </c>
      <c r="Z45" s="8">
        <f t="shared" si="5"/>
        <v>43166</v>
      </c>
      <c r="AA45" s="9">
        <f t="shared" si="4"/>
        <v>40230</v>
      </c>
      <c r="AB45" s="18"/>
    </row>
    <row r="46" spans="1:28" s="36" customFormat="1" x14ac:dyDescent="0.25">
      <c r="A46" s="55" t="s">
        <v>307</v>
      </c>
      <c r="B46" s="55" t="s">
        <v>308</v>
      </c>
      <c r="C46" s="55">
        <v>20</v>
      </c>
      <c r="D46" s="55"/>
      <c r="E46" s="55">
        <v>20</v>
      </c>
      <c r="F46" s="55">
        <v>20</v>
      </c>
      <c r="G46" s="430">
        <v>200</v>
      </c>
      <c r="H46" s="55">
        <v>260</v>
      </c>
      <c r="I46" s="55">
        <v>16</v>
      </c>
      <c r="J46" s="250" t="s">
        <v>122</v>
      </c>
      <c r="K46" s="55">
        <v>751116</v>
      </c>
      <c r="L46" s="55"/>
      <c r="M46" s="55" t="s">
        <v>259</v>
      </c>
      <c r="N46" s="21" t="s">
        <v>934</v>
      </c>
      <c r="O46" s="18">
        <v>23</v>
      </c>
      <c r="P46" s="18"/>
      <c r="Q46" s="18"/>
      <c r="R46" s="66">
        <v>120</v>
      </c>
      <c r="S46" s="18"/>
      <c r="T46" s="18"/>
      <c r="U46" s="18"/>
      <c r="V46" s="18"/>
      <c r="W46" s="18">
        <f t="shared" si="6"/>
        <v>0</v>
      </c>
      <c r="X46" s="118">
        <v>3779.5</v>
      </c>
      <c r="Y46" s="117">
        <v>4950</v>
      </c>
      <c r="Z46" s="8">
        <f>H46*X46</f>
        <v>982670</v>
      </c>
      <c r="AA46" s="8">
        <f t="shared" si="4"/>
        <v>0</v>
      </c>
      <c r="AB46" s="18"/>
    </row>
    <row r="47" spans="1:28" s="4" customFormat="1" x14ac:dyDescent="0.25">
      <c r="A47" s="66" t="s">
        <v>961</v>
      </c>
      <c r="B47" s="66" t="s">
        <v>962</v>
      </c>
      <c r="C47" s="66" t="s">
        <v>963</v>
      </c>
      <c r="D47" s="210">
        <v>1000</v>
      </c>
      <c r="E47" s="210">
        <v>1000</v>
      </c>
      <c r="F47" s="210">
        <v>1000</v>
      </c>
      <c r="G47" s="171">
        <v>3350</v>
      </c>
      <c r="H47" s="66">
        <v>10100</v>
      </c>
      <c r="I47" s="169">
        <v>2000</v>
      </c>
      <c r="J47" s="173" t="s">
        <v>122</v>
      </c>
      <c r="K47" s="66">
        <v>751116</v>
      </c>
      <c r="L47" s="274"/>
      <c r="M47" s="66" t="s">
        <v>263</v>
      </c>
      <c r="N47" s="21" t="s">
        <v>934</v>
      </c>
      <c r="O47" s="18">
        <v>24</v>
      </c>
      <c r="P47" s="18" t="s">
        <v>935</v>
      </c>
      <c r="Q47" s="18"/>
      <c r="R47" s="66">
        <v>4800</v>
      </c>
      <c r="S47" s="18"/>
      <c r="T47" s="18"/>
      <c r="U47" s="18">
        <v>4800</v>
      </c>
      <c r="V47" s="18"/>
      <c r="W47" s="18">
        <f t="shared" si="6"/>
        <v>4800</v>
      </c>
      <c r="X47" s="118">
        <v>6610</v>
      </c>
      <c r="Y47" s="117">
        <v>5326</v>
      </c>
      <c r="Z47" s="8">
        <f>R47*X47</f>
        <v>31728000</v>
      </c>
      <c r="AA47" s="9">
        <f t="shared" si="4"/>
        <v>25564800</v>
      </c>
      <c r="AB47" s="18"/>
    </row>
    <row r="48" spans="1:28" s="4" customFormat="1" x14ac:dyDescent="0.25">
      <c r="A48" s="440" t="s">
        <v>309</v>
      </c>
      <c r="B48" s="56" t="s">
        <v>310</v>
      </c>
      <c r="C48" s="55"/>
      <c r="D48" s="429"/>
      <c r="E48" s="429">
        <v>60</v>
      </c>
      <c r="F48" s="429">
        <v>90</v>
      </c>
      <c r="G48" s="430">
        <v>180</v>
      </c>
      <c r="H48" s="55">
        <v>300</v>
      </c>
      <c r="I48" s="429"/>
      <c r="J48" s="250" t="s">
        <v>122</v>
      </c>
      <c r="K48" s="55">
        <v>751116</v>
      </c>
      <c r="L48" s="293"/>
      <c r="M48" s="432" t="s">
        <v>285</v>
      </c>
      <c r="N48" s="320" t="s">
        <v>934</v>
      </c>
      <c r="O48" s="7">
        <v>25</v>
      </c>
      <c r="P48" s="7"/>
      <c r="Q48" s="7"/>
      <c r="R48" s="66">
        <v>90</v>
      </c>
      <c r="S48" s="7"/>
      <c r="T48" s="7"/>
      <c r="U48" s="7"/>
      <c r="V48" s="7"/>
      <c r="W48" s="18">
        <f t="shared" si="6"/>
        <v>0</v>
      </c>
      <c r="X48" s="263">
        <v>2480</v>
      </c>
      <c r="Y48" s="150">
        <v>4280</v>
      </c>
      <c r="Z48" s="8">
        <f>R48*X48</f>
        <v>223200</v>
      </c>
      <c r="AA48" s="9">
        <f t="shared" si="4"/>
        <v>0</v>
      </c>
      <c r="AB48" s="7"/>
    </row>
    <row r="49" spans="1:28" x14ac:dyDescent="0.25">
      <c r="A49" s="68" t="s">
        <v>964</v>
      </c>
      <c r="B49" s="66" t="s">
        <v>965</v>
      </c>
      <c r="C49" s="66">
        <v>200</v>
      </c>
      <c r="D49" s="169">
        <v>150</v>
      </c>
      <c r="E49" s="169">
        <v>250</v>
      </c>
      <c r="F49" s="346">
        <v>120</v>
      </c>
      <c r="G49" s="171">
        <v>1180</v>
      </c>
      <c r="H49" s="66">
        <v>1500</v>
      </c>
      <c r="I49" s="169"/>
      <c r="J49" s="173" t="s">
        <v>122</v>
      </c>
      <c r="K49" s="66">
        <v>751116</v>
      </c>
      <c r="L49" s="274"/>
      <c r="M49" s="62" t="s">
        <v>688</v>
      </c>
      <c r="N49" s="320" t="s">
        <v>934</v>
      </c>
      <c r="O49" s="18">
        <v>26</v>
      </c>
      <c r="P49" s="18" t="s">
        <v>938</v>
      </c>
      <c r="Q49" s="18"/>
      <c r="R49" s="66">
        <v>360</v>
      </c>
      <c r="S49" s="18"/>
      <c r="T49" s="18"/>
      <c r="U49" s="18">
        <v>360</v>
      </c>
      <c r="V49" s="18"/>
      <c r="W49" s="18">
        <f t="shared" si="6"/>
        <v>360</v>
      </c>
      <c r="X49" s="118">
        <v>1949.95</v>
      </c>
      <c r="Y49" s="117">
        <v>1180</v>
      </c>
      <c r="Z49" s="8">
        <f>X49*H49</f>
        <v>2924925</v>
      </c>
      <c r="AA49" s="9">
        <f t="shared" si="4"/>
        <v>424800</v>
      </c>
      <c r="AB49" s="18"/>
    </row>
    <row r="50" spans="1:28" s="4" customFormat="1" x14ac:dyDescent="0.25">
      <c r="A50" s="66" t="s">
        <v>966</v>
      </c>
      <c r="B50" s="66" t="s">
        <v>967</v>
      </c>
      <c r="C50" s="66"/>
      <c r="D50" s="169"/>
      <c r="E50" s="169">
        <v>60</v>
      </c>
      <c r="F50" s="169">
        <v>0</v>
      </c>
      <c r="G50" s="171">
        <v>0</v>
      </c>
      <c r="H50" s="66">
        <v>300</v>
      </c>
      <c r="I50" s="169"/>
      <c r="J50" s="173" t="s">
        <v>122</v>
      </c>
      <c r="K50" s="66">
        <v>751116</v>
      </c>
      <c r="L50" s="274"/>
      <c r="M50" s="62" t="s">
        <v>259</v>
      </c>
      <c r="N50" s="320" t="s">
        <v>934</v>
      </c>
      <c r="O50" s="18">
        <v>27</v>
      </c>
      <c r="P50" s="7" t="s">
        <v>941</v>
      </c>
      <c r="Q50" s="18"/>
      <c r="R50" s="66">
        <v>300</v>
      </c>
      <c r="S50" s="18"/>
      <c r="T50" s="18"/>
      <c r="U50" s="18">
        <v>250</v>
      </c>
      <c r="V50" s="18"/>
      <c r="W50" s="18">
        <f t="shared" si="6"/>
        <v>250</v>
      </c>
      <c r="X50" s="118">
        <v>602.79999999999995</v>
      </c>
      <c r="Y50" s="117">
        <v>645.85</v>
      </c>
      <c r="Z50" s="8">
        <f>H50*X50</f>
        <v>180840</v>
      </c>
      <c r="AA50" s="9">
        <f t="shared" si="4"/>
        <v>161462.5</v>
      </c>
      <c r="AB50" s="18"/>
    </row>
    <row r="51" spans="1:28" s="4" customFormat="1" x14ac:dyDescent="0.25">
      <c r="A51" s="339" t="s">
        <v>233</v>
      </c>
      <c r="B51" s="66" t="s">
        <v>968</v>
      </c>
      <c r="C51" s="66" t="s">
        <v>969</v>
      </c>
      <c r="D51" s="210">
        <v>60</v>
      </c>
      <c r="E51" s="210">
        <v>70</v>
      </c>
      <c r="F51" s="210">
        <v>90</v>
      </c>
      <c r="G51" s="171">
        <v>220</v>
      </c>
      <c r="H51" s="66">
        <v>300</v>
      </c>
      <c r="I51" s="169"/>
      <c r="J51" s="173" t="s">
        <v>122</v>
      </c>
      <c r="K51" s="66">
        <v>751116</v>
      </c>
      <c r="L51" s="274"/>
      <c r="M51" s="66" t="s">
        <v>688</v>
      </c>
      <c r="N51" s="320" t="s">
        <v>934</v>
      </c>
      <c r="O51" s="18">
        <v>28</v>
      </c>
      <c r="P51" s="18" t="s">
        <v>938</v>
      </c>
      <c r="Q51" s="18" t="s">
        <v>1983</v>
      </c>
      <c r="R51" s="66">
        <v>600</v>
      </c>
      <c r="S51" s="18"/>
      <c r="T51" s="18"/>
      <c r="U51" s="18">
        <v>600</v>
      </c>
      <c r="V51" s="18">
        <v>600</v>
      </c>
      <c r="W51" s="18">
        <f t="shared" si="6"/>
        <v>1200</v>
      </c>
      <c r="X51" s="149">
        <v>17490</v>
      </c>
      <c r="Y51" s="117">
        <v>17960</v>
      </c>
      <c r="Z51" s="8">
        <f t="shared" ref="Z51:Z65" si="7">R51*X51</f>
        <v>10494000</v>
      </c>
      <c r="AA51" s="9">
        <f t="shared" si="4"/>
        <v>21552000</v>
      </c>
      <c r="AB51" s="18"/>
    </row>
    <row r="52" spans="1:28" s="4" customFormat="1" x14ac:dyDescent="0.25">
      <c r="A52" s="66" t="s">
        <v>970</v>
      </c>
      <c r="B52" s="66" t="s">
        <v>971</v>
      </c>
      <c r="C52" s="54"/>
      <c r="D52" s="333"/>
      <c r="E52" s="333">
        <v>0</v>
      </c>
      <c r="F52" s="333">
        <v>3</v>
      </c>
      <c r="G52" s="171">
        <v>0</v>
      </c>
      <c r="H52" s="66">
        <v>0</v>
      </c>
      <c r="I52" s="169"/>
      <c r="J52" s="173" t="s">
        <v>122</v>
      </c>
      <c r="K52" s="66">
        <v>751116</v>
      </c>
      <c r="L52" s="274"/>
      <c r="M52" s="62" t="s">
        <v>259</v>
      </c>
      <c r="N52" s="320" t="s">
        <v>934</v>
      </c>
      <c r="O52" s="18">
        <v>29</v>
      </c>
      <c r="P52" s="7" t="s">
        <v>941</v>
      </c>
      <c r="Q52" s="18"/>
      <c r="R52" s="66">
        <v>20</v>
      </c>
      <c r="S52" s="18"/>
      <c r="T52" s="18"/>
      <c r="U52" s="18">
        <v>20</v>
      </c>
      <c r="V52" s="18"/>
      <c r="W52" s="18">
        <f t="shared" si="6"/>
        <v>20</v>
      </c>
      <c r="X52" s="149">
        <v>1650</v>
      </c>
      <c r="Y52" s="117">
        <v>1540</v>
      </c>
      <c r="Z52" s="8">
        <f t="shared" si="7"/>
        <v>33000</v>
      </c>
      <c r="AA52" s="9">
        <f t="shared" si="4"/>
        <v>30800</v>
      </c>
      <c r="AB52" s="18"/>
    </row>
    <row r="53" spans="1:28" s="4" customFormat="1" x14ac:dyDescent="0.25">
      <c r="A53" s="12" t="s">
        <v>232</v>
      </c>
      <c r="B53" s="66" t="s">
        <v>972</v>
      </c>
      <c r="C53" s="54">
        <v>400</v>
      </c>
      <c r="D53" s="333">
        <v>600</v>
      </c>
      <c r="E53" s="333">
        <v>500</v>
      </c>
      <c r="F53" s="427">
        <v>500</v>
      </c>
      <c r="G53" s="171">
        <v>3500</v>
      </c>
      <c r="H53" s="66">
        <v>4500</v>
      </c>
      <c r="I53" s="169"/>
      <c r="J53" s="173" t="s">
        <v>122</v>
      </c>
      <c r="K53" s="66">
        <v>751116</v>
      </c>
      <c r="L53" s="274"/>
      <c r="M53" s="62" t="s">
        <v>259</v>
      </c>
      <c r="N53" s="320" t="s">
        <v>934</v>
      </c>
      <c r="O53" s="18">
        <v>30</v>
      </c>
      <c r="P53" s="7" t="s">
        <v>941</v>
      </c>
      <c r="Q53" s="18"/>
      <c r="R53" s="66">
        <f>((F53*15)-G53-I53)/2</f>
        <v>2000</v>
      </c>
      <c r="S53" s="18"/>
      <c r="T53" s="18"/>
      <c r="U53" s="18">
        <v>2000</v>
      </c>
      <c r="V53" s="18"/>
      <c r="W53" s="18">
        <f t="shared" si="6"/>
        <v>2000</v>
      </c>
      <c r="X53" s="118">
        <v>5104.5</v>
      </c>
      <c r="Y53" s="117">
        <v>5937.4</v>
      </c>
      <c r="Z53" s="8">
        <f t="shared" si="7"/>
        <v>10209000</v>
      </c>
      <c r="AA53" s="9">
        <f t="shared" si="4"/>
        <v>11874800</v>
      </c>
      <c r="AB53" s="18"/>
    </row>
    <row r="54" spans="1:28" s="4" customFormat="1" x14ac:dyDescent="0.25">
      <c r="A54" s="66" t="s">
        <v>973</v>
      </c>
      <c r="B54" s="63" t="s">
        <v>974</v>
      </c>
      <c r="C54" s="63"/>
      <c r="D54" s="169"/>
      <c r="E54" s="169">
        <v>60</v>
      </c>
      <c r="F54" s="169">
        <v>100</v>
      </c>
      <c r="G54" s="171">
        <v>0</v>
      </c>
      <c r="H54" s="66">
        <v>360</v>
      </c>
      <c r="I54" s="169"/>
      <c r="J54" s="173" t="s">
        <v>122</v>
      </c>
      <c r="K54" s="66">
        <v>751116</v>
      </c>
      <c r="L54" s="274"/>
      <c r="M54" s="66" t="s">
        <v>259</v>
      </c>
      <c r="N54" s="320" t="s">
        <v>934</v>
      </c>
      <c r="O54" s="18">
        <v>31</v>
      </c>
      <c r="P54" s="7" t="s">
        <v>941</v>
      </c>
      <c r="Q54" s="6"/>
      <c r="R54" s="66">
        <f>((F54*15)-G54-I54)/2</f>
        <v>750</v>
      </c>
      <c r="S54" s="18"/>
      <c r="T54" s="18"/>
      <c r="U54" s="18">
        <v>750</v>
      </c>
      <c r="V54" s="6"/>
      <c r="W54" s="18">
        <f t="shared" si="6"/>
        <v>750</v>
      </c>
      <c r="X54" s="118">
        <v>579</v>
      </c>
      <c r="Y54" s="117">
        <v>586.80999999999995</v>
      </c>
      <c r="Z54" s="8">
        <f t="shared" si="7"/>
        <v>434250</v>
      </c>
      <c r="AA54" s="9">
        <f t="shared" si="4"/>
        <v>440107.49999999994</v>
      </c>
      <c r="AB54" s="6"/>
    </row>
    <row r="55" spans="1:28" s="4" customFormat="1" x14ac:dyDescent="0.25">
      <c r="A55" s="327" t="s">
        <v>975</v>
      </c>
      <c r="B55" s="327" t="s">
        <v>976</v>
      </c>
      <c r="C55" s="327"/>
      <c r="D55" s="442">
        <v>150</v>
      </c>
      <c r="E55" s="442">
        <v>180</v>
      </c>
      <c r="F55" s="442">
        <v>180</v>
      </c>
      <c r="G55" s="434">
        <v>460</v>
      </c>
      <c r="H55" s="327">
        <v>1600</v>
      </c>
      <c r="I55" s="442">
        <v>400</v>
      </c>
      <c r="J55" s="433" t="s">
        <v>122</v>
      </c>
      <c r="K55" s="327">
        <v>751116</v>
      </c>
      <c r="L55" s="448"/>
      <c r="M55" s="327" t="s">
        <v>129</v>
      </c>
      <c r="N55" s="320" t="s">
        <v>934</v>
      </c>
      <c r="O55" s="18">
        <v>32</v>
      </c>
      <c r="P55" s="24"/>
      <c r="Q55" s="18"/>
      <c r="R55" s="66">
        <f>((F55*15)-G55-I55)/2</f>
        <v>920</v>
      </c>
      <c r="S55" s="18"/>
      <c r="T55" s="18"/>
      <c r="U55" s="18"/>
      <c r="V55" s="18"/>
      <c r="W55" s="18">
        <f t="shared" si="6"/>
        <v>0</v>
      </c>
      <c r="X55" s="118">
        <v>9780</v>
      </c>
      <c r="Y55" s="117"/>
      <c r="Z55" s="8">
        <f t="shared" si="7"/>
        <v>8997600</v>
      </c>
      <c r="AA55" s="9">
        <f t="shared" ref="AA55:AA79" si="8">W55*Y55</f>
        <v>0</v>
      </c>
      <c r="AB55" s="18"/>
    </row>
    <row r="56" spans="1:28" s="4" customFormat="1" x14ac:dyDescent="0.25">
      <c r="A56" s="66" t="s">
        <v>977</v>
      </c>
      <c r="B56" s="66" t="s">
        <v>978</v>
      </c>
      <c r="C56" s="81">
        <v>10</v>
      </c>
      <c r="D56" s="333">
        <v>12</v>
      </c>
      <c r="E56" s="333">
        <v>10</v>
      </c>
      <c r="F56" s="333">
        <v>0</v>
      </c>
      <c r="G56" s="171">
        <v>0</v>
      </c>
      <c r="H56" s="66">
        <v>0</v>
      </c>
      <c r="I56" s="169"/>
      <c r="J56" s="173" t="s">
        <v>122</v>
      </c>
      <c r="K56" s="66">
        <v>751120</v>
      </c>
      <c r="L56" s="274"/>
      <c r="M56" s="66" t="s">
        <v>979</v>
      </c>
      <c r="N56" s="25" t="s">
        <v>980</v>
      </c>
      <c r="O56" s="18">
        <v>1</v>
      </c>
      <c r="P56" s="18" t="s">
        <v>981</v>
      </c>
      <c r="Q56" s="18"/>
      <c r="R56" s="66">
        <f>E56*6</f>
        <v>60</v>
      </c>
      <c r="S56" s="18"/>
      <c r="T56" s="18"/>
      <c r="U56" s="18">
        <v>60</v>
      </c>
      <c r="V56" s="18"/>
      <c r="W56" s="18">
        <f t="shared" si="6"/>
        <v>60</v>
      </c>
      <c r="X56" s="118">
        <v>382823</v>
      </c>
      <c r="Y56" s="117"/>
      <c r="Z56" s="8">
        <f t="shared" si="7"/>
        <v>22969380</v>
      </c>
      <c r="AA56" s="9">
        <f t="shared" si="8"/>
        <v>0</v>
      </c>
      <c r="AB56" s="18"/>
    </row>
    <row r="57" spans="1:28" s="4" customFormat="1" x14ac:dyDescent="0.25">
      <c r="A57" s="327" t="s">
        <v>982</v>
      </c>
      <c r="B57" s="327" t="s">
        <v>983</v>
      </c>
      <c r="C57" s="372" t="s">
        <v>984</v>
      </c>
      <c r="D57" s="443">
        <v>300</v>
      </c>
      <c r="E57" s="443">
        <v>250</v>
      </c>
      <c r="F57" s="443">
        <v>60</v>
      </c>
      <c r="G57" s="434">
        <v>270</v>
      </c>
      <c r="H57" s="327">
        <v>500</v>
      </c>
      <c r="I57" s="442">
        <v>0</v>
      </c>
      <c r="J57" s="433" t="s">
        <v>122</v>
      </c>
      <c r="K57" s="327">
        <v>751120</v>
      </c>
      <c r="L57" s="448"/>
      <c r="M57" s="327" t="s">
        <v>129</v>
      </c>
      <c r="N57" s="59"/>
      <c r="O57" s="18"/>
      <c r="P57" s="135"/>
      <c r="Q57" s="18"/>
      <c r="R57" s="66">
        <v>300</v>
      </c>
      <c r="S57" s="19"/>
      <c r="T57" s="19"/>
      <c r="U57" s="18"/>
      <c r="V57" s="18"/>
      <c r="W57" s="18">
        <f t="shared" si="6"/>
        <v>0</v>
      </c>
      <c r="X57" s="118">
        <v>255000</v>
      </c>
      <c r="Y57" s="117">
        <v>246869</v>
      </c>
      <c r="Z57" s="8">
        <f t="shared" si="7"/>
        <v>76500000</v>
      </c>
      <c r="AA57" s="9">
        <f t="shared" si="8"/>
        <v>0</v>
      </c>
      <c r="AB57" s="18"/>
    </row>
    <row r="58" spans="1:28" s="4" customFormat="1" ht="15.75" customHeight="1" x14ac:dyDescent="0.25">
      <c r="A58" s="435" t="s">
        <v>985</v>
      </c>
      <c r="B58" s="327" t="s">
        <v>986</v>
      </c>
      <c r="C58" s="236">
        <v>0</v>
      </c>
      <c r="D58" s="443">
        <v>0</v>
      </c>
      <c r="E58" s="443">
        <v>10</v>
      </c>
      <c r="F58" s="443">
        <v>10</v>
      </c>
      <c r="G58" s="434"/>
      <c r="H58" s="327">
        <v>60</v>
      </c>
      <c r="I58" s="442"/>
      <c r="J58" s="433" t="s">
        <v>122</v>
      </c>
      <c r="K58" s="327">
        <v>751120</v>
      </c>
      <c r="L58" s="448"/>
      <c r="M58" s="327" t="s">
        <v>129</v>
      </c>
      <c r="N58" s="59"/>
      <c r="O58" s="18"/>
      <c r="P58" s="6"/>
      <c r="Q58" s="18"/>
      <c r="R58" s="66">
        <v>90</v>
      </c>
      <c r="S58" s="19"/>
      <c r="T58" s="19"/>
      <c r="U58" s="18"/>
      <c r="V58" s="18"/>
      <c r="W58" s="18">
        <f t="shared" si="6"/>
        <v>0</v>
      </c>
      <c r="X58" s="118">
        <v>144924</v>
      </c>
      <c r="Y58" s="117">
        <v>212900</v>
      </c>
      <c r="Z58" s="8">
        <f t="shared" si="7"/>
        <v>13043160</v>
      </c>
      <c r="AA58" s="9">
        <f t="shared" si="8"/>
        <v>0</v>
      </c>
      <c r="AB58" s="18"/>
    </row>
    <row r="59" spans="1:28" s="4" customFormat="1" x14ac:dyDescent="0.25">
      <c r="A59" s="12" t="s">
        <v>227</v>
      </c>
      <c r="B59" s="66" t="s">
        <v>987</v>
      </c>
      <c r="C59" s="66" t="s">
        <v>988</v>
      </c>
      <c r="D59" s="210">
        <v>1200</v>
      </c>
      <c r="E59" s="210">
        <v>1000</v>
      </c>
      <c r="F59" s="210">
        <v>1000</v>
      </c>
      <c r="G59" s="171">
        <v>3800</v>
      </c>
      <c r="H59" s="66">
        <v>2000</v>
      </c>
      <c r="I59" s="169"/>
      <c r="J59" s="173" t="s">
        <v>122</v>
      </c>
      <c r="K59" s="66">
        <v>751949</v>
      </c>
      <c r="L59" s="274"/>
      <c r="M59" s="66" t="s">
        <v>263</v>
      </c>
      <c r="N59" s="320" t="s">
        <v>989</v>
      </c>
      <c r="O59" s="18">
        <v>1</v>
      </c>
      <c r="P59" s="18" t="s">
        <v>990</v>
      </c>
      <c r="Q59" s="6"/>
      <c r="R59" s="66">
        <v>6000</v>
      </c>
      <c r="S59" s="19"/>
      <c r="T59" s="19"/>
      <c r="U59" s="18">
        <v>6000</v>
      </c>
      <c r="V59" s="6"/>
      <c r="W59" s="18">
        <f t="shared" si="6"/>
        <v>6000</v>
      </c>
      <c r="X59" s="118">
        <v>8160</v>
      </c>
      <c r="Y59" s="117">
        <v>8384</v>
      </c>
      <c r="Z59" s="8">
        <f t="shared" si="7"/>
        <v>48960000</v>
      </c>
      <c r="AA59" s="9">
        <f t="shared" si="8"/>
        <v>50304000</v>
      </c>
      <c r="AB59" s="6"/>
    </row>
    <row r="60" spans="1:28" s="4" customFormat="1" x14ac:dyDescent="0.25">
      <c r="A60" s="62" t="s">
        <v>230</v>
      </c>
      <c r="B60" s="62" t="s">
        <v>991</v>
      </c>
      <c r="C60" s="62">
        <v>433.33333333333331</v>
      </c>
      <c r="D60" s="444">
        <v>1000</v>
      </c>
      <c r="E60" s="444">
        <v>1300</v>
      </c>
      <c r="F60" s="444">
        <v>1500</v>
      </c>
      <c r="G60" s="171">
        <v>1450</v>
      </c>
      <c r="H60" s="66">
        <v>6500</v>
      </c>
      <c r="I60" s="337"/>
      <c r="J60" s="173" t="s">
        <v>122</v>
      </c>
      <c r="K60" s="63">
        <v>751949</v>
      </c>
      <c r="L60" s="338"/>
      <c r="M60" s="62" t="s">
        <v>263</v>
      </c>
      <c r="N60" s="320" t="s">
        <v>989</v>
      </c>
      <c r="O60" s="18">
        <v>2</v>
      </c>
      <c r="P60" s="58" t="s">
        <v>990</v>
      </c>
      <c r="Q60" s="7"/>
      <c r="R60" s="66">
        <v>10000</v>
      </c>
      <c r="S60" s="7"/>
      <c r="T60" s="7"/>
      <c r="U60" s="7">
        <v>10000</v>
      </c>
      <c r="V60" s="18"/>
      <c r="W60" s="18">
        <f t="shared" si="6"/>
        <v>10000</v>
      </c>
      <c r="X60" s="118">
        <v>7550</v>
      </c>
      <c r="Y60" s="117">
        <v>7197</v>
      </c>
      <c r="Z60" s="8">
        <f t="shared" si="7"/>
        <v>75500000</v>
      </c>
      <c r="AA60" s="9">
        <f t="shared" si="8"/>
        <v>71970000</v>
      </c>
      <c r="AB60" s="18"/>
    </row>
    <row r="61" spans="1:28" s="4" customFormat="1" x14ac:dyDescent="0.25">
      <c r="A61" s="66" t="s">
        <v>235</v>
      </c>
      <c r="B61" s="66" t="s">
        <v>992</v>
      </c>
      <c r="C61" s="66">
        <v>1006.666666666667</v>
      </c>
      <c r="D61" s="210">
        <v>1300</v>
      </c>
      <c r="E61" s="210">
        <v>1500</v>
      </c>
      <c r="F61" s="210">
        <v>1500</v>
      </c>
      <c r="G61" s="171">
        <v>6500</v>
      </c>
      <c r="H61" s="66">
        <v>9000</v>
      </c>
      <c r="I61" s="169">
        <v>3000</v>
      </c>
      <c r="J61" s="173" t="s">
        <v>122</v>
      </c>
      <c r="K61" s="63">
        <v>751949</v>
      </c>
      <c r="L61" s="449"/>
      <c r="M61" s="66" t="s">
        <v>263</v>
      </c>
      <c r="N61" s="320" t="s">
        <v>989</v>
      </c>
      <c r="O61" s="18">
        <v>3</v>
      </c>
      <c r="P61" s="24" t="s">
        <v>990</v>
      </c>
      <c r="Q61" s="18"/>
      <c r="R61" s="66">
        <f>((F61*15)-G61-I61)/2</f>
        <v>6500</v>
      </c>
      <c r="S61" s="18"/>
      <c r="T61" s="18"/>
      <c r="U61" s="18">
        <v>6500</v>
      </c>
      <c r="V61" s="18"/>
      <c r="W61" s="18">
        <f t="shared" si="6"/>
        <v>6500</v>
      </c>
      <c r="X61" s="118">
        <v>4398</v>
      </c>
      <c r="Y61" s="118">
        <v>4478</v>
      </c>
      <c r="Z61" s="8">
        <f t="shared" si="7"/>
        <v>28587000</v>
      </c>
      <c r="AA61" s="8">
        <f t="shared" si="8"/>
        <v>29107000</v>
      </c>
      <c r="AB61" s="31"/>
    </row>
    <row r="62" spans="1:28" s="36" customFormat="1" x14ac:dyDescent="0.25">
      <c r="A62" s="681"/>
      <c r="B62" s="54" t="s">
        <v>993</v>
      </c>
      <c r="C62" s="54"/>
      <c r="D62" s="171"/>
      <c r="E62" s="171">
        <v>0</v>
      </c>
      <c r="F62" s="171">
        <v>0</v>
      </c>
      <c r="G62" s="171">
        <v>0</v>
      </c>
      <c r="H62" s="66">
        <v>0</v>
      </c>
      <c r="I62" s="681"/>
      <c r="J62" s="173" t="s">
        <v>122</v>
      </c>
      <c r="K62" s="681"/>
      <c r="L62" s="681"/>
      <c r="M62" s="681"/>
      <c r="N62" s="135"/>
      <c r="O62" s="676"/>
      <c r="P62" s="676"/>
      <c r="Q62" s="676"/>
      <c r="R62" s="66">
        <f>E62*6</f>
        <v>0</v>
      </c>
      <c r="S62" s="677"/>
      <c r="T62" s="677"/>
      <c r="U62" s="676"/>
      <c r="V62" s="676"/>
      <c r="W62" s="18">
        <f t="shared" si="6"/>
        <v>0</v>
      </c>
      <c r="X62" s="189"/>
      <c r="Y62" s="190"/>
      <c r="Z62" s="8">
        <f t="shared" si="7"/>
        <v>0</v>
      </c>
      <c r="AA62" s="8">
        <f t="shared" si="8"/>
        <v>0</v>
      </c>
      <c r="AB62" s="18"/>
    </row>
    <row r="63" spans="1:28" s="36" customFormat="1" x14ac:dyDescent="0.25">
      <c r="A63" s="66" t="s">
        <v>994</v>
      </c>
      <c r="B63" s="66" t="s">
        <v>995</v>
      </c>
      <c r="C63" s="64" t="s">
        <v>996</v>
      </c>
      <c r="D63" s="54">
        <v>80</v>
      </c>
      <c r="E63" s="54">
        <v>0</v>
      </c>
      <c r="F63" s="54">
        <v>0</v>
      </c>
      <c r="G63" s="171">
        <v>0</v>
      </c>
      <c r="H63" s="66">
        <v>0</v>
      </c>
      <c r="I63" s="66"/>
      <c r="J63" s="173" t="s">
        <v>122</v>
      </c>
      <c r="K63" s="66"/>
      <c r="L63" s="66"/>
      <c r="M63" s="66"/>
      <c r="N63" s="13"/>
      <c r="O63" s="18"/>
      <c r="P63" s="18"/>
      <c r="Q63" s="18"/>
      <c r="R63" s="66">
        <f>E63*6</f>
        <v>0</v>
      </c>
      <c r="S63" s="18"/>
      <c r="T63" s="18"/>
      <c r="U63" s="18"/>
      <c r="V63" s="18"/>
      <c r="W63" s="18">
        <f t="shared" si="6"/>
        <v>0</v>
      </c>
      <c r="X63" s="118"/>
      <c r="Y63" s="117"/>
      <c r="Z63" s="8">
        <f t="shared" si="7"/>
        <v>0</v>
      </c>
      <c r="AA63" s="8">
        <f t="shared" si="8"/>
        <v>0</v>
      </c>
      <c r="AB63" s="18"/>
    </row>
    <row r="64" spans="1:28" s="4" customFormat="1" x14ac:dyDescent="0.25">
      <c r="A64" s="66" t="s">
        <v>997</v>
      </c>
      <c r="B64" s="66" t="s">
        <v>998</v>
      </c>
      <c r="C64" s="66">
        <v>1</v>
      </c>
      <c r="D64" s="169">
        <v>1</v>
      </c>
      <c r="E64" s="169">
        <v>1</v>
      </c>
      <c r="F64" s="169"/>
      <c r="G64" s="171">
        <v>0</v>
      </c>
      <c r="H64" s="66">
        <v>4</v>
      </c>
      <c r="I64" s="169"/>
      <c r="J64" s="173" t="s">
        <v>122</v>
      </c>
      <c r="K64" s="63"/>
      <c r="L64" s="66"/>
      <c r="M64" s="66"/>
      <c r="N64" s="135"/>
      <c r="O64" s="18"/>
      <c r="P64" s="18"/>
      <c r="Q64" s="18"/>
      <c r="R64" s="66">
        <v>0</v>
      </c>
      <c r="S64" s="18"/>
      <c r="T64" s="18"/>
      <c r="U64" s="18"/>
      <c r="V64" s="18"/>
      <c r="W64" s="18">
        <f t="shared" si="6"/>
        <v>0</v>
      </c>
      <c r="X64" s="118"/>
      <c r="Y64" s="117">
        <v>501780</v>
      </c>
      <c r="Z64" s="8">
        <f t="shared" si="7"/>
        <v>0</v>
      </c>
      <c r="AA64" s="8">
        <f t="shared" si="8"/>
        <v>0</v>
      </c>
      <c r="AB64" s="37"/>
    </row>
    <row r="65" spans="1:28" x14ac:dyDescent="0.25">
      <c r="A65" s="66" t="s">
        <v>999</v>
      </c>
      <c r="B65" s="66" t="s">
        <v>1000</v>
      </c>
      <c r="C65" s="66">
        <v>10</v>
      </c>
      <c r="D65" s="169">
        <v>3</v>
      </c>
      <c r="E65" s="169">
        <v>10</v>
      </c>
      <c r="F65" s="169">
        <v>10</v>
      </c>
      <c r="G65" s="171">
        <v>40</v>
      </c>
      <c r="H65" s="66">
        <v>40</v>
      </c>
      <c r="I65" s="169">
        <v>40</v>
      </c>
      <c r="J65" s="173" t="s">
        <v>122</v>
      </c>
      <c r="K65" s="66"/>
      <c r="L65" s="274"/>
      <c r="M65" s="66"/>
      <c r="N65" s="135"/>
      <c r="O65" s="18"/>
      <c r="P65" s="18"/>
      <c r="Q65" s="18"/>
      <c r="R65" s="66">
        <v>0</v>
      </c>
      <c r="S65" s="18"/>
      <c r="T65" s="18"/>
      <c r="U65" s="18"/>
      <c r="V65" s="18"/>
      <c r="W65" s="18">
        <f t="shared" si="6"/>
        <v>0</v>
      </c>
      <c r="X65" s="118">
        <v>361527.29</v>
      </c>
      <c r="Y65" s="117">
        <v>282790</v>
      </c>
      <c r="Z65" s="8">
        <f t="shared" si="7"/>
        <v>0</v>
      </c>
      <c r="AA65" s="8">
        <f t="shared" si="8"/>
        <v>0</v>
      </c>
      <c r="AB65" s="22"/>
    </row>
    <row r="66" spans="1:28" s="4" customFormat="1" x14ac:dyDescent="0.25">
      <c r="A66" s="66" t="s">
        <v>1001</v>
      </c>
      <c r="B66" s="66" t="s">
        <v>1002</v>
      </c>
      <c r="C66" s="66">
        <v>50</v>
      </c>
      <c r="D66" s="169"/>
      <c r="E66" s="169">
        <v>0</v>
      </c>
      <c r="F66" s="106">
        <v>0</v>
      </c>
      <c r="G66" s="77">
        <v>0</v>
      </c>
      <c r="H66" s="66">
        <v>0</v>
      </c>
      <c r="I66" s="169"/>
      <c r="J66" s="173" t="s">
        <v>122</v>
      </c>
      <c r="K66" s="66"/>
      <c r="L66" s="274"/>
      <c r="M66" s="68"/>
      <c r="N66" s="18"/>
      <c r="O66" s="12"/>
      <c r="P66" s="18"/>
      <c r="Q66" s="18"/>
      <c r="R66" s="66">
        <f>((F66*15)-G66-I66)/2</f>
        <v>0</v>
      </c>
      <c r="S66" s="18"/>
      <c r="T66" s="18"/>
      <c r="U66" s="18"/>
      <c r="V66" s="18"/>
      <c r="W66" s="18">
        <f t="shared" si="6"/>
        <v>0</v>
      </c>
      <c r="X66" s="152"/>
      <c r="Y66" s="153"/>
      <c r="Z66" s="8">
        <f>X66*H66</f>
        <v>0</v>
      </c>
      <c r="AA66" s="8">
        <f t="shared" si="8"/>
        <v>0</v>
      </c>
      <c r="AB66" s="279"/>
    </row>
    <row r="67" spans="1:28" s="36" customFormat="1" x14ac:dyDescent="0.25">
      <c r="A67" s="125" t="s">
        <v>1003</v>
      </c>
      <c r="B67" s="66" t="s">
        <v>1004</v>
      </c>
      <c r="C67" s="68"/>
      <c r="D67" s="66">
        <v>250</v>
      </c>
      <c r="E67" s="66">
        <v>500</v>
      </c>
      <c r="F67" s="425">
        <v>500</v>
      </c>
      <c r="G67" s="171">
        <v>6000</v>
      </c>
      <c r="H67" s="66">
        <v>3000</v>
      </c>
      <c r="I67" s="66"/>
      <c r="J67" s="173" t="s">
        <v>122</v>
      </c>
      <c r="K67" s="66"/>
      <c r="L67" s="66"/>
      <c r="M67" s="336"/>
      <c r="N67" s="21"/>
      <c r="O67" s="18"/>
      <c r="P67" s="18"/>
      <c r="Q67" s="18"/>
      <c r="R67" s="66">
        <v>0</v>
      </c>
      <c r="S67" s="18"/>
      <c r="T67" s="18"/>
      <c r="U67" s="18"/>
      <c r="V67" s="18"/>
      <c r="W67" s="18">
        <f t="shared" ref="W67:W79" si="9">U67+V67</f>
        <v>0</v>
      </c>
      <c r="X67" s="118">
        <v>620</v>
      </c>
      <c r="Y67" s="117">
        <v>895</v>
      </c>
      <c r="Z67" s="8">
        <f>R67*X67</f>
        <v>0</v>
      </c>
      <c r="AA67" s="8">
        <f t="shared" si="8"/>
        <v>0</v>
      </c>
      <c r="AB67" s="18"/>
    </row>
    <row r="68" spans="1:28" s="36" customFormat="1" x14ac:dyDescent="0.25">
      <c r="A68" s="68" t="s">
        <v>1005</v>
      </c>
      <c r="B68" s="68" t="s">
        <v>1006</v>
      </c>
      <c r="C68" s="68">
        <v>700</v>
      </c>
      <c r="D68" s="66"/>
      <c r="E68" s="66">
        <v>100</v>
      </c>
      <c r="F68" s="425"/>
      <c r="G68" s="171">
        <v>720</v>
      </c>
      <c r="H68" s="66">
        <v>600</v>
      </c>
      <c r="I68" s="66"/>
      <c r="J68" s="173" t="s">
        <v>122</v>
      </c>
      <c r="K68" s="66"/>
      <c r="L68" s="66"/>
      <c r="M68" s="68"/>
      <c r="N68" s="21"/>
      <c r="O68" s="18"/>
      <c r="P68" s="18"/>
      <c r="Q68" s="18"/>
      <c r="R68" s="66">
        <v>0</v>
      </c>
      <c r="S68" s="18"/>
      <c r="T68" s="18"/>
      <c r="U68" s="18"/>
      <c r="V68" s="18"/>
      <c r="W68" s="18">
        <f t="shared" si="9"/>
        <v>0</v>
      </c>
      <c r="X68" s="118">
        <v>126.15</v>
      </c>
      <c r="Y68" s="117">
        <v>120.65</v>
      </c>
      <c r="Z68" s="8">
        <f>R68*X68</f>
        <v>0</v>
      </c>
      <c r="AA68" s="8">
        <f t="shared" si="8"/>
        <v>0</v>
      </c>
      <c r="AB68" s="18"/>
    </row>
    <row r="69" spans="1:28" s="36" customFormat="1" x14ac:dyDescent="0.25">
      <c r="A69" s="96" t="s">
        <v>1007</v>
      </c>
      <c r="B69" s="96" t="s">
        <v>1008</v>
      </c>
      <c r="C69" s="104"/>
      <c r="D69" s="54"/>
      <c r="E69" s="54">
        <v>10</v>
      </c>
      <c r="F69" s="54">
        <v>0</v>
      </c>
      <c r="G69" s="171">
        <v>30</v>
      </c>
      <c r="H69" s="66">
        <v>30</v>
      </c>
      <c r="I69" s="54">
        <v>500</v>
      </c>
      <c r="J69" s="173" t="s">
        <v>122</v>
      </c>
      <c r="K69" s="66"/>
      <c r="L69" s="54"/>
      <c r="M69" s="54"/>
      <c r="N69" s="135"/>
      <c r="O69" s="12"/>
      <c r="P69" s="12"/>
      <c r="Q69" s="12"/>
      <c r="R69" s="66">
        <v>0</v>
      </c>
      <c r="S69" s="12"/>
      <c r="T69" s="12"/>
      <c r="U69" s="12"/>
      <c r="V69" s="12"/>
      <c r="W69" s="18">
        <f t="shared" si="9"/>
        <v>0</v>
      </c>
      <c r="X69" s="154">
        <v>5748.09</v>
      </c>
      <c r="Y69" s="119">
        <v>8850</v>
      </c>
      <c r="Z69" s="8">
        <f>R69*X69</f>
        <v>0</v>
      </c>
      <c r="AA69" s="8">
        <f t="shared" si="8"/>
        <v>0</v>
      </c>
      <c r="AB69" s="18"/>
    </row>
    <row r="70" spans="1:28" s="36" customFormat="1" x14ac:dyDescent="0.25">
      <c r="A70" s="66" t="s">
        <v>1009</v>
      </c>
      <c r="B70" s="66" t="s">
        <v>1010</v>
      </c>
      <c r="C70" s="66"/>
      <c r="D70" s="54"/>
      <c r="E70" s="54">
        <v>56</v>
      </c>
      <c r="F70" s="54">
        <v>10</v>
      </c>
      <c r="G70" s="171">
        <v>75</v>
      </c>
      <c r="H70" s="66">
        <v>0</v>
      </c>
      <c r="I70" s="66"/>
      <c r="J70" s="173" t="s">
        <v>122</v>
      </c>
      <c r="K70" s="66"/>
      <c r="L70" s="66"/>
      <c r="M70" s="66"/>
      <c r="N70" s="21"/>
      <c r="O70" s="18"/>
      <c r="P70" s="18"/>
      <c r="Q70" s="6"/>
      <c r="R70" s="66">
        <v>0</v>
      </c>
      <c r="S70" s="19"/>
      <c r="T70" s="19"/>
      <c r="U70" s="18"/>
      <c r="V70" s="6"/>
      <c r="W70" s="18">
        <f t="shared" si="9"/>
        <v>0</v>
      </c>
      <c r="X70" s="118">
        <v>227579</v>
      </c>
      <c r="Y70" s="117">
        <v>257999</v>
      </c>
      <c r="Z70" s="8">
        <f>R70*X70</f>
        <v>0</v>
      </c>
      <c r="AA70" s="8">
        <f t="shared" si="8"/>
        <v>0</v>
      </c>
      <c r="AB70" s="18"/>
    </row>
    <row r="71" spans="1:28" s="36" customFormat="1" x14ac:dyDescent="0.25">
      <c r="A71" s="66" t="s">
        <v>1011</v>
      </c>
      <c r="B71" s="66" t="s">
        <v>1012</v>
      </c>
      <c r="C71" s="66">
        <v>70</v>
      </c>
      <c r="D71" s="66">
        <v>250</v>
      </c>
      <c r="E71" s="66">
        <v>700</v>
      </c>
      <c r="F71" s="66"/>
      <c r="G71" s="171">
        <v>3024</v>
      </c>
      <c r="H71" s="66">
        <v>4800</v>
      </c>
      <c r="I71" s="66"/>
      <c r="J71" s="173" t="s">
        <v>122</v>
      </c>
      <c r="K71" s="66"/>
      <c r="L71" s="66"/>
      <c r="M71" s="66"/>
      <c r="N71" s="21"/>
      <c r="O71" s="18"/>
      <c r="P71" s="18"/>
      <c r="Q71" s="18"/>
      <c r="R71" s="66">
        <v>0</v>
      </c>
      <c r="S71" s="18"/>
      <c r="T71" s="18"/>
      <c r="U71" s="18"/>
      <c r="V71" s="18"/>
      <c r="W71" s="18">
        <f t="shared" si="9"/>
        <v>0</v>
      </c>
      <c r="X71" s="118">
        <v>182.26</v>
      </c>
      <c r="Y71" s="117">
        <v>174.7</v>
      </c>
      <c r="Z71" s="8">
        <f>R71*X71</f>
        <v>0</v>
      </c>
      <c r="AA71" s="8">
        <f t="shared" si="8"/>
        <v>0</v>
      </c>
      <c r="AB71" s="18"/>
    </row>
    <row r="72" spans="1:28" s="36" customFormat="1" x14ac:dyDescent="0.25">
      <c r="A72" s="66" t="s">
        <v>1013</v>
      </c>
      <c r="B72" s="54" t="s">
        <v>1014</v>
      </c>
      <c r="C72" s="54">
        <v>130</v>
      </c>
      <c r="D72" s="66"/>
      <c r="E72" s="66">
        <v>0</v>
      </c>
      <c r="F72" s="66"/>
      <c r="G72" s="171">
        <v>0</v>
      </c>
      <c r="H72" s="66">
        <v>0</v>
      </c>
      <c r="I72" s="66"/>
      <c r="J72" s="173" t="s">
        <v>122</v>
      </c>
      <c r="K72" s="66"/>
      <c r="L72" s="66"/>
      <c r="M72" s="66"/>
      <c r="N72" s="18"/>
      <c r="O72" s="18"/>
      <c r="P72" s="6"/>
      <c r="Q72" s="18"/>
      <c r="R72" s="66">
        <f>((F72*15)-G72-I72)/2</f>
        <v>0</v>
      </c>
      <c r="S72" s="18"/>
      <c r="T72" s="18"/>
      <c r="U72" s="23"/>
      <c r="V72" s="18"/>
      <c r="W72" s="18">
        <f t="shared" si="9"/>
        <v>0</v>
      </c>
      <c r="X72" s="118"/>
      <c r="Y72" s="117"/>
      <c r="Z72" s="8">
        <f>X72*H72</f>
        <v>0</v>
      </c>
      <c r="AA72" s="8">
        <f t="shared" si="8"/>
        <v>0</v>
      </c>
      <c r="AB72" s="18"/>
    </row>
    <row r="73" spans="1:28" x14ac:dyDescent="0.25">
      <c r="A73" s="273" t="s">
        <v>1015</v>
      </c>
      <c r="B73" s="273" t="s">
        <v>1016</v>
      </c>
      <c r="C73" s="273" t="s">
        <v>1017</v>
      </c>
      <c r="D73" s="169"/>
      <c r="E73" s="169">
        <v>20</v>
      </c>
      <c r="F73" s="169">
        <v>20</v>
      </c>
      <c r="G73" s="166">
        <v>263</v>
      </c>
      <c r="H73" s="66">
        <v>0</v>
      </c>
      <c r="I73" s="169"/>
      <c r="J73" s="173" t="s">
        <v>122</v>
      </c>
      <c r="K73" s="66"/>
      <c r="L73" s="274"/>
      <c r="M73" s="66"/>
      <c r="N73" s="13"/>
      <c r="O73" s="18"/>
      <c r="P73" s="18"/>
      <c r="Q73" s="18"/>
      <c r="R73" s="66">
        <v>0</v>
      </c>
      <c r="S73" s="52"/>
      <c r="T73" s="52"/>
      <c r="U73" s="18"/>
      <c r="V73" s="18"/>
      <c r="W73" s="18">
        <f t="shared" si="9"/>
        <v>0</v>
      </c>
      <c r="X73" s="118">
        <v>6874.2</v>
      </c>
      <c r="Y73" s="117">
        <v>7274</v>
      </c>
      <c r="Z73" s="8">
        <f>R73*X73</f>
        <v>0</v>
      </c>
      <c r="AA73" s="8">
        <f t="shared" si="8"/>
        <v>0</v>
      </c>
      <c r="AB73" s="18"/>
    </row>
    <row r="74" spans="1:28" x14ac:dyDescent="0.25">
      <c r="A74" s="66" t="s">
        <v>1018</v>
      </c>
      <c r="B74" s="63" t="s">
        <v>1019</v>
      </c>
      <c r="C74" s="63"/>
      <c r="D74" s="169"/>
      <c r="E74" s="169">
        <v>30</v>
      </c>
      <c r="F74" s="169">
        <v>30</v>
      </c>
      <c r="G74" s="171">
        <v>330</v>
      </c>
      <c r="H74" s="66">
        <v>180</v>
      </c>
      <c r="I74" s="169"/>
      <c r="J74" s="173" t="s">
        <v>122</v>
      </c>
      <c r="K74" s="66"/>
      <c r="L74" s="274"/>
      <c r="M74" s="66"/>
      <c r="N74" s="13"/>
      <c r="O74" s="18"/>
      <c r="P74" s="24"/>
      <c r="Q74" s="6"/>
      <c r="R74" s="66">
        <v>0</v>
      </c>
      <c r="S74" s="18"/>
      <c r="T74" s="18"/>
      <c r="U74" s="18"/>
      <c r="V74" s="6"/>
      <c r="W74" s="18">
        <f t="shared" si="9"/>
        <v>0</v>
      </c>
      <c r="X74" s="118">
        <v>17300</v>
      </c>
      <c r="Y74" s="117">
        <v>19800</v>
      </c>
      <c r="Z74" s="8">
        <f>H74*X74</f>
        <v>3114000</v>
      </c>
      <c r="AA74" s="8">
        <f t="shared" si="8"/>
        <v>0</v>
      </c>
      <c r="AB74" s="6"/>
    </row>
    <row r="75" spans="1:28" x14ac:dyDescent="0.25">
      <c r="A75" s="96" t="s">
        <v>1020</v>
      </c>
      <c r="B75" s="96" t="s">
        <v>1021</v>
      </c>
      <c r="C75" s="63"/>
      <c r="D75" s="169"/>
      <c r="E75" s="169">
        <v>0</v>
      </c>
      <c r="F75" s="169"/>
      <c r="G75" s="171"/>
      <c r="H75" s="66">
        <v>0</v>
      </c>
      <c r="I75" s="169"/>
      <c r="J75" s="173" t="s">
        <v>122</v>
      </c>
      <c r="K75" s="66"/>
      <c r="L75" s="274"/>
      <c r="M75" s="66"/>
      <c r="N75" s="18"/>
      <c r="O75" s="18"/>
      <c r="P75" s="24"/>
      <c r="Q75" s="6"/>
      <c r="R75" s="66">
        <f>((F75*15)-G75-I75)/2</f>
        <v>0</v>
      </c>
      <c r="S75" s="18"/>
      <c r="T75" s="18"/>
      <c r="U75" s="18"/>
      <c r="V75" s="6"/>
      <c r="W75" s="18">
        <f t="shared" si="9"/>
        <v>0</v>
      </c>
      <c r="X75" s="118"/>
      <c r="Y75" s="117"/>
      <c r="Z75" s="8">
        <f>R75*X75</f>
        <v>0</v>
      </c>
      <c r="AA75" s="8">
        <f t="shared" si="8"/>
        <v>0</v>
      </c>
      <c r="AB75" s="18"/>
    </row>
    <row r="76" spans="1:28" s="4" customFormat="1" x14ac:dyDescent="0.25">
      <c r="A76" s="104" t="s">
        <v>1022</v>
      </c>
      <c r="B76" s="96" t="s">
        <v>1023</v>
      </c>
      <c r="C76" s="104"/>
      <c r="D76" s="210"/>
      <c r="E76" s="210">
        <v>20</v>
      </c>
      <c r="F76" s="210">
        <v>0</v>
      </c>
      <c r="G76" s="171">
        <v>200</v>
      </c>
      <c r="H76" s="66">
        <v>100</v>
      </c>
      <c r="I76" s="210"/>
      <c r="J76" s="173" t="s">
        <v>122</v>
      </c>
      <c r="K76" s="66"/>
      <c r="L76" s="367"/>
      <c r="M76" s="54"/>
      <c r="N76" s="13"/>
      <c r="O76" s="12"/>
      <c r="P76" s="24"/>
      <c r="Q76" s="12"/>
      <c r="R76" s="66">
        <v>0</v>
      </c>
      <c r="S76" s="12"/>
      <c r="T76" s="12"/>
      <c r="U76" s="12"/>
      <c r="V76" s="12"/>
      <c r="W76" s="18">
        <f t="shared" si="9"/>
        <v>0</v>
      </c>
      <c r="X76" s="154">
        <v>26200</v>
      </c>
      <c r="Y76" s="119">
        <v>26150</v>
      </c>
      <c r="Z76" s="8">
        <f>X76*H76</f>
        <v>2620000</v>
      </c>
      <c r="AA76" s="9">
        <f t="shared" si="8"/>
        <v>0</v>
      </c>
      <c r="AB76" s="18"/>
    </row>
    <row r="77" spans="1:28" s="4" customFormat="1" x14ac:dyDescent="0.25">
      <c r="A77" s="66" t="s">
        <v>1024</v>
      </c>
      <c r="B77" s="66" t="s">
        <v>1025</v>
      </c>
      <c r="C77" s="54">
        <v>0</v>
      </c>
      <c r="D77" s="333">
        <v>100</v>
      </c>
      <c r="E77" s="333">
        <v>100</v>
      </c>
      <c r="F77" s="333"/>
      <c r="G77" s="171">
        <v>300</v>
      </c>
      <c r="H77" s="66">
        <v>600</v>
      </c>
      <c r="I77" s="169"/>
      <c r="J77" s="173" t="s">
        <v>122</v>
      </c>
      <c r="K77" s="66"/>
      <c r="L77" s="274"/>
      <c r="M77" s="66"/>
      <c r="N77" s="13"/>
      <c r="O77" s="18"/>
      <c r="P77" s="6"/>
      <c r="Q77" s="18"/>
      <c r="R77" s="66">
        <v>0</v>
      </c>
      <c r="S77" s="18"/>
      <c r="T77" s="18"/>
      <c r="U77" s="18"/>
      <c r="V77" s="18"/>
      <c r="W77" s="18">
        <f t="shared" si="9"/>
        <v>0</v>
      </c>
      <c r="X77" s="118">
        <v>3846</v>
      </c>
      <c r="Y77" s="117">
        <v>3390</v>
      </c>
      <c r="Z77" s="8">
        <f>R77*X77</f>
        <v>0</v>
      </c>
      <c r="AA77" s="9">
        <f t="shared" si="8"/>
        <v>0</v>
      </c>
      <c r="AB77" s="18"/>
    </row>
    <row r="78" spans="1:28" s="4" customFormat="1" x14ac:dyDescent="0.25">
      <c r="A78" s="66" t="s">
        <v>1026</v>
      </c>
      <c r="B78" s="66" t="s">
        <v>1027</v>
      </c>
      <c r="C78" s="66"/>
      <c r="D78" s="169">
        <v>10</v>
      </c>
      <c r="E78" s="169">
        <v>10</v>
      </c>
      <c r="F78" s="169">
        <v>5</v>
      </c>
      <c r="G78" s="171">
        <v>80</v>
      </c>
      <c r="H78" s="66">
        <v>60</v>
      </c>
      <c r="I78" s="169"/>
      <c r="J78" s="173" t="s">
        <v>122</v>
      </c>
      <c r="K78" s="66"/>
      <c r="L78" s="274"/>
      <c r="M78" s="66"/>
      <c r="N78" s="13"/>
      <c r="O78" s="18"/>
      <c r="P78" s="24"/>
      <c r="Q78" s="18"/>
      <c r="R78" s="66">
        <v>0</v>
      </c>
      <c r="S78" s="18"/>
      <c r="T78" s="18"/>
      <c r="U78" s="18"/>
      <c r="V78" s="18"/>
      <c r="W78" s="18">
        <f t="shared" si="9"/>
        <v>0</v>
      </c>
      <c r="X78" s="118">
        <v>20895</v>
      </c>
      <c r="Y78" s="117">
        <v>17990</v>
      </c>
      <c r="Z78" s="8">
        <f>R78*X78</f>
        <v>0</v>
      </c>
      <c r="AA78" s="8">
        <f t="shared" si="8"/>
        <v>0</v>
      </c>
      <c r="AB78" s="37"/>
    </row>
    <row r="79" spans="1:28" s="4" customFormat="1" x14ac:dyDescent="0.25">
      <c r="A79" s="327" t="s">
        <v>1028</v>
      </c>
      <c r="B79" s="327" t="s">
        <v>1029</v>
      </c>
      <c r="C79" s="236">
        <v>120</v>
      </c>
      <c r="D79" s="468">
        <v>120</v>
      </c>
      <c r="E79" s="468">
        <v>160</v>
      </c>
      <c r="F79" s="468">
        <v>180</v>
      </c>
      <c r="G79" s="434">
        <v>360</v>
      </c>
      <c r="H79" s="327">
        <v>1880</v>
      </c>
      <c r="I79" s="442"/>
      <c r="J79" s="433" t="s">
        <v>122</v>
      </c>
      <c r="K79" s="327"/>
      <c r="L79" s="448"/>
      <c r="M79" s="327" t="s">
        <v>129</v>
      </c>
      <c r="N79" s="13"/>
      <c r="O79" s="18"/>
      <c r="P79" s="6"/>
      <c r="Q79" s="6"/>
      <c r="R79" s="66">
        <v>1200</v>
      </c>
      <c r="S79" s="18"/>
      <c r="T79" s="18"/>
      <c r="U79" s="18"/>
      <c r="V79" s="6"/>
      <c r="W79" s="18">
        <f t="shared" si="9"/>
        <v>0</v>
      </c>
      <c r="X79" s="118">
        <v>284500</v>
      </c>
      <c r="Y79" s="117">
        <v>328559</v>
      </c>
      <c r="Z79" s="8">
        <f>R79*X79</f>
        <v>341400000</v>
      </c>
      <c r="AA79" s="8">
        <f t="shared" si="8"/>
        <v>0</v>
      </c>
      <c r="AB79" s="38"/>
    </row>
    <row r="80" spans="1:28" x14ac:dyDescent="0.25">
      <c r="Z80" s="598">
        <f>SUM(Z10:Z79)</f>
        <v>899491277.39999998</v>
      </c>
      <c r="AA80" s="598">
        <f>SUM(AA3:AA79)</f>
        <v>732179330</v>
      </c>
    </row>
    <row r="140" spans="13:28" x14ac:dyDescent="0.25"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42"/>
      <c r="Y140" s="142"/>
      <c r="AB140" s="2"/>
    </row>
    <row r="141" spans="13:28" x14ac:dyDescent="0.25"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142"/>
      <c r="Y141" s="142"/>
      <c r="AB141" s="2"/>
    </row>
    <row r="142" spans="13:28" x14ac:dyDescent="0.25"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142"/>
      <c r="Y142" s="142"/>
      <c r="AB142" s="2"/>
    </row>
    <row r="143" spans="13:28" x14ac:dyDescent="0.25"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142"/>
      <c r="Y143" s="142"/>
      <c r="AB143" s="2"/>
    </row>
    <row r="144" spans="13:28" x14ac:dyDescent="0.25"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142"/>
      <c r="Y144" s="142"/>
      <c r="AB144" s="2"/>
    </row>
    <row r="145" spans="13:28" x14ac:dyDescent="0.25"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142"/>
      <c r="Y145" s="142"/>
      <c r="AB145" s="2"/>
    </row>
    <row r="146" spans="13:28" x14ac:dyDescent="0.25"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142"/>
      <c r="Y146" s="142"/>
      <c r="AB146" s="2"/>
    </row>
    <row r="147" spans="13:28" x14ac:dyDescent="0.25"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142"/>
      <c r="Y147" s="142"/>
      <c r="AB147" s="2"/>
    </row>
    <row r="148" spans="13:28" x14ac:dyDescent="0.25"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142"/>
      <c r="Y148" s="142"/>
      <c r="AB148" s="2"/>
    </row>
    <row r="149" spans="13:28" x14ac:dyDescent="0.25"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142"/>
      <c r="Y149" s="142"/>
      <c r="AB149" s="2"/>
    </row>
    <row r="150" spans="13:28" x14ac:dyDescent="0.25"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142"/>
      <c r="Y150" s="142"/>
      <c r="AB150" s="2"/>
    </row>
    <row r="151" spans="13:28" x14ac:dyDescent="0.25"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142"/>
      <c r="Y151" s="142"/>
      <c r="AB151" s="2"/>
    </row>
    <row r="152" spans="13:28" x14ac:dyDescent="0.25"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142"/>
      <c r="Y152" s="142"/>
      <c r="AB152" s="2"/>
    </row>
    <row r="153" spans="13:28" x14ac:dyDescent="0.25"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142"/>
      <c r="Y153" s="142"/>
      <c r="AB153" s="2"/>
    </row>
    <row r="154" spans="13:28" x14ac:dyDescent="0.25"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142"/>
      <c r="Y154" s="142"/>
      <c r="AB154" s="2"/>
    </row>
    <row r="155" spans="13:28" x14ac:dyDescent="0.25"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142"/>
      <c r="Y155" s="142"/>
      <c r="AB155" s="2"/>
    </row>
    <row r="1048576" spans="14:14" x14ac:dyDescent="0.25">
      <c r="N1048576" s="21"/>
    </row>
  </sheetData>
  <autoFilter ref="A2:AB22">
    <sortState ref="A4:AC79">
      <sortCondition ref="K2:K22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C1048568"/>
  <sheetViews>
    <sheetView topLeftCell="K1" zoomScaleNormal="100" workbookViewId="0">
      <pane ySplit="2" topLeftCell="A3" activePane="bottomLeft" state="frozen"/>
      <selection pane="bottomLeft" activeCell="V20" sqref="V20"/>
    </sheetView>
  </sheetViews>
  <sheetFormatPr baseColWidth="10" defaultColWidth="11.42578125" defaultRowHeight="15" x14ac:dyDescent="0.25"/>
  <cols>
    <col min="1" max="1" width="11.85546875" customWidth="1"/>
    <col min="2" max="2" width="53.85546875" customWidth="1"/>
    <col min="3" max="6" width="11.85546875" hidden="1" customWidth="1"/>
    <col min="7" max="7" width="11.28515625" style="2" hidden="1" customWidth="1"/>
    <col min="8" max="9" width="11.42578125" hidden="1" customWidth="1"/>
    <col min="10" max="10" width="16.7109375" hidden="1" customWidth="1"/>
    <col min="11" max="11" width="8.140625" customWidth="1"/>
    <col min="12" max="12" width="9.85546875" hidden="1" customWidth="1"/>
    <col min="13" max="13" width="14.28515625" customWidth="1"/>
    <col min="14" max="14" width="6.85546875" customWidth="1"/>
    <col min="15" max="15" width="8.42578125" customWidth="1"/>
    <col min="16" max="17" width="7.42578125" customWidth="1"/>
    <col min="18" max="20" width="11.42578125" customWidth="1"/>
    <col min="21" max="21" width="13" customWidth="1"/>
    <col min="22" max="22" width="11.28515625" customWidth="1"/>
    <col min="23" max="23" width="13.7109375" customWidth="1"/>
    <col min="24" max="25" width="13.28515625" style="143" customWidth="1"/>
    <col min="26" max="26" width="17.85546875" customWidth="1"/>
    <col min="27" max="27" width="18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63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63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5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3"/>
    </row>
    <row r="3" spans="1:28" s="4" customFormat="1" x14ac:dyDescent="0.25">
      <c r="A3" s="66" t="s">
        <v>1030</v>
      </c>
      <c r="B3" s="66" t="s">
        <v>1031</v>
      </c>
      <c r="C3" s="66"/>
      <c r="D3" s="66"/>
      <c r="E3" s="66">
        <v>60</v>
      </c>
      <c r="F3" s="66">
        <v>0</v>
      </c>
      <c r="G3" s="171">
        <v>0</v>
      </c>
      <c r="H3" s="62">
        <v>1200</v>
      </c>
      <c r="I3" s="66"/>
      <c r="J3" s="276"/>
      <c r="K3" s="121">
        <v>755792</v>
      </c>
      <c r="L3" s="66"/>
      <c r="M3" s="66" t="s">
        <v>272</v>
      </c>
      <c r="N3" s="64" t="s">
        <v>1032</v>
      </c>
      <c r="O3" s="54">
        <v>1</v>
      </c>
      <c r="P3" s="7" t="s">
        <v>1033</v>
      </c>
      <c r="Q3" s="25"/>
      <c r="R3" s="7">
        <v>450</v>
      </c>
      <c r="S3" s="7"/>
      <c r="T3" s="7"/>
      <c r="U3" s="7">
        <v>450</v>
      </c>
      <c r="V3" s="7"/>
      <c r="W3" s="7">
        <f t="shared" ref="W3:W34" si="0">U3+V3</f>
        <v>450</v>
      </c>
      <c r="X3" s="158">
        <v>659.95</v>
      </c>
      <c r="Y3" s="159">
        <v>675.83</v>
      </c>
      <c r="Z3" s="9">
        <f t="shared" ref="Z3:Z34" si="1">R3*X3</f>
        <v>296977.5</v>
      </c>
      <c r="AA3" s="256">
        <f t="shared" ref="AA3:AA34" si="2">W3*Y3</f>
        <v>304123.5</v>
      </c>
      <c r="AB3" s="36"/>
    </row>
    <row r="4" spans="1:28" s="4" customFormat="1" x14ac:dyDescent="0.25">
      <c r="A4" s="66" t="s">
        <v>1034</v>
      </c>
      <c r="B4" s="66" t="s">
        <v>1944</v>
      </c>
      <c r="C4" s="54">
        <v>150</v>
      </c>
      <c r="D4" s="186">
        <v>120</v>
      </c>
      <c r="E4" s="186">
        <v>300</v>
      </c>
      <c r="F4" s="186">
        <v>300</v>
      </c>
      <c r="G4" s="171">
        <v>0</v>
      </c>
      <c r="H4" s="62">
        <v>2300</v>
      </c>
      <c r="I4" s="66">
        <v>0</v>
      </c>
      <c r="J4" s="296" t="s">
        <v>122</v>
      </c>
      <c r="K4" s="121">
        <v>755792</v>
      </c>
      <c r="L4" s="66"/>
      <c r="M4" s="66" t="s">
        <v>263</v>
      </c>
      <c r="N4" s="64" t="s">
        <v>1032</v>
      </c>
      <c r="O4" s="66">
        <v>2</v>
      </c>
      <c r="P4" s="7" t="s">
        <v>1035</v>
      </c>
      <c r="Q4" s="7" t="s">
        <v>2004</v>
      </c>
      <c r="R4" s="7">
        <v>2500</v>
      </c>
      <c r="S4" s="7"/>
      <c r="T4" s="7"/>
      <c r="U4" s="7">
        <v>2500</v>
      </c>
      <c r="V4" s="18">
        <v>1000</v>
      </c>
      <c r="W4" s="7">
        <f t="shared" si="0"/>
        <v>3500</v>
      </c>
      <c r="X4" s="149">
        <v>1615</v>
      </c>
      <c r="Y4" s="149">
        <v>3772.73</v>
      </c>
      <c r="Z4" s="9">
        <f t="shared" si="1"/>
        <v>4037500</v>
      </c>
      <c r="AA4" s="256">
        <f t="shared" si="2"/>
        <v>13204555</v>
      </c>
      <c r="AB4" s="18"/>
    </row>
    <row r="5" spans="1:28" s="4" customFormat="1" x14ac:dyDescent="0.25">
      <c r="A5" s="273" t="s">
        <v>193</v>
      </c>
      <c r="B5" s="273" t="s">
        <v>1036</v>
      </c>
      <c r="C5" s="66">
        <v>10000</v>
      </c>
      <c r="D5" s="186">
        <v>8300</v>
      </c>
      <c r="E5" s="186">
        <v>9000</v>
      </c>
      <c r="F5" s="186">
        <v>9000</v>
      </c>
      <c r="G5" s="171">
        <v>61000</v>
      </c>
      <c r="H5" s="62">
        <v>54000</v>
      </c>
      <c r="I5" s="66">
        <v>0</v>
      </c>
      <c r="J5" s="296" t="s">
        <v>122</v>
      </c>
      <c r="K5" s="121">
        <v>755792</v>
      </c>
      <c r="L5" s="66"/>
      <c r="M5" s="66" t="s">
        <v>1037</v>
      </c>
      <c r="N5" s="64" t="s">
        <v>1032</v>
      </c>
      <c r="O5" s="66">
        <v>3</v>
      </c>
      <c r="P5" s="7" t="s">
        <v>1038</v>
      </c>
      <c r="Q5" s="18" t="s">
        <v>2003</v>
      </c>
      <c r="R5" s="7">
        <v>40000</v>
      </c>
      <c r="S5" s="7"/>
      <c r="T5" s="7"/>
      <c r="U5" s="7">
        <v>40000</v>
      </c>
      <c r="V5" s="7">
        <v>8000</v>
      </c>
      <c r="W5" s="7">
        <f t="shared" si="0"/>
        <v>48000</v>
      </c>
      <c r="X5" s="118">
        <v>79.5</v>
      </c>
      <c r="Y5" s="118">
        <v>69.989999999999995</v>
      </c>
      <c r="Z5" s="9">
        <f t="shared" si="1"/>
        <v>3180000</v>
      </c>
      <c r="AA5" s="256">
        <f t="shared" si="2"/>
        <v>3359519.9999999995</v>
      </c>
      <c r="AB5" s="18"/>
    </row>
    <row r="6" spans="1:28" s="4" customFormat="1" ht="15" customHeight="1" x14ac:dyDescent="0.25">
      <c r="A6" s="66" t="s">
        <v>1039</v>
      </c>
      <c r="B6" s="54" t="s">
        <v>1040</v>
      </c>
      <c r="C6" s="54">
        <v>1500</v>
      </c>
      <c r="D6" s="295">
        <v>1400</v>
      </c>
      <c r="E6" s="295">
        <v>1400</v>
      </c>
      <c r="F6" s="295">
        <v>1400</v>
      </c>
      <c r="G6" s="171">
        <v>1000</v>
      </c>
      <c r="H6" s="62">
        <v>11915</v>
      </c>
      <c r="I6" s="66">
        <v>0</v>
      </c>
      <c r="J6" s="296" t="s">
        <v>122</v>
      </c>
      <c r="K6" s="121">
        <v>755792</v>
      </c>
      <c r="L6" s="66"/>
      <c r="M6" s="66" t="s">
        <v>263</v>
      </c>
      <c r="N6" s="64" t="s">
        <v>1032</v>
      </c>
      <c r="O6" s="66">
        <v>4</v>
      </c>
      <c r="P6" s="7" t="s">
        <v>1035</v>
      </c>
      <c r="Q6" s="7" t="s">
        <v>2004</v>
      </c>
      <c r="R6" s="7">
        <f>((F6*15)-G6-I6)/2</f>
        <v>10000</v>
      </c>
      <c r="S6" s="7"/>
      <c r="T6" s="7"/>
      <c r="U6" s="7">
        <v>10000</v>
      </c>
      <c r="V6" s="18">
        <v>5000</v>
      </c>
      <c r="W6" s="7">
        <f t="shared" si="0"/>
        <v>15000</v>
      </c>
      <c r="X6" s="149">
        <v>205</v>
      </c>
      <c r="Y6" s="149">
        <v>456.18</v>
      </c>
      <c r="Z6" s="9">
        <f t="shared" si="1"/>
        <v>2050000</v>
      </c>
      <c r="AA6" s="256">
        <f t="shared" si="2"/>
        <v>6842700</v>
      </c>
      <c r="AB6" s="18"/>
    </row>
    <row r="7" spans="1:28" s="4" customFormat="1" ht="18" customHeight="1" x14ac:dyDescent="0.25">
      <c r="A7" s="68" t="s">
        <v>199</v>
      </c>
      <c r="B7" s="66" t="s">
        <v>1041</v>
      </c>
      <c r="C7" s="66">
        <v>300</v>
      </c>
      <c r="D7" s="186">
        <v>450</v>
      </c>
      <c r="E7" s="186">
        <v>400</v>
      </c>
      <c r="F7" s="186">
        <v>400</v>
      </c>
      <c r="G7" s="171">
        <v>1090</v>
      </c>
      <c r="H7" s="62">
        <v>3900</v>
      </c>
      <c r="I7" s="66">
        <v>118</v>
      </c>
      <c r="J7" s="296" t="s">
        <v>122</v>
      </c>
      <c r="K7" s="121">
        <v>755792</v>
      </c>
      <c r="L7" s="66"/>
      <c r="M7" s="66" t="s">
        <v>1037</v>
      </c>
      <c r="N7" s="64" t="s">
        <v>1032</v>
      </c>
      <c r="O7" s="66">
        <v>5</v>
      </c>
      <c r="P7" s="7" t="s">
        <v>1038</v>
      </c>
      <c r="Q7" s="18" t="s">
        <v>2003</v>
      </c>
      <c r="R7" s="7">
        <v>2500</v>
      </c>
      <c r="S7" s="7"/>
      <c r="T7" s="7"/>
      <c r="U7" s="7">
        <v>2500</v>
      </c>
      <c r="V7" s="18">
        <v>500</v>
      </c>
      <c r="W7" s="7">
        <f t="shared" si="0"/>
        <v>3000</v>
      </c>
      <c r="X7" s="149">
        <v>43.2</v>
      </c>
      <c r="Y7" s="149">
        <v>41.99</v>
      </c>
      <c r="Z7" s="9">
        <f t="shared" si="1"/>
        <v>108000</v>
      </c>
      <c r="AA7" s="256">
        <f t="shared" si="2"/>
        <v>125970</v>
      </c>
      <c r="AB7" s="18"/>
    </row>
    <row r="8" spans="1:28" s="4" customFormat="1" x14ac:dyDescent="0.25">
      <c r="A8" s="66" t="s">
        <v>1042</v>
      </c>
      <c r="B8" s="66" t="s">
        <v>1043</v>
      </c>
      <c r="C8" s="66">
        <v>14000</v>
      </c>
      <c r="D8" s="186">
        <v>8000</v>
      </c>
      <c r="E8" s="186">
        <v>9000</v>
      </c>
      <c r="F8" s="186">
        <v>10000</v>
      </c>
      <c r="G8" s="171">
        <v>0</v>
      </c>
      <c r="H8" s="62">
        <v>117900</v>
      </c>
      <c r="I8" s="66">
        <v>72000</v>
      </c>
      <c r="J8" s="296" t="s">
        <v>122</v>
      </c>
      <c r="K8" s="121">
        <v>755792</v>
      </c>
      <c r="L8" s="66"/>
      <c r="M8" s="66" t="s">
        <v>263</v>
      </c>
      <c r="N8" s="64" t="s">
        <v>1032</v>
      </c>
      <c r="O8" s="66">
        <v>6</v>
      </c>
      <c r="P8" s="7" t="s">
        <v>1035</v>
      </c>
      <c r="Q8" s="7" t="s">
        <v>2004</v>
      </c>
      <c r="R8" s="7">
        <v>40000</v>
      </c>
      <c r="S8" s="7"/>
      <c r="T8" s="7"/>
      <c r="U8" s="7">
        <v>40000</v>
      </c>
      <c r="V8" s="18">
        <v>40000</v>
      </c>
      <c r="W8" s="7">
        <f t="shared" si="0"/>
        <v>80000</v>
      </c>
      <c r="X8" s="149">
        <v>39.99</v>
      </c>
      <c r="Y8" s="149">
        <v>41.5</v>
      </c>
      <c r="Z8" s="9">
        <f t="shared" si="1"/>
        <v>1599600</v>
      </c>
      <c r="AA8" s="256">
        <f t="shared" si="2"/>
        <v>3320000</v>
      </c>
      <c r="AB8" s="18"/>
    </row>
    <row r="9" spans="1:28" s="4" customFormat="1" x14ac:dyDescent="0.25">
      <c r="A9" s="66" t="s">
        <v>1044</v>
      </c>
      <c r="B9" s="66" t="s">
        <v>1045</v>
      </c>
      <c r="C9" s="54">
        <v>4000</v>
      </c>
      <c r="D9" s="186">
        <v>3800</v>
      </c>
      <c r="E9" s="186">
        <v>6000</v>
      </c>
      <c r="F9" s="186">
        <v>6500</v>
      </c>
      <c r="G9" s="171">
        <v>15064</v>
      </c>
      <c r="H9" s="62">
        <v>64000</v>
      </c>
      <c r="I9" s="66">
        <v>15048</v>
      </c>
      <c r="J9" s="296" t="s">
        <v>122</v>
      </c>
      <c r="K9" s="121">
        <v>755792</v>
      </c>
      <c r="L9" s="66"/>
      <c r="M9" s="66" t="s">
        <v>1037</v>
      </c>
      <c r="N9" s="64" t="s">
        <v>1032</v>
      </c>
      <c r="O9" s="66">
        <v>7</v>
      </c>
      <c r="P9" s="7" t="s">
        <v>1038</v>
      </c>
      <c r="Q9" s="18" t="s">
        <v>2003</v>
      </c>
      <c r="R9" s="7">
        <v>34000</v>
      </c>
      <c r="S9" s="7"/>
      <c r="T9" s="7"/>
      <c r="U9" s="7">
        <v>34000</v>
      </c>
      <c r="V9" s="6">
        <v>34000</v>
      </c>
      <c r="W9" s="7">
        <f t="shared" si="0"/>
        <v>68000</v>
      </c>
      <c r="X9" s="149">
        <v>118.39</v>
      </c>
      <c r="Y9" s="149">
        <v>128.99</v>
      </c>
      <c r="Z9" s="9">
        <f t="shared" si="1"/>
        <v>4025260</v>
      </c>
      <c r="AA9" s="256">
        <f t="shared" si="2"/>
        <v>8771320</v>
      </c>
      <c r="AB9" s="6"/>
    </row>
    <row r="10" spans="1:28" s="4" customFormat="1" x14ac:dyDescent="0.25">
      <c r="A10" s="66" t="s">
        <v>1046</v>
      </c>
      <c r="B10" s="66" t="s">
        <v>1047</v>
      </c>
      <c r="C10" s="54">
        <v>2500</v>
      </c>
      <c r="D10" s="186">
        <v>2200</v>
      </c>
      <c r="E10" s="186">
        <v>1600</v>
      </c>
      <c r="F10" s="186">
        <v>1600</v>
      </c>
      <c r="G10" s="171">
        <v>0</v>
      </c>
      <c r="H10" s="62">
        <v>19200</v>
      </c>
      <c r="I10" s="66">
        <v>0</v>
      </c>
      <c r="J10" s="296" t="s">
        <v>122</v>
      </c>
      <c r="K10" s="121">
        <v>755792</v>
      </c>
      <c r="L10" s="66"/>
      <c r="M10" s="66" t="s">
        <v>1037</v>
      </c>
      <c r="N10" s="64" t="s">
        <v>1032</v>
      </c>
      <c r="O10" s="66">
        <v>8</v>
      </c>
      <c r="P10" s="7" t="s">
        <v>1038</v>
      </c>
      <c r="Q10" s="18" t="s">
        <v>2003</v>
      </c>
      <c r="R10" s="7">
        <f>((F10*15)-G10-I10)/2</f>
        <v>12000</v>
      </c>
      <c r="S10" s="7"/>
      <c r="T10" s="7"/>
      <c r="U10" s="7">
        <v>12000</v>
      </c>
      <c r="V10" s="18">
        <v>12000</v>
      </c>
      <c r="W10" s="7">
        <f t="shared" si="0"/>
        <v>24000</v>
      </c>
      <c r="X10" s="149">
        <v>105.6</v>
      </c>
      <c r="Y10" s="149">
        <v>79.849999999999994</v>
      </c>
      <c r="Z10" s="9">
        <f t="shared" si="1"/>
        <v>1267200</v>
      </c>
      <c r="AA10" s="256">
        <f t="shared" si="2"/>
        <v>1916399.9999999998</v>
      </c>
      <c r="AB10" s="18"/>
    </row>
    <row r="11" spans="1:28" s="4" customFormat="1" ht="13.5" customHeight="1" x14ac:dyDescent="0.25">
      <c r="A11" s="66" t="s">
        <v>1048</v>
      </c>
      <c r="B11" s="54" t="s">
        <v>1049</v>
      </c>
      <c r="C11" s="54">
        <v>180</v>
      </c>
      <c r="D11" s="295">
        <v>500</v>
      </c>
      <c r="E11" s="295">
        <v>1200</v>
      </c>
      <c r="F11" s="295">
        <v>1200</v>
      </c>
      <c r="G11" s="171">
        <v>0</v>
      </c>
      <c r="H11" s="62">
        <v>3000</v>
      </c>
      <c r="I11" s="66">
        <v>0</v>
      </c>
      <c r="J11" s="296" t="s">
        <v>122</v>
      </c>
      <c r="K11" s="121">
        <v>755792</v>
      </c>
      <c r="L11" s="66"/>
      <c r="M11" s="66" t="s">
        <v>263</v>
      </c>
      <c r="N11" s="64" t="s">
        <v>1032</v>
      </c>
      <c r="O11" s="66">
        <v>9</v>
      </c>
      <c r="P11" s="7" t="s">
        <v>1035</v>
      </c>
      <c r="Q11" s="5"/>
      <c r="R11" s="7">
        <f>((F11*15)-G11-I11)/2</f>
        <v>9000</v>
      </c>
      <c r="S11" s="7"/>
      <c r="T11" s="7"/>
      <c r="U11" s="7">
        <v>9000</v>
      </c>
      <c r="V11" s="6"/>
      <c r="W11" s="7">
        <f t="shared" si="0"/>
        <v>9000</v>
      </c>
      <c r="X11" s="149">
        <v>500</v>
      </c>
      <c r="Y11" s="149">
        <v>556.08000000000004</v>
      </c>
      <c r="Z11" s="9">
        <f t="shared" si="1"/>
        <v>4500000</v>
      </c>
      <c r="AA11" s="256">
        <f t="shared" si="2"/>
        <v>5004720</v>
      </c>
      <c r="AB11" s="6"/>
    </row>
    <row r="12" spans="1:28" s="4" customFormat="1" ht="15" customHeight="1" x14ac:dyDescent="0.25">
      <c r="A12" s="66" t="s">
        <v>1050</v>
      </c>
      <c r="B12" s="66" t="s">
        <v>1051</v>
      </c>
      <c r="C12" s="54">
        <v>2500</v>
      </c>
      <c r="D12" s="186">
        <v>2800</v>
      </c>
      <c r="E12" s="186">
        <v>2200</v>
      </c>
      <c r="F12" s="186">
        <v>2200</v>
      </c>
      <c r="G12" s="171">
        <v>10620</v>
      </c>
      <c r="H12" s="62">
        <v>21820</v>
      </c>
      <c r="I12" s="66">
        <v>4000</v>
      </c>
      <c r="J12" s="296" t="s">
        <v>122</v>
      </c>
      <c r="K12" s="121">
        <v>755792</v>
      </c>
      <c r="L12" s="66"/>
      <c r="M12" s="66" t="s">
        <v>1037</v>
      </c>
      <c r="N12" s="64" t="s">
        <v>1032</v>
      </c>
      <c r="O12" s="66">
        <v>10</v>
      </c>
      <c r="P12" s="7" t="s">
        <v>1038</v>
      </c>
      <c r="Q12" s="18" t="s">
        <v>2003</v>
      </c>
      <c r="R12" s="7">
        <v>9200</v>
      </c>
      <c r="S12" s="7"/>
      <c r="T12" s="7"/>
      <c r="U12" s="7">
        <v>9200</v>
      </c>
      <c r="V12" s="18">
        <v>4500</v>
      </c>
      <c r="W12" s="7">
        <f t="shared" si="0"/>
        <v>13700</v>
      </c>
      <c r="X12" s="149">
        <v>127.33</v>
      </c>
      <c r="Y12" s="149">
        <v>134.88999999999999</v>
      </c>
      <c r="Z12" s="9">
        <f t="shared" si="1"/>
        <v>1171436</v>
      </c>
      <c r="AA12" s="256">
        <f t="shared" si="2"/>
        <v>1847992.9999999998</v>
      </c>
      <c r="AB12" s="18"/>
    </row>
    <row r="13" spans="1:28" s="4" customFormat="1" x14ac:dyDescent="0.25">
      <c r="A13" s="66" t="s">
        <v>1052</v>
      </c>
      <c r="B13" s="66" t="s">
        <v>1053</v>
      </c>
      <c r="C13" s="66">
        <v>500</v>
      </c>
      <c r="D13" s="66">
        <v>2000</v>
      </c>
      <c r="E13" s="66">
        <v>1500</v>
      </c>
      <c r="F13" s="66">
        <v>2400</v>
      </c>
      <c r="G13" s="171">
        <v>1800</v>
      </c>
      <c r="H13" s="62">
        <v>14000</v>
      </c>
      <c r="I13" s="66">
        <v>4000</v>
      </c>
      <c r="J13" s="174"/>
      <c r="K13" s="121">
        <v>755792</v>
      </c>
      <c r="L13" s="66"/>
      <c r="M13" s="66" t="s">
        <v>1037</v>
      </c>
      <c r="N13" s="64" t="s">
        <v>1032</v>
      </c>
      <c r="O13" s="66">
        <v>11</v>
      </c>
      <c r="P13" s="7" t="s">
        <v>1038</v>
      </c>
      <c r="Q13" s="18" t="s">
        <v>2003</v>
      </c>
      <c r="R13" s="7">
        <v>15000</v>
      </c>
      <c r="S13" s="7"/>
      <c r="T13" s="7"/>
      <c r="U13" s="7">
        <v>15000</v>
      </c>
      <c r="V13" s="18">
        <v>10000</v>
      </c>
      <c r="W13" s="7">
        <f t="shared" si="0"/>
        <v>25000</v>
      </c>
      <c r="X13" s="158">
        <v>215</v>
      </c>
      <c r="Y13" s="159">
        <v>202.64</v>
      </c>
      <c r="Z13" s="9">
        <f t="shared" si="1"/>
        <v>3225000</v>
      </c>
      <c r="AA13" s="256">
        <f t="shared" si="2"/>
        <v>5066000</v>
      </c>
      <c r="AB13" s="31"/>
    </row>
    <row r="14" spans="1:28" s="4" customFormat="1" x14ac:dyDescent="0.25">
      <c r="A14" s="66" t="s">
        <v>1054</v>
      </c>
      <c r="B14" s="66" t="s">
        <v>1055</v>
      </c>
      <c r="C14" s="54">
        <v>8000</v>
      </c>
      <c r="D14" s="186">
        <v>14000</v>
      </c>
      <c r="E14" s="186">
        <v>24000</v>
      </c>
      <c r="F14" s="186">
        <v>24000</v>
      </c>
      <c r="G14" s="171">
        <v>0</v>
      </c>
      <c r="H14" s="62">
        <v>140000</v>
      </c>
      <c r="I14" s="66">
        <v>280000</v>
      </c>
      <c r="J14" s="174" t="s">
        <v>486</v>
      </c>
      <c r="K14" s="121">
        <v>755792</v>
      </c>
      <c r="L14" s="66"/>
      <c r="M14" s="66" t="s">
        <v>1037</v>
      </c>
      <c r="N14" s="64" t="s">
        <v>1032</v>
      </c>
      <c r="O14" s="66">
        <v>12</v>
      </c>
      <c r="P14" s="7" t="s">
        <v>1038</v>
      </c>
      <c r="Q14" s="7"/>
      <c r="R14" s="7">
        <f>((F14*15)-G14-I14)/2</f>
        <v>40000</v>
      </c>
      <c r="S14" s="7"/>
      <c r="T14" s="7"/>
      <c r="U14" s="7">
        <v>40000</v>
      </c>
      <c r="V14" s="18"/>
      <c r="W14" s="7">
        <f t="shared" si="0"/>
        <v>40000</v>
      </c>
      <c r="X14" s="149">
        <v>151.1</v>
      </c>
      <c r="Y14" s="149">
        <v>119.75</v>
      </c>
      <c r="Z14" s="9">
        <f t="shared" si="1"/>
        <v>6044000</v>
      </c>
      <c r="AA14" s="256">
        <f t="shared" si="2"/>
        <v>4790000</v>
      </c>
      <c r="AB14" s="18"/>
    </row>
    <row r="15" spans="1:28" s="4" customFormat="1" ht="17.25" customHeight="1" x14ac:dyDescent="0.25">
      <c r="A15" s="66" t="s">
        <v>1056</v>
      </c>
      <c r="B15" s="66" t="s">
        <v>1057</v>
      </c>
      <c r="C15" s="54">
        <v>6500</v>
      </c>
      <c r="D15" s="186">
        <v>4250</v>
      </c>
      <c r="E15" s="186">
        <v>6000</v>
      </c>
      <c r="F15" s="186">
        <v>6000</v>
      </c>
      <c r="G15" s="171">
        <v>48200</v>
      </c>
      <c r="H15" s="62">
        <v>66000</v>
      </c>
      <c r="I15" s="66">
        <v>0</v>
      </c>
      <c r="J15" s="296" t="s">
        <v>122</v>
      </c>
      <c r="K15" s="121">
        <v>755792</v>
      </c>
      <c r="L15" s="66"/>
      <c r="M15" s="66" t="s">
        <v>1037</v>
      </c>
      <c r="N15" s="64" t="s">
        <v>1032</v>
      </c>
      <c r="O15" s="66">
        <v>13</v>
      </c>
      <c r="P15" s="7" t="s">
        <v>1038</v>
      </c>
      <c r="Q15" s="7"/>
      <c r="R15" s="7">
        <v>22000</v>
      </c>
      <c r="S15" s="7"/>
      <c r="T15" s="7"/>
      <c r="U15" s="7">
        <v>22000</v>
      </c>
      <c r="V15" s="18"/>
      <c r="W15" s="7">
        <f t="shared" si="0"/>
        <v>22000</v>
      </c>
      <c r="X15" s="149">
        <v>77.66</v>
      </c>
      <c r="Y15" s="149">
        <v>79.989999999999995</v>
      </c>
      <c r="Z15" s="9">
        <f t="shared" si="1"/>
        <v>1708520</v>
      </c>
      <c r="AA15" s="256">
        <f t="shared" si="2"/>
        <v>1759780</v>
      </c>
      <c r="AB15" s="31"/>
    </row>
    <row r="16" spans="1:28" s="4" customFormat="1" x14ac:dyDescent="0.25">
      <c r="A16" s="68" t="s">
        <v>1058</v>
      </c>
      <c r="B16" s="68" t="s">
        <v>1059</v>
      </c>
      <c r="C16" s="54">
        <v>3300</v>
      </c>
      <c r="D16" s="186">
        <v>2750</v>
      </c>
      <c r="E16" s="186">
        <v>5000</v>
      </c>
      <c r="F16" s="186">
        <v>6500</v>
      </c>
      <c r="G16" s="171">
        <v>11000</v>
      </c>
      <c r="H16" s="62">
        <v>50000</v>
      </c>
      <c r="I16" s="66">
        <v>14000</v>
      </c>
      <c r="J16" s="296" t="s">
        <v>122</v>
      </c>
      <c r="K16" s="121">
        <v>755792</v>
      </c>
      <c r="L16" s="66"/>
      <c r="M16" s="66" t="s">
        <v>1037</v>
      </c>
      <c r="N16" s="64" t="s">
        <v>1032</v>
      </c>
      <c r="O16" s="66">
        <v>14</v>
      </c>
      <c r="P16" s="7" t="s">
        <v>1038</v>
      </c>
      <c r="Q16" s="18" t="s">
        <v>2003</v>
      </c>
      <c r="R16" s="7">
        <v>33000</v>
      </c>
      <c r="S16" s="7"/>
      <c r="T16" s="7"/>
      <c r="U16" s="7">
        <v>33000</v>
      </c>
      <c r="V16" s="18">
        <v>33000</v>
      </c>
      <c r="W16" s="7">
        <f t="shared" si="0"/>
        <v>66000</v>
      </c>
      <c r="X16" s="149">
        <v>138.44999999999999</v>
      </c>
      <c r="Y16" s="149">
        <v>117.99</v>
      </c>
      <c r="Z16" s="9">
        <f t="shared" si="1"/>
        <v>4568850</v>
      </c>
      <c r="AA16" s="256">
        <f t="shared" si="2"/>
        <v>7787340</v>
      </c>
      <c r="AB16" s="31"/>
    </row>
    <row r="17" spans="1:29" s="4" customFormat="1" x14ac:dyDescent="0.25">
      <c r="A17" s="66" t="s">
        <v>205</v>
      </c>
      <c r="B17" s="54" t="s">
        <v>1060</v>
      </c>
      <c r="C17" s="54">
        <v>1000</v>
      </c>
      <c r="D17" s="186">
        <v>1200</v>
      </c>
      <c r="E17" s="186">
        <v>1500</v>
      </c>
      <c r="F17" s="186">
        <v>1500</v>
      </c>
      <c r="G17" s="171">
        <v>8000</v>
      </c>
      <c r="H17" s="62">
        <v>15000</v>
      </c>
      <c r="I17" s="66">
        <v>10000</v>
      </c>
      <c r="J17" s="296" t="s">
        <v>122</v>
      </c>
      <c r="K17" s="121">
        <v>755792</v>
      </c>
      <c r="L17" s="170"/>
      <c r="M17" s="66" t="s">
        <v>1037</v>
      </c>
      <c r="N17" s="64" t="s">
        <v>1032</v>
      </c>
      <c r="O17" s="66">
        <v>15</v>
      </c>
      <c r="P17" s="7" t="s">
        <v>1038</v>
      </c>
      <c r="Q17" s="18" t="s">
        <v>2003</v>
      </c>
      <c r="R17" s="7">
        <v>2500</v>
      </c>
      <c r="S17" s="7"/>
      <c r="T17" s="7"/>
      <c r="U17" s="7">
        <v>2500</v>
      </c>
      <c r="V17" s="6">
        <v>2500</v>
      </c>
      <c r="W17" s="7">
        <f t="shared" si="0"/>
        <v>5000</v>
      </c>
      <c r="X17" s="149">
        <v>179.99</v>
      </c>
      <c r="Y17" s="149">
        <v>199.99</v>
      </c>
      <c r="Z17" s="9">
        <f t="shared" si="1"/>
        <v>449975</v>
      </c>
      <c r="AA17" s="256">
        <f t="shared" si="2"/>
        <v>999950</v>
      </c>
      <c r="AB17" s="18"/>
      <c r="AC17" s="680"/>
    </row>
    <row r="18" spans="1:29" s="4" customFormat="1" x14ac:dyDescent="0.25">
      <c r="A18" s="66" t="s">
        <v>1061</v>
      </c>
      <c r="B18" s="54" t="s">
        <v>1062</v>
      </c>
      <c r="C18" s="54">
        <v>700</v>
      </c>
      <c r="D18" s="66">
        <v>800</v>
      </c>
      <c r="E18" s="66">
        <v>900</v>
      </c>
      <c r="F18" s="66">
        <v>1200</v>
      </c>
      <c r="G18" s="171">
        <v>2000</v>
      </c>
      <c r="H18" s="62">
        <v>9800</v>
      </c>
      <c r="I18" s="66">
        <v>4000</v>
      </c>
      <c r="J18" s="170"/>
      <c r="K18" s="121">
        <v>755792</v>
      </c>
      <c r="L18" s="66"/>
      <c r="M18" s="66" t="s">
        <v>1037</v>
      </c>
      <c r="N18" s="64" t="s">
        <v>1032</v>
      </c>
      <c r="O18" s="66">
        <v>16</v>
      </c>
      <c r="P18" s="7" t="s">
        <v>1038</v>
      </c>
      <c r="Q18" s="18" t="s">
        <v>2003</v>
      </c>
      <c r="R18" s="7">
        <f>((F18*15)-G18-I18)/2</f>
        <v>6000</v>
      </c>
      <c r="S18" s="7"/>
      <c r="T18" s="7"/>
      <c r="U18" s="7">
        <v>6000</v>
      </c>
      <c r="V18" s="18">
        <v>6000</v>
      </c>
      <c r="W18" s="7">
        <f t="shared" si="0"/>
        <v>12000</v>
      </c>
      <c r="X18" s="158">
        <v>67</v>
      </c>
      <c r="Y18" s="159">
        <v>62.88</v>
      </c>
      <c r="Z18" s="9">
        <f t="shared" si="1"/>
        <v>402000</v>
      </c>
      <c r="AA18" s="256">
        <f t="shared" si="2"/>
        <v>754560</v>
      </c>
      <c r="AB18" s="31"/>
      <c r="AC18" s="680"/>
    </row>
    <row r="19" spans="1:29" s="4" customFormat="1" x14ac:dyDescent="0.25">
      <c r="A19" s="66" t="s">
        <v>1063</v>
      </c>
      <c r="B19" s="66" t="s">
        <v>1064</v>
      </c>
      <c r="C19" s="54">
        <v>8000</v>
      </c>
      <c r="D19" s="295">
        <v>5500</v>
      </c>
      <c r="E19" s="295">
        <v>5800</v>
      </c>
      <c r="F19" s="295">
        <v>6000</v>
      </c>
      <c r="G19" s="166">
        <v>26000</v>
      </c>
      <c r="H19" s="62">
        <v>35000</v>
      </c>
      <c r="I19" s="66">
        <v>0</v>
      </c>
      <c r="J19" s="296" t="s">
        <v>122</v>
      </c>
      <c r="K19" s="121">
        <v>755792</v>
      </c>
      <c r="L19" s="66"/>
      <c r="M19" s="66" t="s">
        <v>293</v>
      </c>
      <c r="N19" s="64" t="s">
        <v>1032</v>
      </c>
      <c r="O19" s="66">
        <v>17</v>
      </c>
      <c r="P19" s="7" t="s">
        <v>1065</v>
      </c>
      <c r="Q19" s="18" t="s">
        <v>2005</v>
      </c>
      <c r="R19" s="7">
        <f>((F19*15)-G19-I19)/2</f>
        <v>32000</v>
      </c>
      <c r="S19" s="7"/>
      <c r="T19" s="7"/>
      <c r="U19" s="7">
        <v>32000</v>
      </c>
      <c r="V19" s="18">
        <v>24000</v>
      </c>
      <c r="W19" s="7">
        <f t="shared" si="0"/>
        <v>56000</v>
      </c>
      <c r="X19" s="118">
        <v>78</v>
      </c>
      <c r="Y19" s="118">
        <v>71.400000000000006</v>
      </c>
      <c r="Z19" s="9">
        <f t="shared" si="1"/>
        <v>2496000</v>
      </c>
      <c r="AA19" s="256">
        <f t="shared" si="2"/>
        <v>3998400.0000000005</v>
      </c>
      <c r="AB19" s="31"/>
      <c r="AC19" s="680"/>
    </row>
    <row r="20" spans="1:29" s="4" customFormat="1" x14ac:dyDescent="0.25">
      <c r="A20" s="66" t="s">
        <v>207</v>
      </c>
      <c r="B20" s="54" t="s">
        <v>1066</v>
      </c>
      <c r="C20" s="54">
        <v>5000</v>
      </c>
      <c r="D20" s="295">
        <v>2500</v>
      </c>
      <c r="E20" s="295">
        <v>2900</v>
      </c>
      <c r="F20" s="295">
        <v>2900</v>
      </c>
      <c r="G20" s="171">
        <v>20000</v>
      </c>
      <c r="H20" s="62">
        <v>28000</v>
      </c>
      <c r="I20" s="66">
        <v>2000</v>
      </c>
      <c r="J20" s="296" t="s">
        <v>122</v>
      </c>
      <c r="K20" s="121">
        <v>755792</v>
      </c>
      <c r="L20" s="170"/>
      <c r="M20" s="63" t="s">
        <v>263</v>
      </c>
      <c r="N20" s="64" t="s">
        <v>1032</v>
      </c>
      <c r="O20" s="66">
        <v>18</v>
      </c>
      <c r="P20" s="7" t="s">
        <v>1035</v>
      </c>
      <c r="Q20" s="7" t="s">
        <v>2004</v>
      </c>
      <c r="R20" s="7">
        <v>11000</v>
      </c>
      <c r="S20" s="7"/>
      <c r="T20" s="7"/>
      <c r="U20" s="7">
        <v>10980</v>
      </c>
      <c r="V20" s="6">
        <v>10980</v>
      </c>
      <c r="W20" s="7">
        <f t="shared" si="0"/>
        <v>21960</v>
      </c>
      <c r="X20" s="118">
        <v>104.33</v>
      </c>
      <c r="Y20" s="118">
        <v>86.44</v>
      </c>
      <c r="Z20" s="9">
        <f t="shared" si="1"/>
        <v>1147630</v>
      </c>
      <c r="AA20" s="256">
        <f t="shared" si="2"/>
        <v>1898222.4</v>
      </c>
      <c r="AB20" s="18"/>
      <c r="AC20" s="680"/>
    </row>
    <row r="21" spans="1:29" s="4" customFormat="1" x14ac:dyDescent="0.25">
      <c r="A21" s="68" t="s">
        <v>1067</v>
      </c>
      <c r="B21" s="66" t="s">
        <v>1068</v>
      </c>
      <c r="C21" s="54">
        <v>10000</v>
      </c>
      <c r="D21" s="186">
        <v>6300</v>
      </c>
      <c r="E21" s="186">
        <v>6200</v>
      </c>
      <c r="F21" s="186">
        <v>6500</v>
      </c>
      <c r="G21" s="171">
        <v>24270</v>
      </c>
      <c r="H21" s="62">
        <v>44000</v>
      </c>
      <c r="I21" s="66">
        <v>6000</v>
      </c>
      <c r="J21" s="296" t="s">
        <v>122</v>
      </c>
      <c r="K21" s="121">
        <v>755792</v>
      </c>
      <c r="L21" s="170"/>
      <c r="M21" s="66" t="s">
        <v>263</v>
      </c>
      <c r="N21" s="64" t="s">
        <v>1032</v>
      </c>
      <c r="O21" s="66">
        <v>19</v>
      </c>
      <c r="P21" s="28" t="s">
        <v>1035</v>
      </c>
      <c r="Q21" s="7" t="s">
        <v>2004</v>
      </c>
      <c r="R21" s="7">
        <v>34000</v>
      </c>
      <c r="S21" s="28"/>
      <c r="T21" s="28"/>
      <c r="U21" s="7">
        <v>33980</v>
      </c>
      <c r="V21" s="18">
        <v>25000</v>
      </c>
      <c r="W21" s="7">
        <f t="shared" si="0"/>
        <v>58980</v>
      </c>
      <c r="X21" s="118">
        <v>133.63</v>
      </c>
      <c r="Y21" s="118">
        <v>110.17</v>
      </c>
      <c r="Z21" s="9">
        <f t="shared" si="1"/>
        <v>4543420</v>
      </c>
      <c r="AA21" s="256">
        <f t="shared" si="2"/>
        <v>6497826.6000000006</v>
      </c>
      <c r="AB21" s="31"/>
      <c r="AC21" s="680"/>
    </row>
    <row r="22" spans="1:29" ht="16.5" customHeight="1" x14ac:dyDescent="0.25">
      <c r="A22" s="12" t="s">
        <v>211</v>
      </c>
      <c r="B22" s="54" t="s">
        <v>1069</v>
      </c>
      <c r="C22" s="54">
        <v>1500</v>
      </c>
      <c r="D22" s="186">
        <v>2000</v>
      </c>
      <c r="E22" s="186">
        <v>1800</v>
      </c>
      <c r="F22" s="186">
        <v>2000</v>
      </c>
      <c r="G22" s="171">
        <v>9000</v>
      </c>
      <c r="H22" s="62">
        <v>22000</v>
      </c>
      <c r="I22" s="66">
        <v>0</v>
      </c>
      <c r="J22" s="296" t="s">
        <v>122</v>
      </c>
      <c r="K22" s="121">
        <v>755792</v>
      </c>
      <c r="L22" s="170"/>
      <c r="M22" s="66" t="s">
        <v>1037</v>
      </c>
      <c r="N22" s="64" t="s">
        <v>1032</v>
      </c>
      <c r="O22" s="66">
        <v>20</v>
      </c>
      <c r="P22" s="28" t="s">
        <v>1038</v>
      </c>
      <c r="Q22" s="18" t="s">
        <v>2003</v>
      </c>
      <c r="R22" s="7">
        <f>((F22*15)-G22-I22)/2</f>
        <v>10500</v>
      </c>
      <c r="S22" s="7"/>
      <c r="T22" s="7"/>
      <c r="U22" s="7">
        <v>10500</v>
      </c>
      <c r="V22" s="32">
        <v>2100</v>
      </c>
      <c r="W22" s="7">
        <f t="shared" si="0"/>
        <v>12600</v>
      </c>
      <c r="X22" s="151">
        <v>111.15</v>
      </c>
      <c r="Y22" s="118">
        <v>102.88</v>
      </c>
      <c r="Z22" s="9">
        <f t="shared" si="1"/>
        <v>1167075</v>
      </c>
      <c r="AA22" s="256">
        <f t="shared" si="2"/>
        <v>1296288</v>
      </c>
      <c r="AB22" s="31"/>
      <c r="AC22" s="73"/>
    </row>
    <row r="23" spans="1:29" s="4" customFormat="1" x14ac:dyDescent="0.25">
      <c r="A23" s="68" t="s">
        <v>213</v>
      </c>
      <c r="B23" s="134" t="s">
        <v>1070</v>
      </c>
      <c r="C23" s="54">
        <v>5000</v>
      </c>
      <c r="D23" s="186">
        <v>4500</v>
      </c>
      <c r="E23" s="186">
        <v>5000</v>
      </c>
      <c r="F23" s="186">
        <v>5000</v>
      </c>
      <c r="G23" s="171">
        <v>47975</v>
      </c>
      <c r="H23" s="62">
        <v>30000</v>
      </c>
      <c r="I23" s="66">
        <v>0</v>
      </c>
      <c r="J23" s="296" t="s">
        <v>122</v>
      </c>
      <c r="K23" s="121">
        <v>755792</v>
      </c>
      <c r="L23" s="170"/>
      <c r="M23" s="66" t="s">
        <v>1037</v>
      </c>
      <c r="N23" s="64" t="s">
        <v>1032</v>
      </c>
      <c r="O23" s="66">
        <v>21</v>
      </c>
      <c r="P23" s="7" t="s">
        <v>1038</v>
      </c>
      <c r="Q23" s="18" t="s">
        <v>2003</v>
      </c>
      <c r="R23" s="7">
        <v>15000</v>
      </c>
      <c r="S23" s="7"/>
      <c r="T23" s="7"/>
      <c r="U23" s="7">
        <v>15000</v>
      </c>
      <c r="V23" s="18">
        <v>15000</v>
      </c>
      <c r="W23" s="7">
        <f t="shared" si="0"/>
        <v>30000</v>
      </c>
      <c r="X23" s="118">
        <v>80.86</v>
      </c>
      <c r="Y23" s="118">
        <v>79.989999999999995</v>
      </c>
      <c r="Z23" s="9">
        <f t="shared" si="1"/>
        <v>1212900</v>
      </c>
      <c r="AA23" s="256">
        <f t="shared" si="2"/>
        <v>2399700</v>
      </c>
      <c r="AB23" s="18"/>
      <c r="AC23" s="680"/>
    </row>
    <row r="24" spans="1:29" s="4" customFormat="1" x14ac:dyDescent="0.25">
      <c r="A24" s="55" t="s">
        <v>1071</v>
      </c>
      <c r="B24" s="92" t="s">
        <v>1072</v>
      </c>
      <c r="C24" s="92">
        <v>1100</v>
      </c>
      <c r="D24" s="526">
        <v>1200</v>
      </c>
      <c r="E24" s="526">
        <v>300</v>
      </c>
      <c r="F24" s="526">
        <v>300</v>
      </c>
      <c r="G24" s="430">
        <v>2800</v>
      </c>
      <c r="H24" s="56">
        <v>3600</v>
      </c>
      <c r="I24" s="55">
        <v>0</v>
      </c>
      <c r="J24" s="527" t="s">
        <v>122</v>
      </c>
      <c r="K24" s="245">
        <v>755792</v>
      </c>
      <c r="L24" s="55"/>
      <c r="M24" s="55" t="s">
        <v>285</v>
      </c>
      <c r="N24" s="64" t="s">
        <v>1032</v>
      </c>
      <c r="O24" s="66">
        <v>22</v>
      </c>
      <c r="P24" s="18"/>
      <c r="Q24" s="18"/>
      <c r="R24" s="7">
        <v>900</v>
      </c>
      <c r="S24" s="7"/>
      <c r="T24" s="7"/>
      <c r="U24" s="7"/>
      <c r="V24" s="18"/>
      <c r="W24" s="7">
        <f t="shared" si="0"/>
        <v>0</v>
      </c>
      <c r="X24" s="118">
        <v>1075.8</v>
      </c>
      <c r="Y24" s="118"/>
      <c r="Z24" s="9">
        <f t="shared" si="1"/>
        <v>968220</v>
      </c>
      <c r="AA24" s="256">
        <f t="shared" si="2"/>
        <v>0</v>
      </c>
      <c r="AB24" s="31"/>
      <c r="AC24" s="680"/>
    </row>
    <row r="25" spans="1:29" s="4" customFormat="1" ht="18" customHeight="1" x14ac:dyDescent="0.25">
      <c r="A25" s="83" t="s">
        <v>1073</v>
      </c>
      <c r="B25" s="66" t="s">
        <v>1074</v>
      </c>
      <c r="C25" s="66"/>
      <c r="D25" s="66">
        <v>900</v>
      </c>
      <c r="E25" s="66">
        <v>900</v>
      </c>
      <c r="F25" s="237">
        <v>1000</v>
      </c>
      <c r="G25" s="171">
        <v>0</v>
      </c>
      <c r="H25" s="62">
        <v>5400</v>
      </c>
      <c r="I25" s="66">
        <v>0</v>
      </c>
      <c r="J25" s="170"/>
      <c r="K25" s="121">
        <v>755792</v>
      </c>
      <c r="L25" s="66"/>
      <c r="M25" s="66" t="s">
        <v>263</v>
      </c>
      <c r="N25" s="64" t="s">
        <v>1032</v>
      </c>
      <c r="O25" s="66">
        <v>23</v>
      </c>
      <c r="P25" s="20" t="s">
        <v>1035</v>
      </c>
      <c r="Q25" s="7" t="s">
        <v>2004</v>
      </c>
      <c r="R25" s="7">
        <f>((F25*15)-G25-I25)/2</f>
        <v>7500</v>
      </c>
      <c r="S25" s="7"/>
      <c r="T25" s="7"/>
      <c r="U25" s="7">
        <v>7448</v>
      </c>
      <c r="V25" s="35">
        <v>3000</v>
      </c>
      <c r="W25" s="7">
        <f t="shared" si="0"/>
        <v>10448</v>
      </c>
      <c r="X25" s="160">
        <v>165</v>
      </c>
      <c r="Y25" s="160">
        <v>365.1</v>
      </c>
      <c r="Z25" s="9">
        <f t="shared" si="1"/>
        <v>1237500</v>
      </c>
      <c r="AA25" s="256">
        <f t="shared" si="2"/>
        <v>3814564.8000000003</v>
      </c>
      <c r="AB25" s="31"/>
      <c r="AC25" s="680"/>
    </row>
    <row r="26" spans="1:29" ht="15.75" customHeight="1" x14ac:dyDescent="0.25">
      <c r="A26" s="55" t="s">
        <v>261</v>
      </c>
      <c r="B26" s="92" t="s">
        <v>1075</v>
      </c>
      <c r="C26" s="92">
        <v>1200</v>
      </c>
      <c r="D26" s="549">
        <v>1500</v>
      </c>
      <c r="E26" s="549">
        <v>1600</v>
      </c>
      <c r="F26" s="549">
        <v>1600</v>
      </c>
      <c r="G26" s="430">
        <v>8714</v>
      </c>
      <c r="H26" s="56">
        <v>9600</v>
      </c>
      <c r="I26" s="55">
        <v>0</v>
      </c>
      <c r="J26" s="527" t="s">
        <v>122</v>
      </c>
      <c r="K26" s="245">
        <v>755792</v>
      </c>
      <c r="L26" s="55"/>
      <c r="M26" s="55" t="s">
        <v>263</v>
      </c>
      <c r="N26" s="64" t="s">
        <v>1032</v>
      </c>
      <c r="O26" s="66">
        <v>24</v>
      </c>
      <c r="P26" s="20"/>
      <c r="Q26" s="6"/>
      <c r="R26" s="7">
        <v>7700</v>
      </c>
      <c r="S26" s="7"/>
      <c r="T26" s="7"/>
      <c r="U26" s="7"/>
      <c r="V26" s="32"/>
      <c r="W26" s="7">
        <f t="shared" si="0"/>
        <v>0</v>
      </c>
      <c r="X26" s="118">
        <v>725</v>
      </c>
      <c r="Y26" s="118">
        <v>1033.7</v>
      </c>
      <c r="Z26" s="9">
        <f t="shared" si="1"/>
        <v>5582500</v>
      </c>
      <c r="AA26" s="256">
        <f t="shared" si="2"/>
        <v>0</v>
      </c>
      <c r="AB26" s="18"/>
      <c r="AC26" s="22"/>
    </row>
    <row r="27" spans="1:29" s="4" customFormat="1" ht="15.75" customHeight="1" x14ac:dyDescent="0.25">
      <c r="A27" s="55" t="s">
        <v>264</v>
      </c>
      <c r="B27" s="92" t="s">
        <v>265</v>
      </c>
      <c r="C27" s="92">
        <v>1000</v>
      </c>
      <c r="D27" s="549">
        <v>600</v>
      </c>
      <c r="E27" s="549">
        <v>800</v>
      </c>
      <c r="F27" s="549">
        <v>900</v>
      </c>
      <c r="G27" s="430">
        <v>2800</v>
      </c>
      <c r="H27" s="56">
        <v>4800</v>
      </c>
      <c r="I27" s="55">
        <v>0</v>
      </c>
      <c r="J27" s="527" t="s">
        <v>122</v>
      </c>
      <c r="K27" s="245">
        <v>755792</v>
      </c>
      <c r="L27" s="244"/>
      <c r="M27" s="55" t="s">
        <v>263</v>
      </c>
      <c r="N27" s="64" t="s">
        <v>1032</v>
      </c>
      <c r="O27" s="66">
        <v>25</v>
      </c>
      <c r="P27" s="18"/>
      <c r="Q27" s="18"/>
      <c r="R27" s="7">
        <v>5500</v>
      </c>
      <c r="S27" s="7"/>
      <c r="T27" s="7"/>
      <c r="U27" s="7"/>
      <c r="V27" s="18"/>
      <c r="W27" s="7">
        <f t="shared" si="0"/>
        <v>0</v>
      </c>
      <c r="X27" s="118">
        <v>533.73</v>
      </c>
      <c r="Y27" s="149">
        <v>705.51</v>
      </c>
      <c r="Z27" s="9">
        <f t="shared" si="1"/>
        <v>2935515</v>
      </c>
      <c r="AA27" s="256">
        <f t="shared" si="2"/>
        <v>0</v>
      </c>
      <c r="AB27" s="31"/>
      <c r="AC27" s="680"/>
    </row>
    <row r="28" spans="1:29" s="4" customFormat="1" x14ac:dyDescent="0.25">
      <c r="A28" s="66" t="s">
        <v>215</v>
      </c>
      <c r="B28" s="54" t="s">
        <v>1076</v>
      </c>
      <c r="C28" s="166">
        <v>4500</v>
      </c>
      <c r="D28" s="66">
        <v>8000</v>
      </c>
      <c r="E28" s="66">
        <v>13000</v>
      </c>
      <c r="F28" s="66">
        <v>15000</v>
      </c>
      <c r="G28" s="171">
        <v>66500</v>
      </c>
      <c r="H28" s="62">
        <v>80000</v>
      </c>
      <c r="I28" s="66">
        <v>0</v>
      </c>
      <c r="J28" s="174" t="s">
        <v>486</v>
      </c>
      <c r="K28" s="121">
        <v>755792</v>
      </c>
      <c r="L28" s="66"/>
      <c r="M28" s="63" t="s">
        <v>263</v>
      </c>
      <c r="N28" s="64" t="s">
        <v>1032</v>
      </c>
      <c r="O28" s="66">
        <v>26</v>
      </c>
      <c r="P28" s="20" t="s">
        <v>1035</v>
      </c>
      <c r="Q28" s="7" t="s">
        <v>2004</v>
      </c>
      <c r="R28" s="7">
        <v>80000</v>
      </c>
      <c r="S28" s="7"/>
      <c r="T28" s="7"/>
      <c r="U28" s="348">
        <v>30000</v>
      </c>
      <c r="V28" s="6">
        <v>30000</v>
      </c>
      <c r="W28" s="7">
        <f t="shared" si="0"/>
        <v>60000</v>
      </c>
      <c r="X28" s="118">
        <v>118.5</v>
      </c>
      <c r="Y28" s="150">
        <v>129.09</v>
      </c>
      <c r="Z28" s="9">
        <f t="shared" si="1"/>
        <v>9480000</v>
      </c>
      <c r="AA28" s="256">
        <f t="shared" si="2"/>
        <v>7745400</v>
      </c>
      <c r="AB28" s="6"/>
      <c r="AC28" s="680"/>
    </row>
    <row r="29" spans="1:29" s="4" customFormat="1" ht="15.75" customHeight="1" x14ac:dyDescent="0.25">
      <c r="A29" s="66" t="s">
        <v>1077</v>
      </c>
      <c r="B29" s="66" t="s">
        <v>1078</v>
      </c>
      <c r="C29" s="54">
        <v>3500</v>
      </c>
      <c r="D29" s="295">
        <v>4100</v>
      </c>
      <c r="E29" s="295">
        <v>4500</v>
      </c>
      <c r="F29" s="295">
        <v>4500</v>
      </c>
      <c r="G29" s="171">
        <v>9000</v>
      </c>
      <c r="H29" s="62">
        <v>33980</v>
      </c>
      <c r="I29" s="66">
        <v>7500</v>
      </c>
      <c r="J29" s="296" t="s">
        <v>122</v>
      </c>
      <c r="K29" s="121">
        <v>755792</v>
      </c>
      <c r="L29" s="66"/>
      <c r="M29" s="66" t="s">
        <v>1079</v>
      </c>
      <c r="N29" s="64" t="s">
        <v>1032</v>
      </c>
      <c r="O29" s="66">
        <v>27</v>
      </c>
      <c r="P29" s="20" t="s">
        <v>1080</v>
      </c>
      <c r="Q29" s="18"/>
      <c r="R29" s="7">
        <f>((F29*15)-G29-I29)/2</f>
        <v>25500</v>
      </c>
      <c r="S29" s="7"/>
      <c r="T29" s="7"/>
      <c r="U29" s="7">
        <v>25000</v>
      </c>
      <c r="V29" s="18"/>
      <c r="W29" s="7">
        <f t="shared" si="0"/>
        <v>25000</v>
      </c>
      <c r="X29" s="118">
        <v>1190</v>
      </c>
      <c r="Y29" s="149">
        <v>1154.8800000000001</v>
      </c>
      <c r="Z29" s="9">
        <f t="shared" si="1"/>
        <v>30345000</v>
      </c>
      <c r="AA29" s="256">
        <f t="shared" si="2"/>
        <v>28872000.000000004</v>
      </c>
      <c r="AB29" s="18"/>
      <c r="AC29" s="680"/>
    </row>
    <row r="30" spans="1:29" s="4" customFormat="1" ht="18.75" customHeight="1" x14ac:dyDescent="0.25">
      <c r="A30" s="55" t="s">
        <v>501</v>
      </c>
      <c r="B30" s="55" t="s">
        <v>502</v>
      </c>
      <c r="C30" s="55">
        <v>1200</v>
      </c>
      <c r="D30" s="549">
        <v>750</v>
      </c>
      <c r="E30" s="549">
        <v>1400</v>
      </c>
      <c r="F30" s="549">
        <v>1300</v>
      </c>
      <c r="G30" s="430">
        <v>6200</v>
      </c>
      <c r="H30" s="56">
        <v>14200</v>
      </c>
      <c r="I30" s="55">
        <v>4200</v>
      </c>
      <c r="J30" s="527" t="s">
        <v>122</v>
      </c>
      <c r="K30" s="245">
        <v>755792</v>
      </c>
      <c r="L30" s="244"/>
      <c r="M30" s="55" t="s">
        <v>1037</v>
      </c>
      <c r="N30" s="64" t="s">
        <v>1032</v>
      </c>
      <c r="O30" s="66">
        <v>28</v>
      </c>
      <c r="P30" s="20"/>
      <c r="Q30" s="18"/>
      <c r="R30" s="7">
        <v>4500</v>
      </c>
      <c r="S30" s="7"/>
      <c r="T30" s="7"/>
      <c r="U30" s="7"/>
      <c r="V30" s="18"/>
      <c r="W30" s="7">
        <f t="shared" si="0"/>
        <v>0</v>
      </c>
      <c r="X30" s="118">
        <v>119.13</v>
      </c>
      <c r="Y30" s="149">
        <v>103.88</v>
      </c>
      <c r="Z30" s="9">
        <f t="shared" si="1"/>
        <v>536085</v>
      </c>
      <c r="AA30" s="256">
        <f t="shared" si="2"/>
        <v>0</v>
      </c>
      <c r="AB30" s="31"/>
      <c r="AC30" s="22"/>
    </row>
    <row r="31" spans="1:29" s="4" customFormat="1" ht="15" customHeight="1" x14ac:dyDescent="0.25">
      <c r="A31" s="96" t="s">
        <v>1081</v>
      </c>
      <c r="B31" s="96" t="s">
        <v>1082</v>
      </c>
      <c r="C31" s="66"/>
      <c r="D31" s="342">
        <v>250</v>
      </c>
      <c r="E31" s="342">
        <v>300</v>
      </c>
      <c r="F31" s="342">
        <v>450</v>
      </c>
      <c r="G31" s="171">
        <v>0</v>
      </c>
      <c r="H31" s="62">
        <v>3600</v>
      </c>
      <c r="I31" s="66">
        <v>0</v>
      </c>
      <c r="J31" s="296" t="s">
        <v>122</v>
      </c>
      <c r="K31" s="121">
        <v>755792</v>
      </c>
      <c r="L31" s="66"/>
      <c r="M31" s="63" t="s">
        <v>1083</v>
      </c>
      <c r="N31" s="64" t="s">
        <v>1032</v>
      </c>
      <c r="O31" s="54">
        <v>29</v>
      </c>
      <c r="P31" s="20" t="s">
        <v>1038</v>
      </c>
      <c r="Q31" s="18" t="s">
        <v>2003</v>
      </c>
      <c r="R31" s="7">
        <v>3400</v>
      </c>
      <c r="S31" s="7"/>
      <c r="T31" s="7"/>
      <c r="U31" s="7">
        <v>3400</v>
      </c>
      <c r="V31" s="18">
        <v>1400</v>
      </c>
      <c r="W31" s="7">
        <f t="shared" si="0"/>
        <v>4800</v>
      </c>
      <c r="X31" s="118">
        <v>119.13</v>
      </c>
      <c r="Y31" s="159">
        <v>92.87</v>
      </c>
      <c r="Z31" s="9">
        <f t="shared" si="1"/>
        <v>405042</v>
      </c>
      <c r="AA31" s="256">
        <f t="shared" si="2"/>
        <v>445776</v>
      </c>
      <c r="AB31" s="31"/>
      <c r="AC31" s="680"/>
    </row>
    <row r="32" spans="1:29" s="4" customFormat="1" ht="17.25" customHeight="1" x14ac:dyDescent="0.25">
      <c r="A32" s="421" t="s">
        <v>266</v>
      </c>
      <c r="B32" s="421" t="s">
        <v>267</v>
      </c>
      <c r="C32" s="421" t="s">
        <v>1084</v>
      </c>
      <c r="D32" s="55">
        <v>50</v>
      </c>
      <c r="E32" s="55">
        <v>60</v>
      </c>
      <c r="F32" s="55">
        <v>60</v>
      </c>
      <c r="G32" s="430">
        <v>200</v>
      </c>
      <c r="H32" s="56">
        <v>600</v>
      </c>
      <c r="I32" s="55">
        <v>480</v>
      </c>
      <c r="J32" s="251"/>
      <c r="K32" s="245">
        <v>755792</v>
      </c>
      <c r="L32" s="55"/>
      <c r="M32" s="55" t="s">
        <v>263</v>
      </c>
      <c r="N32" s="64" t="s">
        <v>1032</v>
      </c>
      <c r="O32" s="54">
        <v>30</v>
      </c>
      <c r="P32" s="20"/>
      <c r="Q32" s="13"/>
      <c r="R32" s="7">
        <v>120</v>
      </c>
      <c r="S32" s="7"/>
      <c r="T32" s="7"/>
      <c r="U32" s="7"/>
      <c r="V32" s="18"/>
      <c r="W32" s="7">
        <f t="shared" si="0"/>
        <v>0</v>
      </c>
      <c r="X32" s="160">
        <v>49325</v>
      </c>
      <c r="Y32" s="159">
        <v>75773.06</v>
      </c>
      <c r="Z32" s="9">
        <f t="shared" si="1"/>
        <v>5919000</v>
      </c>
      <c r="AA32" s="256">
        <f t="shared" si="2"/>
        <v>0</v>
      </c>
      <c r="AB32" s="18"/>
      <c r="AC32" s="680"/>
    </row>
    <row r="33" spans="1:28" s="4" customFormat="1" ht="18" customHeight="1" x14ac:dyDescent="0.25">
      <c r="A33" s="66" t="s">
        <v>1085</v>
      </c>
      <c r="B33" s="66" t="s">
        <v>1086</v>
      </c>
      <c r="C33" s="54">
        <v>4500</v>
      </c>
      <c r="D33" s="66">
        <v>2250</v>
      </c>
      <c r="E33" s="66">
        <v>3500</v>
      </c>
      <c r="F33" s="237">
        <v>3000</v>
      </c>
      <c r="G33" s="171">
        <v>0</v>
      </c>
      <c r="H33" s="62">
        <v>16000</v>
      </c>
      <c r="I33" s="66">
        <v>0</v>
      </c>
      <c r="J33" s="296" t="s">
        <v>122</v>
      </c>
      <c r="K33" s="121">
        <v>755894</v>
      </c>
      <c r="L33" s="66"/>
      <c r="M33" s="66" t="s">
        <v>263</v>
      </c>
      <c r="N33" s="64" t="s">
        <v>1087</v>
      </c>
      <c r="O33" s="66">
        <v>1</v>
      </c>
      <c r="P33" s="18" t="s">
        <v>1088</v>
      </c>
      <c r="Q33" s="18"/>
      <c r="R33" s="7">
        <f>((F33*15)-G33-I33)/2</f>
        <v>22500</v>
      </c>
      <c r="S33" s="7"/>
      <c r="T33" s="7"/>
      <c r="U33" s="7">
        <v>19980</v>
      </c>
      <c r="V33" s="18"/>
      <c r="W33" s="7">
        <f t="shared" si="0"/>
        <v>19980</v>
      </c>
      <c r="X33" s="118">
        <v>2500</v>
      </c>
      <c r="Y33" s="149">
        <v>2680.73</v>
      </c>
      <c r="Z33" s="9">
        <f t="shared" si="1"/>
        <v>56250000</v>
      </c>
      <c r="AA33" s="256">
        <f t="shared" si="2"/>
        <v>53560985.399999999</v>
      </c>
      <c r="AB33" s="18"/>
    </row>
    <row r="34" spans="1:28" s="4" customFormat="1" ht="17.25" customHeight="1" x14ac:dyDescent="0.25">
      <c r="A34" s="66" t="s">
        <v>1089</v>
      </c>
      <c r="B34" s="66" t="s">
        <v>1090</v>
      </c>
      <c r="C34" s="54">
        <v>15000</v>
      </c>
      <c r="D34" s="66">
        <v>17000</v>
      </c>
      <c r="E34" s="66">
        <v>17000</v>
      </c>
      <c r="F34" s="66">
        <v>19000</v>
      </c>
      <c r="G34" s="171">
        <v>41800</v>
      </c>
      <c r="H34" s="62">
        <v>90000</v>
      </c>
      <c r="I34" s="66">
        <v>30000</v>
      </c>
      <c r="J34" s="296" t="s">
        <v>122</v>
      </c>
      <c r="K34" s="121">
        <v>755894</v>
      </c>
      <c r="L34" s="66"/>
      <c r="M34" s="66" t="s">
        <v>263</v>
      </c>
      <c r="N34" s="64" t="s">
        <v>1087</v>
      </c>
      <c r="O34" s="66">
        <v>2</v>
      </c>
      <c r="P34" s="20" t="s">
        <v>1088</v>
      </c>
      <c r="Q34" s="18"/>
      <c r="R34" s="7">
        <v>105000</v>
      </c>
      <c r="S34" s="7"/>
      <c r="T34" s="7"/>
      <c r="U34" s="7">
        <v>105000</v>
      </c>
      <c r="V34" s="6"/>
      <c r="W34" s="7">
        <f t="shared" si="0"/>
        <v>105000</v>
      </c>
      <c r="X34" s="118">
        <v>485.38</v>
      </c>
      <c r="Y34" s="149">
        <v>556.19000000000005</v>
      </c>
      <c r="Z34" s="9">
        <f t="shared" si="1"/>
        <v>50964900</v>
      </c>
      <c r="AA34" s="256">
        <f t="shared" si="2"/>
        <v>58399950.000000007</v>
      </c>
      <c r="AB34" s="31"/>
    </row>
    <row r="35" spans="1:28" s="4" customFormat="1" ht="17.25" customHeight="1" x14ac:dyDescent="0.25">
      <c r="A35" s="357" t="s">
        <v>1091</v>
      </c>
      <c r="B35" s="357" t="s">
        <v>1092</v>
      </c>
      <c r="C35" s="358">
        <v>1000</v>
      </c>
      <c r="D35" s="359">
        <v>1000</v>
      </c>
      <c r="E35" s="359">
        <v>1000</v>
      </c>
      <c r="F35" s="359">
        <v>1000</v>
      </c>
      <c r="G35" s="360">
        <v>1500</v>
      </c>
      <c r="H35" s="361">
        <v>12000</v>
      </c>
      <c r="I35" s="357">
        <v>0</v>
      </c>
      <c r="J35" s="296" t="s">
        <v>122</v>
      </c>
      <c r="K35" s="121">
        <v>755907</v>
      </c>
      <c r="L35" s="66"/>
      <c r="M35" s="66" t="s">
        <v>293</v>
      </c>
      <c r="N35" s="64" t="s">
        <v>1093</v>
      </c>
      <c r="O35" s="66">
        <v>1</v>
      </c>
      <c r="P35" s="20" t="s">
        <v>1094</v>
      </c>
      <c r="Q35" s="18" t="s">
        <v>1989</v>
      </c>
      <c r="R35" s="7">
        <v>7000</v>
      </c>
      <c r="S35" s="7"/>
      <c r="T35" s="7"/>
      <c r="U35" s="7">
        <v>7000</v>
      </c>
      <c r="V35" s="18">
        <v>2000</v>
      </c>
      <c r="W35" s="7">
        <f t="shared" ref="W35:W66" si="3">U35+V35</f>
        <v>9000</v>
      </c>
      <c r="X35" s="118">
        <v>39.99</v>
      </c>
      <c r="Y35" s="149">
        <v>32.799999999999997</v>
      </c>
      <c r="Z35" s="9">
        <f t="shared" ref="Z35:Z66" si="4">R35*X35</f>
        <v>279930</v>
      </c>
      <c r="AA35" s="256">
        <f t="shared" ref="AA35:AA66" si="5">W35*Y35</f>
        <v>295200</v>
      </c>
      <c r="AB35" s="31"/>
    </row>
    <row r="36" spans="1:28" s="4" customFormat="1" ht="18" customHeight="1" x14ac:dyDescent="0.25">
      <c r="A36" s="357" t="s">
        <v>1095</v>
      </c>
      <c r="B36" s="357" t="s">
        <v>1096</v>
      </c>
      <c r="C36" s="357">
        <v>2250</v>
      </c>
      <c r="D36" s="357">
        <v>2500</v>
      </c>
      <c r="E36" s="357">
        <v>2500</v>
      </c>
      <c r="F36" s="357">
        <v>2600</v>
      </c>
      <c r="G36" s="360">
        <v>8000</v>
      </c>
      <c r="H36" s="361">
        <v>15000</v>
      </c>
      <c r="I36" s="357">
        <v>10000</v>
      </c>
      <c r="J36" s="296" t="s">
        <v>122</v>
      </c>
      <c r="K36" s="121">
        <v>755907</v>
      </c>
      <c r="L36" s="66"/>
      <c r="M36" s="66" t="s">
        <v>263</v>
      </c>
      <c r="N36" s="64" t="s">
        <v>1093</v>
      </c>
      <c r="O36" s="66">
        <v>2</v>
      </c>
      <c r="P36" s="20" t="s">
        <v>1097</v>
      </c>
      <c r="Q36" s="13" t="s">
        <v>1990</v>
      </c>
      <c r="R36" s="7">
        <v>11000</v>
      </c>
      <c r="S36" s="7"/>
      <c r="T36" s="7"/>
      <c r="U36" s="7">
        <v>11000</v>
      </c>
      <c r="V36" s="18">
        <v>5500</v>
      </c>
      <c r="W36" s="7">
        <f t="shared" si="3"/>
        <v>16500</v>
      </c>
      <c r="X36" s="160">
        <v>55.37</v>
      </c>
      <c r="Y36" s="159">
        <v>53.85</v>
      </c>
      <c r="Z36" s="9">
        <f t="shared" si="4"/>
        <v>609070</v>
      </c>
      <c r="AA36" s="256">
        <f t="shared" si="5"/>
        <v>888525</v>
      </c>
      <c r="AB36" s="23"/>
    </row>
    <row r="37" spans="1:28" s="4" customFormat="1" ht="18.75" customHeight="1" x14ac:dyDescent="0.25">
      <c r="A37" s="357" t="s">
        <v>1098</v>
      </c>
      <c r="B37" s="357" t="s">
        <v>1099</v>
      </c>
      <c r="C37" s="358">
        <v>5500</v>
      </c>
      <c r="D37" s="357">
        <v>4500</v>
      </c>
      <c r="E37" s="357">
        <v>6500</v>
      </c>
      <c r="F37" s="357">
        <v>8000</v>
      </c>
      <c r="G37" s="360">
        <v>56000</v>
      </c>
      <c r="H37" s="361">
        <v>72000</v>
      </c>
      <c r="I37" s="357">
        <v>0</v>
      </c>
      <c r="J37" s="296" t="s">
        <v>122</v>
      </c>
      <c r="K37" s="121">
        <v>755907</v>
      </c>
      <c r="L37" s="66"/>
      <c r="M37" s="66" t="s">
        <v>263</v>
      </c>
      <c r="N37" s="64" t="s">
        <v>1093</v>
      </c>
      <c r="O37" s="66">
        <v>3</v>
      </c>
      <c r="P37" s="20" t="s">
        <v>1097</v>
      </c>
      <c r="Q37" s="13" t="s">
        <v>1990</v>
      </c>
      <c r="R37" s="7">
        <v>32000</v>
      </c>
      <c r="S37" s="7"/>
      <c r="T37" s="7"/>
      <c r="U37" s="7">
        <v>32000</v>
      </c>
      <c r="V37" s="18">
        <v>6400</v>
      </c>
      <c r="W37" s="7">
        <f t="shared" si="3"/>
        <v>38400</v>
      </c>
      <c r="X37" s="118">
        <v>58.99</v>
      </c>
      <c r="Y37" s="149">
        <v>62.5</v>
      </c>
      <c r="Z37" s="9">
        <f t="shared" si="4"/>
        <v>1887680</v>
      </c>
      <c r="AA37" s="256">
        <f t="shared" si="5"/>
        <v>2400000</v>
      </c>
      <c r="AB37" s="18"/>
    </row>
    <row r="38" spans="1:28" s="4" customFormat="1" ht="20.25" customHeight="1" x14ac:dyDescent="0.25">
      <c r="A38" s="357" t="s">
        <v>180</v>
      </c>
      <c r="B38" s="357" t="s">
        <v>1100</v>
      </c>
      <c r="C38" s="357">
        <v>3000</v>
      </c>
      <c r="D38" s="357">
        <v>3000</v>
      </c>
      <c r="E38" s="357">
        <v>3000</v>
      </c>
      <c r="F38" s="357">
        <v>3000</v>
      </c>
      <c r="G38" s="360">
        <v>0</v>
      </c>
      <c r="H38" s="361">
        <v>17000</v>
      </c>
      <c r="I38" s="357">
        <v>16000</v>
      </c>
      <c r="J38" s="296" t="s">
        <v>122</v>
      </c>
      <c r="K38" s="121">
        <v>755907</v>
      </c>
      <c r="L38" s="66"/>
      <c r="M38" s="66" t="s">
        <v>259</v>
      </c>
      <c r="N38" s="64" t="s">
        <v>1093</v>
      </c>
      <c r="O38" s="66">
        <v>4</v>
      </c>
      <c r="P38" s="20" t="s">
        <v>1101</v>
      </c>
      <c r="Q38" s="13" t="s">
        <v>1991</v>
      </c>
      <c r="R38" s="7">
        <v>15000</v>
      </c>
      <c r="S38" s="7"/>
      <c r="T38" s="7"/>
      <c r="U38" s="7">
        <v>15000</v>
      </c>
      <c r="V38" s="18">
        <v>3000</v>
      </c>
      <c r="W38" s="7">
        <f t="shared" si="3"/>
        <v>18000</v>
      </c>
      <c r="X38" s="160">
        <v>125</v>
      </c>
      <c r="Y38" s="159">
        <v>89.93</v>
      </c>
      <c r="Z38" s="9">
        <f t="shared" si="4"/>
        <v>1875000</v>
      </c>
      <c r="AA38" s="256">
        <f t="shared" si="5"/>
        <v>1618740.0000000002</v>
      </c>
      <c r="AB38" s="23"/>
    </row>
    <row r="39" spans="1:28" s="4" customFormat="1" ht="18.75" customHeight="1" x14ac:dyDescent="0.25">
      <c r="A39" s="357" t="s">
        <v>1102</v>
      </c>
      <c r="B39" s="357" t="s">
        <v>1103</v>
      </c>
      <c r="C39" s="357">
        <v>1000</v>
      </c>
      <c r="D39" s="357">
        <v>1700</v>
      </c>
      <c r="E39" s="357">
        <v>2100</v>
      </c>
      <c r="F39" s="357">
        <v>3000</v>
      </c>
      <c r="G39" s="360">
        <v>3810</v>
      </c>
      <c r="H39" s="361">
        <v>18600</v>
      </c>
      <c r="I39" s="357">
        <v>0</v>
      </c>
      <c r="J39" s="296" t="s">
        <v>122</v>
      </c>
      <c r="K39" s="121">
        <v>755907</v>
      </c>
      <c r="L39" s="66"/>
      <c r="M39" s="66" t="s">
        <v>1037</v>
      </c>
      <c r="N39" s="64" t="s">
        <v>1093</v>
      </c>
      <c r="O39" s="66">
        <v>5</v>
      </c>
      <c r="P39" s="20" t="s">
        <v>1104</v>
      </c>
      <c r="Q39" s="18" t="s">
        <v>1992</v>
      </c>
      <c r="R39" s="7">
        <v>21000</v>
      </c>
      <c r="S39" s="7"/>
      <c r="T39" s="7"/>
      <c r="U39" s="7">
        <v>21000</v>
      </c>
      <c r="V39" s="18">
        <v>10000</v>
      </c>
      <c r="W39" s="7">
        <f t="shared" si="3"/>
        <v>31000</v>
      </c>
      <c r="X39" s="149">
        <v>105.36</v>
      </c>
      <c r="Y39" s="149">
        <v>106.48</v>
      </c>
      <c r="Z39" s="9">
        <f t="shared" si="4"/>
        <v>2212560</v>
      </c>
      <c r="AA39" s="256">
        <f t="shared" si="5"/>
        <v>3300880</v>
      </c>
      <c r="AB39" s="18"/>
    </row>
    <row r="40" spans="1:28" s="4" customFormat="1" ht="18.75" customHeight="1" x14ac:dyDescent="0.25">
      <c r="A40" s="357" t="s">
        <v>1105</v>
      </c>
      <c r="B40" s="357" t="s">
        <v>1106</v>
      </c>
      <c r="C40" s="358">
        <v>300</v>
      </c>
      <c r="D40" s="357">
        <v>400</v>
      </c>
      <c r="E40" s="357">
        <v>400</v>
      </c>
      <c r="F40" s="357">
        <v>600</v>
      </c>
      <c r="G40" s="360">
        <v>900</v>
      </c>
      <c r="H40" s="361">
        <v>4400</v>
      </c>
      <c r="I40" s="357">
        <v>2200</v>
      </c>
      <c r="J40" s="296" t="s">
        <v>122</v>
      </c>
      <c r="K40" s="121">
        <v>755907</v>
      </c>
      <c r="L40" s="66"/>
      <c r="M40" s="66" t="s">
        <v>263</v>
      </c>
      <c r="N40" s="64" t="s">
        <v>1093</v>
      </c>
      <c r="O40" s="66">
        <v>6</v>
      </c>
      <c r="P40" s="20" t="s">
        <v>1097</v>
      </c>
      <c r="Q40" s="13" t="s">
        <v>1990</v>
      </c>
      <c r="R40" s="7">
        <v>3000</v>
      </c>
      <c r="S40" s="7"/>
      <c r="T40" s="7"/>
      <c r="U40" s="7">
        <v>3000</v>
      </c>
      <c r="V40" s="18">
        <v>3000</v>
      </c>
      <c r="W40" s="7">
        <f t="shared" si="3"/>
        <v>6000</v>
      </c>
      <c r="X40" s="159">
        <v>123.46</v>
      </c>
      <c r="Y40" s="159">
        <v>88.48</v>
      </c>
      <c r="Z40" s="9">
        <f t="shared" si="4"/>
        <v>370380</v>
      </c>
      <c r="AA40" s="256">
        <f t="shared" si="5"/>
        <v>530880</v>
      </c>
      <c r="AB40" s="8"/>
    </row>
    <row r="41" spans="1:28" s="4" customFormat="1" ht="18" customHeight="1" x14ac:dyDescent="0.25">
      <c r="A41" s="357" t="s">
        <v>1107</v>
      </c>
      <c r="B41" s="357" t="s">
        <v>1108</v>
      </c>
      <c r="C41" s="358">
        <v>300</v>
      </c>
      <c r="D41" s="357">
        <v>400</v>
      </c>
      <c r="E41" s="357">
        <v>500</v>
      </c>
      <c r="F41" s="357">
        <v>500</v>
      </c>
      <c r="G41" s="360">
        <v>2700</v>
      </c>
      <c r="H41" s="361">
        <v>3600</v>
      </c>
      <c r="I41" s="357">
        <v>0</v>
      </c>
      <c r="J41" s="296" t="s">
        <v>122</v>
      </c>
      <c r="K41" s="121">
        <v>755907</v>
      </c>
      <c r="L41" s="66"/>
      <c r="M41" s="66" t="s">
        <v>293</v>
      </c>
      <c r="N41" s="64" t="s">
        <v>1093</v>
      </c>
      <c r="O41" s="66">
        <v>7</v>
      </c>
      <c r="P41" s="20" t="s">
        <v>1094</v>
      </c>
      <c r="Q41" s="18" t="s">
        <v>1989</v>
      </c>
      <c r="R41" s="7">
        <v>2400</v>
      </c>
      <c r="S41" s="7"/>
      <c r="T41" s="7"/>
      <c r="U41" s="7">
        <v>2400</v>
      </c>
      <c r="V41" s="18">
        <v>2400</v>
      </c>
      <c r="W41" s="7">
        <f t="shared" si="3"/>
        <v>4800</v>
      </c>
      <c r="X41" s="149">
        <v>75.540000000000006</v>
      </c>
      <c r="Y41" s="149">
        <v>81.2</v>
      </c>
      <c r="Z41" s="9">
        <f t="shared" si="4"/>
        <v>181296.00000000003</v>
      </c>
      <c r="AA41" s="256">
        <f t="shared" si="5"/>
        <v>389760</v>
      </c>
      <c r="AB41" s="18"/>
    </row>
    <row r="42" spans="1:28" s="4" customFormat="1" x14ac:dyDescent="0.25">
      <c r="A42" s="357" t="s">
        <v>1109</v>
      </c>
      <c r="B42" s="357" t="s">
        <v>1110</v>
      </c>
      <c r="C42" s="358">
        <v>300</v>
      </c>
      <c r="D42" s="357">
        <v>300</v>
      </c>
      <c r="E42" s="357">
        <v>500</v>
      </c>
      <c r="F42" s="357">
        <v>500</v>
      </c>
      <c r="G42" s="360">
        <v>1490</v>
      </c>
      <c r="H42" s="361">
        <v>2400</v>
      </c>
      <c r="I42" s="357">
        <v>1000</v>
      </c>
      <c r="J42" s="296" t="s">
        <v>122</v>
      </c>
      <c r="K42" s="121">
        <v>755907</v>
      </c>
      <c r="L42" s="66"/>
      <c r="M42" s="66" t="s">
        <v>293</v>
      </c>
      <c r="N42" s="64" t="s">
        <v>1093</v>
      </c>
      <c r="O42" s="66">
        <v>8</v>
      </c>
      <c r="P42" s="18" t="s">
        <v>1094</v>
      </c>
      <c r="Q42" s="18" t="s">
        <v>1989</v>
      </c>
      <c r="R42" s="7">
        <v>2500</v>
      </c>
      <c r="S42" s="7"/>
      <c r="T42" s="7"/>
      <c r="U42" s="7">
        <v>2500</v>
      </c>
      <c r="V42" s="18">
        <v>600</v>
      </c>
      <c r="W42" s="7">
        <f t="shared" si="3"/>
        <v>3100</v>
      </c>
      <c r="X42" s="118">
        <v>294.5</v>
      </c>
      <c r="Y42" s="149">
        <v>219</v>
      </c>
      <c r="Z42" s="9">
        <f t="shared" si="4"/>
        <v>736250</v>
      </c>
      <c r="AA42" s="256">
        <f t="shared" si="5"/>
        <v>678900</v>
      </c>
      <c r="AB42" s="18"/>
    </row>
    <row r="43" spans="1:28" s="4" customFormat="1" x14ac:dyDescent="0.25">
      <c r="A43" s="357" t="s">
        <v>1111</v>
      </c>
      <c r="B43" s="357" t="s">
        <v>1112</v>
      </c>
      <c r="C43" s="358">
        <v>5000</v>
      </c>
      <c r="D43" s="357">
        <v>2800</v>
      </c>
      <c r="E43" s="357">
        <v>3500</v>
      </c>
      <c r="F43" s="357">
        <v>3200</v>
      </c>
      <c r="G43" s="360">
        <v>18000</v>
      </c>
      <c r="H43" s="361">
        <v>21000</v>
      </c>
      <c r="I43" s="357">
        <v>0</v>
      </c>
      <c r="J43" s="296" t="s">
        <v>122</v>
      </c>
      <c r="K43" s="121">
        <v>755907</v>
      </c>
      <c r="L43" s="66"/>
      <c r="M43" s="66" t="s">
        <v>1037</v>
      </c>
      <c r="N43" s="64" t="s">
        <v>1093</v>
      </c>
      <c r="O43" s="66">
        <v>9</v>
      </c>
      <c r="P43" s="18" t="s">
        <v>1104</v>
      </c>
      <c r="Q43" s="7" t="s">
        <v>1992</v>
      </c>
      <c r="R43" s="7">
        <v>15000</v>
      </c>
      <c r="S43" s="7"/>
      <c r="T43" s="7"/>
      <c r="U43" s="7">
        <v>15000</v>
      </c>
      <c r="V43" s="18">
        <v>15000</v>
      </c>
      <c r="W43" s="7">
        <f t="shared" si="3"/>
        <v>30000</v>
      </c>
      <c r="X43" s="118">
        <v>54.92</v>
      </c>
      <c r="Y43" s="118">
        <v>51.84</v>
      </c>
      <c r="Z43" s="9">
        <f t="shared" si="4"/>
        <v>823800</v>
      </c>
      <c r="AA43" s="256">
        <f t="shared" si="5"/>
        <v>1555200</v>
      </c>
      <c r="AB43" s="18"/>
    </row>
    <row r="44" spans="1:28" s="4" customFormat="1" x14ac:dyDescent="0.25">
      <c r="A44" s="357" t="s">
        <v>1113</v>
      </c>
      <c r="B44" s="357" t="s">
        <v>1114</v>
      </c>
      <c r="C44" s="357"/>
      <c r="D44" s="362">
        <v>15000</v>
      </c>
      <c r="E44" s="362">
        <v>16000</v>
      </c>
      <c r="F44" s="362">
        <v>16000</v>
      </c>
      <c r="G44" s="360">
        <v>9200</v>
      </c>
      <c r="H44" s="361">
        <v>36000</v>
      </c>
      <c r="I44" s="363">
        <v>0</v>
      </c>
      <c r="J44" s="296" t="s">
        <v>122</v>
      </c>
      <c r="K44" s="121">
        <v>755907</v>
      </c>
      <c r="L44" s="66"/>
      <c r="M44" s="66" t="s">
        <v>263</v>
      </c>
      <c r="N44" s="64" t="s">
        <v>1093</v>
      </c>
      <c r="O44" s="66">
        <v>10</v>
      </c>
      <c r="P44" s="20" t="s">
        <v>1097</v>
      </c>
      <c r="Q44" s="74"/>
      <c r="R44" s="7">
        <v>60000</v>
      </c>
      <c r="S44" s="107"/>
      <c r="T44" s="107"/>
      <c r="U44" s="7">
        <v>60000</v>
      </c>
      <c r="V44" s="264"/>
      <c r="W44" s="7">
        <f t="shared" si="3"/>
        <v>60000</v>
      </c>
      <c r="X44" s="159">
        <v>120.75</v>
      </c>
      <c r="Y44" s="159">
        <v>103.45</v>
      </c>
      <c r="Z44" s="9">
        <f t="shared" si="4"/>
        <v>7245000</v>
      </c>
      <c r="AA44" s="256">
        <f t="shared" si="5"/>
        <v>6207000</v>
      </c>
      <c r="AB44" s="8"/>
    </row>
    <row r="45" spans="1:28" s="4" customFormat="1" x14ac:dyDescent="0.25">
      <c r="A45" s="357" t="s">
        <v>1115</v>
      </c>
      <c r="B45" s="357" t="s">
        <v>1116</v>
      </c>
      <c r="C45" s="358">
        <v>2000</v>
      </c>
      <c r="D45" s="357">
        <v>4500</v>
      </c>
      <c r="E45" s="357">
        <v>4500</v>
      </c>
      <c r="F45" s="357">
        <v>4500</v>
      </c>
      <c r="G45" s="360">
        <v>0</v>
      </c>
      <c r="H45" s="361">
        <v>15000</v>
      </c>
      <c r="I45" s="357">
        <v>0</v>
      </c>
      <c r="J45" s="296" t="s">
        <v>122</v>
      </c>
      <c r="K45" s="121">
        <v>755907</v>
      </c>
      <c r="L45" s="66"/>
      <c r="M45" s="66" t="s">
        <v>263</v>
      </c>
      <c r="N45" s="64" t="s">
        <v>1093</v>
      </c>
      <c r="O45" s="66">
        <v>11</v>
      </c>
      <c r="P45" s="20" t="s">
        <v>1097</v>
      </c>
      <c r="Q45" s="18"/>
      <c r="R45" s="7">
        <v>35000</v>
      </c>
      <c r="S45" s="7"/>
      <c r="T45" s="7"/>
      <c r="U45" s="7">
        <v>34900</v>
      </c>
      <c r="V45" s="18"/>
      <c r="W45" s="7">
        <f t="shared" si="3"/>
        <v>34900</v>
      </c>
      <c r="X45" s="118">
        <v>390</v>
      </c>
      <c r="Y45" s="118">
        <v>497.61</v>
      </c>
      <c r="Z45" s="9">
        <f t="shared" si="4"/>
        <v>13650000</v>
      </c>
      <c r="AA45" s="256">
        <f t="shared" si="5"/>
        <v>17366589</v>
      </c>
      <c r="AB45" s="18"/>
    </row>
    <row r="46" spans="1:28" s="4" customFormat="1" x14ac:dyDescent="0.25">
      <c r="A46" s="357" t="s">
        <v>1117</v>
      </c>
      <c r="B46" s="358" t="s">
        <v>1118</v>
      </c>
      <c r="C46" s="358">
        <v>6000</v>
      </c>
      <c r="D46" s="357">
        <v>3700</v>
      </c>
      <c r="E46" s="357">
        <v>4000</v>
      </c>
      <c r="F46" s="357">
        <v>6000</v>
      </c>
      <c r="G46" s="360">
        <v>7770</v>
      </c>
      <c r="H46" s="361">
        <v>21000</v>
      </c>
      <c r="I46" s="357">
        <v>0</v>
      </c>
      <c r="J46" s="296" t="s">
        <v>122</v>
      </c>
      <c r="K46" s="121">
        <v>755907</v>
      </c>
      <c r="L46" s="66"/>
      <c r="M46" s="66" t="s">
        <v>263</v>
      </c>
      <c r="N46" s="64" t="s">
        <v>1093</v>
      </c>
      <c r="O46" s="66">
        <v>12</v>
      </c>
      <c r="P46" s="20" t="s">
        <v>1097</v>
      </c>
      <c r="Q46" s="13" t="s">
        <v>1990</v>
      </c>
      <c r="R46" s="7">
        <v>42000</v>
      </c>
      <c r="S46" s="7"/>
      <c r="T46" s="7"/>
      <c r="U46" s="7">
        <v>42000</v>
      </c>
      <c r="V46" s="18">
        <v>12000</v>
      </c>
      <c r="W46" s="7">
        <f t="shared" si="3"/>
        <v>54000</v>
      </c>
      <c r="X46" s="118">
        <v>25.85</v>
      </c>
      <c r="Y46" s="149">
        <v>30.9</v>
      </c>
      <c r="Z46" s="9">
        <f t="shared" si="4"/>
        <v>1085700</v>
      </c>
      <c r="AA46" s="256">
        <f t="shared" si="5"/>
        <v>1668600</v>
      </c>
      <c r="AB46" s="18"/>
    </row>
    <row r="47" spans="1:28" s="4" customFormat="1" x14ac:dyDescent="0.25">
      <c r="A47" s="357" t="s">
        <v>1119</v>
      </c>
      <c r="B47" s="357" t="s">
        <v>1120</v>
      </c>
      <c r="C47" s="358">
        <v>20000</v>
      </c>
      <c r="D47" s="357">
        <v>19300</v>
      </c>
      <c r="E47" s="357">
        <v>22000</v>
      </c>
      <c r="F47" s="357">
        <v>21000</v>
      </c>
      <c r="G47" s="360">
        <v>138520</v>
      </c>
      <c r="H47" s="361">
        <v>60000</v>
      </c>
      <c r="I47" s="357">
        <v>0</v>
      </c>
      <c r="J47" s="296" t="s">
        <v>122</v>
      </c>
      <c r="K47" s="121">
        <v>755907</v>
      </c>
      <c r="L47" s="66"/>
      <c r="M47" s="66" t="s">
        <v>263</v>
      </c>
      <c r="N47" s="64" t="s">
        <v>1093</v>
      </c>
      <c r="O47" s="66">
        <v>13</v>
      </c>
      <c r="P47" s="20" t="s">
        <v>1097</v>
      </c>
      <c r="Q47" s="13" t="s">
        <v>1990</v>
      </c>
      <c r="R47" s="7">
        <v>90000</v>
      </c>
      <c r="S47" s="7"/>
      <c r="T47" s="7"/>
      <c r="U47" s="7">
        <v>90000</v>
      </c>
      <c r="V47" s="18">
        <v>90000</v>
      </c>
      <c r="W47" s="7">
        <f t="shared" si="3"/>
        <v>180000</v>
      </c>
      <c r="X47" s="118">
        <v>39.5</v>
      </c>
      <c r="Y47" s="149">
        <v>33.9</v>
      </c>
      <c r="Z47" s="9">
        <f t="shared" si="4"/>
        <v>3555000</v>
      </c>
      <c r="AA47" s="256">
        <f t="shared" si="5"/>
        <v>6102000</v>
      </c>
      <c r="AB47" s="18"/>
    </row>
    <row r="48" spans="1:28" s="4" customFormat="1" ht="18" customHeight="1" x14ac:dyDescent="0.25">
      <c r="A48" s="357" t="s">
        <v>1121</v>
      </c>
      <c r="B48" s="357" t="s">
        <v>1122</v>
      </c>
      <c r="C48" s="357">
        <v>200</v>
      </c>
      <c r="D48" s="357">
        <v>100</v>
      </c>
      <c r="E48" s="357">
        <v>10</v>
      </c>
      <c r="F48" s="357">
        <v>10</v>
      </c>
      <c r="G48" s="360">
        <v>0</v>
      </c>
      <c r="H48" s="361">
        <v>100</v>
      </c>
      <c r="I48" s="357">
        <v>0</v>
      </c>
      <c r="J48" s="296" t="s">
        <v>122</v>
      </c>
      <c r="K48" s="121">
        <v>755907</v>
      </c>
      <c r="L48" s="66"/>
      <c r="M48" s="66" t="s">
        <v>272</v>
      </c>
      <c r="N48" s="64" t="s">
        <v>1093</v>
      </c>
      <c r="O48" s="66">
        <v>14</v>
      </c>
      <c r="P48" s="18" t="s">
        <v>1123</v>
      </c>
      <c r="Q48" s="13"/>
      <c r="R48" s="7">
        <v>100</v>
      </c>
      <c r="S48" s="7"/>
      <c r="T48" s="7"/>
      <c r="U48" s="7">
        <v>100</v>
      </c>
      <c r="V48" s="18"/>
      <c r="W48" s="7">
        <f t="shared" si="3"/>
        <v>100</v>
      </c>
      <c r="X48" s="160">
        <v>419.8</v>
      </c>
      <c r="Y48" s="159">
        <v>1300.01</v>
      </c>
      <c r="Z48" s="9">
        <f t="shared" si="4"/>
        <v>41980</v>
      </c>
      <c r="AA48" s="256">
        <f t="shared" si="5"/>
        <v>130001</v>
      </c>
      <c r="AB48" s="31"/>
    </row>
    <row r="49" spans="1:28" s="4" customFormat="1" x14ac:dyDescent="0.25">
      <c r="A49" s="545" t="s">
        <v>382</v>
      </c>
      <c r="B49" s="545" t="s">
        <v>383</v>
      </c>
      <c r="C49" s="545">
        <v>100</v>
      </c>
      <c r="D49" s="501">
        <v>100</v>
      </c>
      <c r="E49" s="501">
        <v>100</v>
      </c>
      <c r="F49" s="546">
        <v>50</v>
      </c>
      <c r="G49" s="547">
        <v>635</v>
      </c>
      <c r="H49" s="548">
        <v>250</v>
      </c>
      <c r="I49" s="501">
        <v>0</v>
      </c>
      <c r="J49" s="527" t="s">
        <v>122</v>
      </c>
      <c r="K49" s="245">
        <v>755907</v>
      </c>
      <c r="L49" s="55"/>
      <c r="M49" s="55" t="s">
        <v>285</v>
      </c>
      <c r="N49" s="64" t="s">
        <v>1093</v>
      </c>
      <c r="O49" s="66">
        <v>15</v>
      </c>
      <c r="P49" s="18"/>
      <c r="Q49" s="13"/>
      <c r="R49" s="7">
        <v>100</v>
      </c>
      <c r="S49" s="7"/>
      <c r="T49" s="7"/>
      <c r="U49" s="7"/>
      <c r="V49" s="18"/>
      <c r="W49" s="7">
        <f t="shared" si="3"/>
        <v>0</v>
      </c>
      <c r="X49" s="160">
        <v>805</v>
      </c>
      <c r="Y49" s="159"/>
      <c r="Z49" s="9">
        <f t="shared" si="4"/>
        <v>80500</v>
      </c>
      <c r="AA49" s="256">
        <f t="shared" si="5"/>
        <v>0</v>
      </c>
      <c r="AB49" s="31"/>
    </row>
    <row r="50" spans="1:28" s="4" customFormat="1" ht="16.5" customHeight="1" x14ac:dyDescent="0.25">
      <c r="A50" s="498" t="s">
        <v>462</v>
      </c>
      <c r="B50" s="498" t="s">
        <v>463</v>
      </c>
      <c r="C50" s="498">
        <v>500</v>
      </c>
      <c r="D50" s="482">
        <v>600</v>
      </c>
      <c r="E50" s="482">
        <v>600</v>
      </c>
      <c r="F50" s="482">
        <v>600</v>
      </c>
      <c r="G50" s="430">
        <v>6260</v>
      </c>
      <c r="H50" s="56">
        <v>6000</v>
      </c>
      <c r="I50" s="482">
        <v>480</v>
      </c>
      <c r="J50" s="527" t="s">
        <v>122</v>
      </c>
      <c r="K50" s="245">
        <v>755907</v>
      </c>
      <c r="L50" s="55"/>
      <c r="M50" s="93" t="s">
        <v>272</v>
      </c>
      <c r="N50" s="64" t="s">
        <v>1093</v>
      </c>
      <c r="O50" s="66">
        <v>16</v>
      </c>
      <c r="P50" s="18"/>
      <c r="Q50" s="6"/>
      <c r="R50" s="7">
        <v>1200</v>
      </c>
      <c r="S50" s="7"/>
      <c r="T50" s="7"/>
      <c r="U50" s="7"/>
      <c r="V50" s="18"/>
      <c r="W50" s="7">
        <f t="shared" si="3"/>
        <v>0</v>
      </c>
      <c r="X50" s="160">
        <v>144</v>
      </c>
      <c r="Y50" s="461">
        <v>125</v>
      </c>
      <c r="Z50" s="9">
        <f t="shared" si="4"/>
        <v>172800</v>
      </c>
      <c r="AA50" s="256">
        <f t="shared" si="5"/>
        <v>0</v>
      </c>
      <c r="AB50" s="31"/>
    </row>
    <row r="51" spans="1:28" s="4" customFormat="1" ht="16.5" customHeight="1" x14ac:dyDescent="0.25">
      <c r="A51" s="498" t="s">
        <v>464</v>
      </c>
      <c r="B51" s="498" t="s">
        <v>465</v>
      </c>
      <c r="C51" s="498"/>
      <c r="D51" s="482">
        <v>200</v>
      </c>
      <c r="E51" s="482">
        <v>200</v>
      </c>
      <c r="F51" s="482">
        <v>200</v>
      </c>
      <c r="G51" s="430">
        <v>0</v>
      </c>
      <c r="H51" s="56">
        <v>0</v>
      </c>
      <c r="I51" s="482">
        <v>0</v>
      </c>
      <c r="J51" s="527" t="s">
        <v>122</v>
      </c>
      <c r="K51" s="245">
        <v>755907</v>
      </c>
      <c r="L51" s="55"/>
      <c r="M51" s="55" t="s">
        <v>1124</v>
      </c>
      <c r="N51" s="64" t="s">
        <v>1093</v>
      </c>
      <c r="O51" s="66">
        <v>17</v>
      </c>
      <c r="P51" s="18"/>
      <c r="Q51" s="6"/>
      <c r="R51" s="7">
        <f>((F51*15)-G51-I51)/2</f>
        <v>1500</v>
      </c>
      <c r="S51" s="7"/>
      <c r="T51" s="7"/>
      <c r="U51" s="7"/>
      <c r="V51" s="18"/>
      <c r="W51" s="7">
        <f t="shared" si="3"/>
        <v>0</v>
      </c>
      <c r="X51" s="160">
        <v>55.38</v>
      </c>
      <c r="Y51" s="461">
        <v>90</v>
      </c>
      <c r="Z51" s="9">
        <f t="shared" si="4"/>
        <v>83070</v>
      </c>
      <c r="AA51" s="256">
        <f t="shared" si="5"/>
        <v>0</v>
      </c>
      <c r="AB51" s="31"/>
    </row>
    <row r="52" spans="1:28" s="4" customFormat="1" x14ac:dyDescent="0.25">
      <c r="A52" s="66" t="s">
        <v>1125</v>
      </c>
      <c r="B52" s="66" t="s">
        <v>1126</v>
      </c>
      <c r="C52" s="54">
        <v>6000</v>
      </c>
      <c r="D52" s="66">
        <v>4500</v>
      </c>
      <c r="E52" s="66">
        <v>5000</v>
      </c>
      <c r="F52" s="66">
        <v>4500</v>
      </c>
      <c r="G52" s="171"/>
      <c r="H52" s="62">
        <v>40000</v>
      </c>
      <c r="I52" s="66"/>
      <c r="J52" s="296" t="s">
        <v>122</v>
      </c>
      <c r="K52" s="121">
        <v>755907</v>
      </c>
      <c r="L52" s="66"/>
      <c r="M52" s="66" t="s">
        <v>1037</v>
      </c>
      <c r="N52" s="64" t="s">
        <v>1093</v>
      </c>
      <c r="O52" s="66">
        <v>18</v>
      </c>
      <c r="P52" s="18" t="s">
        <v>1104</v>
      </c>
      <c r="Q52" s="18" t="s">
        <v>1992</v>
      </c>
      <c r="R52" s="7">
        <v>32000</v>
      </c>
      <c r="S52" s="7"/>
      <c r="T52" s="7"/>
      <c r="U52" s="7">
        <v>32000</v>
      </c>
      <c r="V52" s="18">
        <v>10000</v>
      </c>
      <c r="W52" s="7">
        <f t="shared" si="3"/>
        <v>42000</v>
      </c>
      <c r="X52" s="118">
        <v>1078.99</v>
      </c>
      <c r="Y52" s="149">
        <v>1124.99</v>
      </c>
      <c r="Z52" s="9">
        <f t="shared" si="4"/>
        <v>34527680</v>
      </c>
      <c r="AA52" s="256">
        <f t="shared" si="5"/>
        <v>47249580</v>
      </c>
      <c r="AB52" s="18"/>
    </row>
    <row r="53" spans="1:28" s="4" customFormat="1" ht="15" customHeight="1" x14ac:dyDescent="0.25">
      <c r="A53" s="343" t="s">
        <v>1127</v>
      </c>
      <c r="B53" s="66" t="s">
        <v>1128</v>
      </c>
      <c r="C53" s="54">
        <v>1200</v>
      </c>
      <c r="D53" s="66">
        <v>750</v>
      </c>
      <c r="E53" s="66">
        <v>1000</v>
      </c>
      <c r="F53" s="66">
        <v>1800</v>
      </c>
      <c r="G53" s="171">
        <v>0</v>
      </c>
      <c r="H53" s="62">
        <v>10800</v>
      </c>
      <c r="I53" s="66"/>
      <c r="J53" s="296" t="s">
        <v>122</v>
      </c>
      <c r="K53" s="121">
        <v>755907</v>
      </c>
      <c r="L53" s="66"/>
      <c r="M53" s="66" t="s">
        <v>263</v>
      </c>
      <c r="N53" s="64" t="s">
        <v>1093</v>
      </c>
      <c r="O53" s="66">
        <v>19</v>
      </c>
      <c r="P53" s="18" t="s">
        <v>1097</v>
      </c>
      <c r="Q53" s="18"/>
      <c r="R53" s="7">
        <v>14000</v>
      </c>
      <c r="S53" s="7"/>
      <c r="T53" s="7"/>
      <c r="U53" s="7">
        <v>14000</v>
      </c>
      <c r="V53" s="18"/>
      <c r="W53" s="7">
        <f t="shared" si="3"/>
        <v>14000</v>
      </c>
      <c r="X53" s="152">
        <v>51</v>
      </c>
      <c r="Y53" s="159">
        <v>42.65</v>
      </c>
      <c r="Z53" s="9">
        <f t="shared" si="4"/>
        <v>714000</v>
      </c>
      <c r="AA53" s="256">
        <f t="shared" si="5"/>
        <v>597100</v>
      </c>
      <c r="AB53" s="18"/>
    </row>
    <row r="54" spans="1:28" ht="18" customHeight="1" x14ac:dyDescent="0.25">
      <c r="A54" s="66" t="s">
        <v>1129</v>
      </c>
      <c r="B54" s="66" t="s">
        <v>1130</v>
      </c>
      <c r="C54" s="54">
        <v>1000</v>
      </c>
      <c r="D54" s="66">
        <v>2400</v>
      </c>
      <c r="E54" s="66">
        <v>2000</v>
      </c>
      <c r="F54" s="66">
        <v>2600</v>
      </c>
      <c r="G54" s="171">
        <v>5700</v>
      </c>
      <c r="H54" s="62">
        <v>4000</v>
      </c>
      <c r="I54" s="66"/>
      <c r="J54" s="296" t="s">
        <v>122</v>
      </c>
      <c r="K54" s="121">
        <v>755907</v>
      </c>
      <c r="L54" s="66"/>
      <c r="M54" s="66" t="s">
        <v>293</v>
      </c>
      <c r="N54" s="64" t="s">
        <v>1093</v>
      </c>
      <c r="O54" s="66">
        <v>20</v>
      </c>
      <c r="P54" s="18" t="s">
        <v>1094</v>
      </c>
      <c r="Q54" s="18"/>
      <c r="R54" s="7">
        <v>8000</v>
      </c>
      <c r="S54" s="7"/>
      <c r="T54" s="7"/>
      <c r="U54" s="7">
        <v>8000</v>
      </c>
      <c r="V54" s="18"/>
      <c r="W54" s="7">
        <f t="shared" si="3"/>
        <v>8000</v>
      </c>
      <c r="X54" s="149">
        <v>369</v>
      </c>
      <c r="Y54" s="149">
        <v>351.77</v>
      </c>
      <c r="Z54" s="9">
        <f t="shared" si="4"/>
        <v>2952000</v>
      </c>
      <c r="AA54" s="256">
        <f t="shared" si="5"/>
        <v>2814160</v>
      </c>
      <c r="AB54" s="18"/>
    </row>
    <row r="55" spans="1:28" x14ac:dyDescent="0.25">
      <c r="A55" s="66" t="s">
        <v>1131</v>
      </c>
      <c r="B55" s="66" t="s">
        <v>1132</v>
      </c>
      <c r="C55" s="54">
        <v>1200</v>
      </c>
      <c r="D55" s="66">
        <v>680</v>
      </c>
      <c r="E55" s="66">
        <v>1500</v>
      </c>
      <c r="F55" s="66">
        <v>2000</v>
      </c>
      <c r="G55" s="171">
        <v>3600</v>
      </c>
      <c r="H55" s="62">
        <v>16500</v>
      </c>
      <c r="I55" s="66"/>
      <c r="J55" s="296" t="s">
        <v>122</v>
      </c>
      <c r="K55" s="121">
        <v>755907</v>
      </c>
      <c r="L55" s="66"/>
      <c r="M55" s="66" t="s">
        <v>263</v>
      </c>
      <c r="N55" s="64" t="s">
        <v>1093</v>
      </c>
      <c r="O55" s="66">
        <v>21</v>
      </c>
      <c r="P55" s="18" t="s">
        <v>1097</v>
      </c>
      <c r="Q55" s="13" t="s">
        <v>1990</v>
      </c>
      <c r="R55" s="7">
        <v>13000</v>
      </c>
      <c r="S55" s="7"/>
      <c r="T55" s="7"/>
      <c r="U55" s="7">
        <v>13000</v>
      </c>
      <c r="V55" s="18">
        <v>7000</v>
      </c>
      <c r="W55" s="7">
        <f t="shared" si="3"/>
        <v>20000</v>
      </c>
      <c r="X55" s="118">
        <v>105</v>
      </c>
      <c r="Y55" s="118">
        <v>94.92</v>
      </c>
      <c r="Z55" s="9">
        <f t="shared" si="4"/>
        <v>1365000</v>
      </c>
      <c r="AA55" s="256">
        <f t="shared" si="5"/>
        <v>1898400</v>
      </c>
      <c r="AB55" s="18"/>
    </row>
    <row r="56" spans="1:28" s="4" customFormat="1" x14ac:dyDescent="0.25">
      <c r="A56" s="66" t="s">
        <v>1133</v>
      </c>
      <c r="B56" s="66" t="s">
        <v>1134</v>
      </c>
      <c r="C56" s="66"/>
      <c r="D56" s="66"/>
      <c r="E56" s="66">
        <v>0</v>
      </c>
      <c r="F56" s="66">
        <v>300</v>
      </c>
      <c r="G56" s="171"/>
      <c r="H56" s="62">
        <v>0</v>
      </c>
      <c r="I56" s="66"/>
      <c r="J56" s="296" t="s">
        <v>122</v>
      </c>
      <c r="K56" s="121">
        <v>755907</v>
      </c>
      <c r="L56" s="66"/>
      <c r="M56" s="66" t="s">
        <v>1037</v>
      </c>
      <c r="N56" s="64" t="s">
        <v>1093</v>
      </c>
      <c r="O56" s="66">
        <v>22</v>
      </c>
      <c r="P56" s="18" t="s">
        <v>1104</v>
      </c>
      <c r="Q56" s="7" t="s">
        <v>1992</v>
      </c>
      <c r="R56" s="7">
        <v>2300</v>
      </c>
      <c r="S56" s="7"/>
      <c r="T56" s="7"/>
      <c r="U56" s="7">
        <v>2300</v>
      </c>
      <c r="V56" s="18">
        <v>600</v>
      </c>
      <c r="W56" s="7">
        <f t="shared" si="3"/>
        <v>2900</v>
      </c>
      <c r="X56" s="118">
        <v>132.5</v>
      </c>
      <c r="Y56" s="118">
        <v>129.99</v>
      </c>
      <c r="Z56" s="9">
        <f t="shared" si="4"/>
        <v>304750</v>
      </c>
      <c r="AA56" s="256">
        <f t="shared" si="5"/>
        <v>376971</v>
      </c>
      <c r="AB56" s="18"/>
    </row>
    <row r="57" spans="1:28" s="4" customFormat="1" x14ac:dyDescent="0.25">
      <c r="A57" s="55" t="s">
        <v>257</v>
      </c>
      <c r="B57" s="92" t="s">
        <v>258</v>
      </c>
      <c r="C57" s="92">
        <v>120</v>
      </c>
      <c r="D57" s="92">
        <v>120</v>
      </c>
      <c r="E57" s="92">
        <v>100</v>
      </c>
      <c r="F57" s="92">
        <v>100</v>
      </c>
      <c r="G57" s="430">
        <v>300</v>
      </c>
      <c r="H57" s="56">
        <v>600</v>
      </c>
      <c r="I57" s="55">
        <v>600</v>
      </c>
      <c r="J57" s="244"/>
      <c r="K57" s="245">
        <v>755907</v>
      </c>
      <c r="L57" s="55"/>
      <c r="M57" s="55" t="s">
        <v>285</v>
      </c>
      <c r="N57" s="64" t="s">
        <v>1093</v>
      </c>
      <c r="O57" s="63">
        <v>23</v>
      </c>
      <c r="P57" s="18"/>
      <c r="Q57" s="7"/>
      <c r="R57" s="7">
        <f>((F57*15)-G57-I57)/2</f>
        <v>300</v>
      </c>
      <c r="S57" s="7"/>
      <c r="T57" s="7"/>
      <c r="U57" s="7"/>
      <c r="V57" s="18"/>
      <c r="W57" s="7">
        <f t="shared" si="3"/>
        <v>0</v>
      </c>
      <c r="X57" s="344">
        <v>1512</v>
      </c>
      <c r="Y57" s="153"/>
      <c r="Z57" s="9">
        <f t="shared" si="4"/>
        <v>453600</v>
      </c>
      <c r="AA57" s="256">
        <f t="shared" si="5"/>
        <v>0</v>
      </c>
      <c r="AB57" s="31"/>
    </row>
    <row r="58" spans="1:28" s="4" customFormat="1" x14ac:dyDescent="0.25">
      <c r="A58" s="12" t="s">
        <v>188</v>
      </c>
      <c r="B58" s="273" t="s">
        <v>1135</v>
      </c>
      <c r="C58" s="54">
        <v>5000</v>
      </c>
      <c r="D58" s="66">
        <v>9000</v>
      </c>
      <c r="E58" s="66">
        <v>11000</v>
      </c>
      <c r="F58" s="66">
        <v>11000</v>
      </c>
      <c r="G58" s="171">
        <v>18770</v>
      </c>
      <c r="H58" s="62">
        <v>36000</v>
      </c>
      <c r="I58" s="66">
        <v>25000</v>
      </c>
      <c r="J58" s="296" t="s">
        <v>122</v>
      </c>
      <c r="K58" s="121">
        <v>755907</v>
      </c>
      <c r="L58" s="66"/>
      <c r="M58" s="66" t="s">
        <v>259</v>
      </c>
      <c r="N58" s="64" t="s">
        <v>1093</v>
      </c>
      <c r="O58" s="66">
        <v>24</v>
      </c>
      <c r="P58" s="18" t="s">
        <v>1101</v>
      </c>
      <c r="Q58" s="7" t="s">
        <v>1991</v>
      </c>
      <c r="R58" s="7">
        <v>60000</v>
      </c>
      <c r="S58" s="7"/>
      <c r="T58" s="7"/>
      <c r="U58" s="7">
        <v>60000</v>
      </c>
      <c r="V58" s="18">
        <v>12000</v>
      </c>
      <c r="W58" s="7">
        <f t="shared" si="3"/>
        <v>72000</v>
      </c>
      <c r="X58" s="118">
        <v>116</v>
      </c>
      <c r="Y58" s="118">
        <v>100.99</v>
      </c>
      <c r="Z58" s="9">
        <f t="shared" si="4"/>
        <v>6960000</v>
      </c>
      <c r="AA58" s="256">
        <f t="shared" si="5"/>
        <v>7271280</v>
      </c>
      <c r="AB58" s="18"/>
    </row>
    <row r="59" spans="1:28" s="4" customFormat="1" x14ac:dyDescent="0.25">
      <c r="A59" s="66" t="s">
        <v>1136</v>
      </c>
      <c r="B59" s="66" t="s">
        <v>1137</v>
      </c>
      <c r="C59" s="54"/>
      <c r="D59" s="66">
        <v>3200</v>
      </c>
      <c r="E59" s="66">
        <v>3000</v>
      </c>
      <c r="F59" s="66">
        <v>3000</v>
      </c>
      <c r="G59" s="171">
        <v>9000</v>
      </c>
      <c r="H59" s="62">
        <v>26000</v>
      </c>
      <c r="I59" s="66">
        <v>4000</v>
      </c>
      <c r="J59" s="296" t="s">
        <v>122</v>
      </c>
      <c r="K59" s="121">
        <v>755907</v>
      </c>
      <c r="L59" s="66"/>
      <c r="M59" s="66" t="s">
        <v>1037</v>
      </c>
      <c r="N59" s="64" t="s">
        <v>1093</v>
      </c>
      <c r="O59" s="66">
        <v>25</v>
      </c>
      <c r="P59" s="18" t="s">
        <v>1104</v>
      </c>
      <c r="Q59" s="7"/>
      <c r="R59" s="7">
        <f>((F59*15)-G59-I59)/2</f>
        <v>16000</v>
      </c>
      <c r="S59" s="7"/>
      <c r="T59" s="7"/>
      <c r="U59" s="7">
        <v>16000</v>
      </c>
      <c r="V59" s="18"/>
      <c r="W59" s="7">
        <f t="shared" si="3"/>
        <v>16000</v>
      </c>
      <c r="X59" s="118">
        <v>204.54</v>
      </c>
      <c r="Y59" s="118">
        <v>203.22</v>
      </c>
      <c r="Z59" s="9">
        <f t="shared" si="4"/>
        <v>3272640</v>
      </c>
      <c r="AA59" s="256">
        <f t="shared" si="5"/>
        <v>3251520</v>
      </c>
      <c r="AB59" s="36"/>
    </row>
    <row r="60" spans="1:28" s="4" customFormat="1" x14ac:dyDescent="0.25">
      <c r="A60" s="486" t="s">
        <v>435</v>
      </c>
      <c r="B60" s="55" t="s">
        <v>436</v>
      </c>
      <c r="C60" s="55">
        <v>66</v>
      </c>
      <c r="D60" s="55">
        <v>70</v>
      </c>
      <c r="E60" s="55">
        <v>80</v>
      </c>
      <c r="F60" s="55">
        <v>120</v>
      </c>
      <c r="G60" s="430">
        <v>250</v>
      </c>
      <c r="H60" s="56">
        <v>400</v>
      </c>
      <c r="I60" s="55">
        <v>0</v>
      </c>
      <c r="J60" s="244"/>
      <c r="K60" s="245">
        <v>755907</v>
      </c>
      <c r="L60" s="55"/>
      <c r="M60" s="55" t="s">
        <v>263</v>
      </c>
      <c r="N60" s="64" t="s">
        <v>1093</v>
      </c>
      <c r="O60" s="66">
        <v>26</v>
      </c>
      <c r="P60" s="18"/>
      <c r="Q60" s="13"/>
      <c r="R60" s="7">
        <v>800</v>
      </c>
      <c r="S60" s="7"/>
      <c r="T60" s="7"/>
      <c r="U60" s="7"/>
      <c r="V60" s="18"/>
      <c r="W60" s="7">
        <f t="shared" si="3"/>
        <v>0</v>
      </c>
      <c r="X60" s="158">
        <v>970.92</v>
      </c>
      <c r="Y60" s="152">
        <v>1422.29</v>
      </c>
      <c r="Z60" s="9">
        <f t="shared" si="4"/>
        <v>776736</v>
      </c>
      <c r="AA60" s="256">
        <f t="shared" si="5"/>
        <v>0</v>
      </c>
      <c r="AB60" s="31"/>
    </row>
    <row r="61" spans="1:28" s="4" customFormat="1" x14ac:dyDescent="0.25">
      <c r="A61" s="66" t="s">
        <v>1138</v>
      </c>
      <c r="B61" s="66" t="s">
        <v>1139</v>
      </c>
      <c r="C61" s="54">
        <v>5500</v>
      </c>
      <c r="D61" s="295">
        <v>4300</v>
      </c>
      <c r="E61" s="295">
        <v>5000</v>
      </c>
      <c r="F61" s="295">
        <v>5000</v>
      </c>
      <c r="G61" s="171">
        <v>20305</v>
      </c>
      <c r="H61" s="62">
        <v>35000</v>
      </c>
      <c r="I61" s="66">
        <v>20000</v>
      </c>
      <c r="J61" s="296" t="s">
        <v>122</v>
      </c>
      <c r="K61" s="121">
        <v>755907</v>
      </c>
      <c r="L61" s="66"/>
      <c r="M61" s="66" t="s">
        <v>263</v>
      </c>
      <c r="N61" s="64" t="s">
        <v>1093</v>
      </c>
      <c r="O61" s="66">
        <v>27</v>
      </c>
      <c r="P61" s="18" t="s">
        <v>1097</v>
      </c>
      <c r="Q61" s="13" t="s">
        <v>1990</v>
      </c>
      <c r="R61" s="7">
        <v>17000</v>
      </c>
      <c r="S61" s="7"/>
      <c r="T61" s="7"/>
      <c r="U61" s="7">
        <v>16980</v>
      </c>
      <c r="V61" s="18">
        <v>3300</v>
      </c>
      <c r="W61" s="7">
        <f t="shared" si="3"/>
        <v>20280</v>
      </c>
      <c r="X61" s="118">
        <v>51</v>
      </c>
      <c r="Y61" s="118">
        <v>30.4</v>
      </c>
      <c r="Z61" s="9">
        <f t="shared" si="4"/>
        <v>867000</v>
      </c>
      <c r="AA61" s="256">
        <f t="shared" si="5"/>
        <v>616512</v>
      </c>
      <c r="AB61" s="18"/>
    </row>
    <row r="62" spans="1:28" s="4" customFormat="1" x14ac:dyDescent="0.25">
      <c r="A62" s="482" t="s">
        <v>466</v>
      </c>
      <c r="B62" s="55" t="s">
        <v>467</v>
      </c>
      <c r="C62" s="55">
        <v>6000</v>
      </c>
      <c r="D62" s="55">
        <v>3200</v>
      </c>
      <c r="E62" s="55">
        <v>3100</v>
      </c>
      <c r="F62" s="55">
        <v>5000</v>
      </c>
      <c r="G62" s="430">
        <v>12000</v>
      </c>
      <c r="H62" s="56">
        <v>24000</v>
      </c>
      <c r="I62" s="55">
        <v>4000</v>
      </c>
      <c r="J62" s="244"/>
      <c r="K62" s="245">
        <v>755907</v>
      </c>
      <c r="L62" s="55"/>
      <c r="M62" s="55" t="s">
        <v>272</v>
      </c>
      <c r="N62" s="64" t="s">
        <v>1093</v>
      </c>
      <c r="O62" s="66">
        <v>28</v>
      </c>
      <c r="P62" s="18"/>
      <c r="Q62" s="13"/>
      <c r="R62" s="7">
        <v>30000</v>
      </c>
      <c r="S62" s="7"/>
      <c r="T62" s="7"/>
      <c r="U62" s="7"/>
      <c r="V62" s="18"/>
      <c r="W62" s="7">
        <f t="shared" si="3"/>
        <v>0</v>
      </c>
      <c r="X62" s="160">
        <v>110.26</v>
      </c>
      <c r="Y62" s="152">
        <v>193.65</v>
      </c>
      <c r="Z62" s="9">
        <f t="shared" si="4"/>
        <v>3307800</v>
      </c>
      <c r="AA62" s="256">
        <f t="shared" si="5"/>
        <v>0</v>
      </c>
      <c r="AB62" s="31"/>
    </row>
    <row r="63" spans="1:28" s="4" customFormat="1" x14ac:dyDescent="0.25">
      <c r="A63" s="68" t="s">
        <v>1140</v>
      </c>
      <c r="B63" s="66" t="s">
        <v>1141</v>
      </c>
      <c r="C63" s="54">
        <v>3000</v>
      </c>
      <c r="D63" s="295">
        <v>2200</v>
      </c>
      <c r="E63" s="295">
        <v>3000</v>
      </c>
      <c r="F63" s="295">
        <v>3000</v>
      </c>
      <c r="G63" s="171">
        <v>3000</v>
      </c>
      <c r="H63" s="62">
        <v>26000</v>
      </c>
      <c r="I63" s="66">
        <v>0</v>
      </c>
      <c r="J63" s="296" t="s">
        <v>122</v>
      </c>
      <c r="K63" s="121">
        <v>755907</v>
      </c>
      <c r="L63" s="66"/>
      <c r="M63" s="66" t="s">
        <v>263</v>
      </c>
      <c r="N63" s="64" t="s">
        <v>1093</v>
      </c>
      <c r="O63" s="66">
        <v>29</v>
      </c>
      <c r="P63" s="18" t="s">
        <v>1097</v>
      </c>
      <c r="Q63" s="13" t="s">
        <v>1990</v>
      </c>
      <c r="R63" s="7">
        <f>((F63*15)-G63-I63)/2</f>
        <v>21000</v>
      </c>
      <c r="S63" s="7"/>
      <c r="T63" s="7"/>
      <c r="U63" s="7">
        <v>21000</v>
      </c>
      <c r="V63" s="18">
        <v>4000</v>
      </c>
      <c r="W63" s="7">
        <f t="shared" si="3"/>
        <v>25000</v>
      </c>
      <c r="X63" s="118">
        <v>117.33</v>
      </c>
      <c r="Y63" s="118">
        <v>113.42</v>
      </c>
      <c r="Z63" s="9">
        <f t="shared" si="4"/>
        <v>2463930</v>
      </c>
      <c r="AA63" s="256">
        <f t="shared" si="5"/>
        <v>2835500</v>
      </c>
      <c r="AB63" s="18"/>
    </row>
    <row r="64" spans="1:28" s="4" customFormat="1" x14ac:dyDescent="0.25">
      <c r="A64" s="66" t="s">
        <v>134</v>
      </c>
      <c r="B64" s="66" t="s">
        <v>1142</v>
      </c>
      <c r="C64" s="54">
        <v>130</v>
      </c>
      <c r="D64" s="186">
        <v>125</v>
      </c>
      <c r="E64" s="186">
        <v>150</v>
      </c>
      <c r="F64" s="186">
        <v>150</v>
      </c>
      <c r="G64" s="171">
        <v>720</v>
      </c>
      <c r="H64" s="62">
        <v>700</v>
      </c>
      <c r="I64" s="66">
        <v>70</v>
      </c>
      <c r="J64" s="296" t="s">
        <v>122</v>
      </c>
      <c r="K64" s="121">
        <v>755907</v>
      </c>
      <c r="L64" s="66"/>
      <c r="M64" s="64" t="s">
        <v>259</v>
      </c>
      <c r="N64" s="64" t="s">
        <v>1093</v>
      </c>
      <c r="O64" s="66">
        <v>30</v>
      </c>
      <c r="P64" s="18" t="s">
        <v>1101</v>
      </c>
      <c r="Q64" s="7" t="s">
        <v>1991</v>
      </c>
      <c r="R64" s="7">
        <v>700</v>
      </c>
      <c r="S64" s="7"/>
      <c r="T64" s="7"/>
      <c r="U64" s="7">
        <v>700</v>
      </c>
      <c r="V64" s="18">
        <v>140</v>
      </c>
      <c r="W64" s="7">
        <f t="shared" si="3"/>
        <v>840</v>
      </c>
      <c r="X64" s="153">
        <v>25600</v>
      </c>
      <c r="Y64" s="153">
        <v>22400</v>
      </c>
      <c r="Z64" s="9">
        <f t="shared" si="4"/>
        <v>17920000</v>
      </c>
      <c r="AA64" s="256">
        <f t="shared" si="5"/>
        <v>18816000</v>
      </c>
      <c r="AB64" s="36"/>
    </row>
    <row r="65" spans="1:28" s="4" customFormat="1" x14ac:dyDescent="0.25">
      <c r="A65" s="66" t="s">
        <v>136</v>
      </c>
      <c r="B65" s="54" t="s">
        <v>1143</v>
      </c>
      <c r="C65" s="54">
        <v>100</v>
      </c>
      <c r="D65" s="186">
        <v>300</v>
      </c>
      <c r="E65" s="186">
        <v>250</v>
      </c>
      <c r="F65" s="186">
        <v>250</v>
      </c>
      <c r="G65" s="171">
        <v>1300</v>
      </c>
      <c r="H65" s="62">
        <v>2200</v>
      </c>
      <c r="I65" s="66">
        <v>1500</v>
      </c>
      <c r="J65" s="296" t="s">
        <v>122</v>
      </c>
      <c r="K65" s="121">
        <v>755907</v>
      </c>
      <c r="L65" s="66"/>
      <c r="M65" s="66" t="s">
        <v>293</v>
      </c>
      <c r="N65" s="64" t="s">
        <v>1093</v>
      </c>
      <c r="O65" s="66">
        <v>31</v>
      </c>
      <c r="P65" s="18" t="s">
        <v>1094</v>
      </c>
      <c r="Q65" s="18" t="s">
        <v>1989</v>
      </c>
      <c r="R65" s="7">
        <v>500</v>
      </c>
      <c r="S65" s="7"/>
      <c r="T65" s="7"/>
      <c r="U65" s="7">
        <v>500</v>
      </c>
      <c r="V65" s="18">
        <v>500</v>
      </c>
      <c r="W65" s="7">
        <f t="shared" si="3"/>
        <v>1000</v>
      </c>
      <c r="X65" s="118">
        <v>481</v>
      </c>
      <c r="Y65" s="118">
        <v>602</v>
      </c>
      <c r="Z65" s="9">
        <f t="shared" si="4"/>
        <v>240500</v>
      </c>
      <c r="AA65" s="256">
        <f t="shared" si="5"/>
        <v>602000</v>
      </c>
      <c r="AB65" s="18"/>
    </row>
    <row r="66" spans="1:28" x14ac:dyDescent="0.25">
      <c r="A66" s="66" t="s">
        <v>1144</v>
      </c>
      <c r="B66" s="54" t="s">
        <v>1145</v>
      </c>
      <c r="C66" s="54">
        <v>5500</v>
      </c>
      <c r="D66" s="295">
        <v>4200</v>
      </c>
      <c r="E66" s="295">
        <v>4000</v>
      </c>
      <c r="F66" s="295">
        <v>7000</v>
      </c>
      <c r="G66" s="171">
        <v>0</v>
      </c>
      <c r="H66" s="62">
        <v>37980</v>
      </c>
      <c r="I66" s="66">
        <v>30000</v>
      </c>
      <c r="J66" s="296" t="s">
        <v>122</v>
      </c>
      <c r="K66" s="121">
        <v>755907</v>
      </c>
      <c r="L66" s="66"/>
      <c r="M66" s="63" t="s">
        <v>263</v>
      </c>
      <c r="N66" s="64" t="s">
        <v>1093</v>
      </c>
      <c r="O66" s="66">
        <v>32</v>
      </c>
      <c r="P66" s="20" t="s">
        <v>1097</v>
      </c>
      <c r="Q66" s="13" t="s">
        <v>1990</v>
      </c>
      <c r="R66" s="7">
        <v>40000</v>
      </c>
      <c r="S66" s="7"/>
      <c r="T66" s="7"/>
      <c r="U66" s="7">
        <v>39960</v>
      </c>
      <c r="V66" s="6">
        <v>39960</v>
      </c>
      <c r="W66" s="7">
        <f t="shared" si="3"/>
        <v>79920</v>
      </c>
      <c r="X66" s="118">
        <v>312.94</v>
      </c>
      <c r="Y66" s="118">
        <v>408.16</v>
      </c>
      <c r="Z66" s="9">
        <f t="shared" si="4"/>
        <v>12517600</v>
      </c>
      <c r="AA66" s="256">
        <f t="shared" si="5"/>
        <v>32620147.200000003</v>
      </c>
      <c r="AB66" s="6"/>
    </row>
    <row r="67" spans="1:28" x14ac:dyDescent="0.25">
      <c r="A67" s="66" t="s">
        <v>1146</v>
      </c>
      <c r="B67" s="54" t="s">
        <v>1147</v>
      </c>
      <c r="C67" s="54">
        <v>2500</v>
      </c>
      <c r="D67" s="295">
        <v>13300</v>
      </c>
      <c r="E67" s="295">
        <v>16000</v>
      </c>
      <c r="F67" s="295">
        <v>12000</v>
      </c>
      <c r="G67" s="171">
        <v>3780</v>
      </c>
      <c r="H67" s="62">
        <v>68000</v>
      </c>
      <c r="I67" s="66">
        <v>0</v>
      </c>
      <c r="J67" s="296" t="s">
        <v>122</v>
      </c>
      <c r="K67" s="121">
        <v>755907</v>
      </c>
      <c r="L67" s="66"/>
      <c r="M67" s="63" t="s">
        <v>272</v>
      </c>
      <c r="N67" s="64" t="s">
        <v>1093</v>
      </c>
      <c r="O67" s="66">
        <v>33</v>
      </c>
      <c r="P67" s="18" t="s">
        <v>1123</v>
      </c>
      <c r="Q67" s="6"/>
      <c r="R67" s="7">
        <v>60000</v>
      </c>
      <c r="S67" s="7"/>
      <c r="T67" s="7"/>
      <c r="U67" s="7">
        <v>60000</v>
      </c>
      <c r="V67" s="6"/>
      <c r="W67" s="7">
        <f t="shared" ref="W67:W79" si="6">U67+V67</f>
        <v>60000</v>
      </c>
      <c r="X67" s="118">
        <v>188</v>
      </c>
      <c r="Y67" s="118">
        <v>481.93</v>
      </c>
      <c r="Z67" s="9">
        <f t="shared" ref="Z67:Z79" si="7">R67*X67</f>
        <v>11280000</v>
      </c>
      <c r="AA67" s="256">
        <f t="shared" ref="AA67:AA79" si="8">W67*Y67</f>
        <v>28915800</v>
      </c>
      <c r="AB67" s="6"/>
    </row>
    <row r="68" spans="1:28" x14ac:dyDescent="0.25">
      <c r="A68" s="66" t="s">
        <v>195</v>
      </c>
      <c r="B68" s="66" t="s">
        <v>1148</v>
      </c>
      <c r="C68" s="66">
        <v>1500</v>
      </c>
      <c r="D68" s="186">
        <v>1200</v>
      </c>
      <c r="E68" s="186">
        <v>1500</v>
      </c>
      <c r="F68" s="186">
        <v>2000</v>
      </c>
      <c r="G68" s="171">
        <v>4380</v>
      </c>
      <c r="H68" s="62">
        <v>14670</v>
      </c>
      <c r="I68" s="66">
        <v>0</v>
      </c>
      <c r="J68" s="296" t="s">
        <v>122</v>
      </c>
      <c r="K68" s="121">
        <v>755907</v>
      </c>
      <c r="L68" s="66"/>
      <c r="M68" s="66" t="s">
        <v>259</v>
      </c>
      <c r="N68" s="64" t="s">
        <v>1093</v>
      </c>
      <c r="O68" s="66">
        <v>34</v>
      </c>
      <c r="P68" s="7" t="s">
        <v>1101</v>
      </c>
      <c r="Q68" s="7" t="s">
        <v>1991</v>
      </c>
      <c r="R68" s="7">
        <v>13000</v>
      </c>
      <c r="S68" s="7"/>
      <c r="T68" s="7"/>
      <c r="U68" s="7">
        <v>13000</v>
      </c>
      <c r="V68" s="18">
        <v>2500</v>
      </c>
      <c r="W68" s="7">
        <f t="shared" si="6"/>
        <v>15500</v>
      </c>
      <c r="X68" s="149">
        <v>467.05</v>
      </c>
      <c r="Y68" s="118">
        <v>482.1</v>
      </c>
      <c r="Z68" s="9">
        <f t="shared" si="7"/>
        <v>6071650</v>
      </c>
      <c r="AA68" s="256">
        <f t="shared" si="8"/>
        <v>7472550</v>
      </c>
      <c r="AB68" s="18"/>
    </row>
    <row r="69" spans="1:28" x14ac:dyDescent="0.25">
      <c r="A69" s="66" t="s">
        <v>1149</v>
      </c>
      <c r="B69" s="66" t="s">
        <v>1150</v>
      </c>
      <c r="C69" s="66">
        <v>4500</v>
      </c>
      <c r="D69" s="186">
        <v>3500</v>
      </c>
      <c r="E69" s="186">
        <v>4000</v>
      </c>
      <c r="F69" s="186">
        <v>5000</v>
      </c>
      <c r="G69" s="171">
        <v>3000</v>
      </c>
      <c r="H69" s="62">
        <v>34820</v>
      </c>
      <c r="I69" s="66"/>
      <c r="J69" s="296" t="s">
        <v>122</v>
      </c>
      <c r="K69" s="121">
        <v>755907</v>
      </c>
      <c r="L69" s="66"/>
      <c r="M69" s="66" t="s">
        <v>263</v>
      </c>
      <c r="N69" s="64" t="s">
        <v>1093</v>
      </c>
      <c r="O69" s="66">
        <v>35</v>
      </c>
      <c r="P69" s="20" t="s">
        <v>1097</v>
      </c>
      <c r="Q69" s="13" t="s">
        <v>1990</v>
      </c>
      <c r="R69" s="7">
        <f>((F69*15)-G69-I69)/2</f>
        <v>36000</v>
      </c>
      <c r="S69" s="7"/>
      <c r="T69" s="7"/>
      <c r="U69" s="7">
        <v>36000</v>
      </c>
      <c r="V69" s="18">
        <v>7200</v>
      </c>
      <c r="W69" s="18">
        <f t="shared" si="6"/>
        <v>43200</v>
      </c>
      <c r="X69" s="149">
        <v>351.3</v>
      </c>
      <c r="Y69" s="149">
        <v>362</v>
      </c>
      <c r="Z69" s="9">
        <f t="shared" si="7"/>
        <v>12646800</v>
      </c>
      <c r="AA69" s="256">
        <f t="shared" si="8"/>
        <v>15638400</v>
      </c>
      <c r="AB69" s="18"/>
    </row>
    <row r="70" spans="1:28" x14ac:dyDescent="0.25">
      <c r="A70" s="357" t="s">
        <v>1151</v>
      </c>
      <c r="B70" s="357" t="s">
        <v>1152</v>
      </c>
      <c r="C70" s="357"/>
      <c r="D70" s="362">
        <v>400</v>
      </c>
      <c r="E70" s="362">
        <v>300</v>
      </c>
      <c r="F70" s="362">
        <v>120</v>
      </c>
      <c r="G70" s="360">
        <v>1800</v>
      </c>
      <c r="H70" s="361">
        <v>2700</v>
      </c>
      <c r="I70" s="364">
        <v>900</v>
      </c>
      <c r="J70" s="296" t="s">
        <v>122</v>
      </c>
      <c r="K70" s="121"/>
      <c r="L70" s="66"/>
      <c r="M70" s="66"/>
      <c r="N70" s="64"/>
      <c r="O70" s="66"/>
      <c r="P70" s="18"/>
      <c r="Q70" s="74"/>
      <c r="R70" s="7">
        <v>0</v>
      </c>
      <c r="S70" s="107"/>
      <c r="T70" s="107"/>
      <c r="U70" s="7"/>
      <c r="V70" s="74"/>
      <c r="W70" s="18">
        <f t="shared" si="6"/>
        <v>0</v>
      </c>
      <c r="X70" s="159">
        <v>197.63</v>
      </c>
      <c r="Y70" s="159"/>
      <c r="Z70" s="9">
        <f t="shared" si="7"/>
        <v>0</v>
      </c>
      <c r="AA70" s="256">
        <f t="shared" si="8"/>
        <v>0</v>
      </c>
      <c r="AB70" s="8"/>
    </row>
    <row r="71" spans="1:28" s="4" customFormat="1" x14ac:dyDescent="0.25">
      <c r="A71" s="361" t="s">
        <v>1153</v>
      </c>
      <c r="B71" s="462" t="s">
        <v>1154</v>
      </c>
      <c r="C71" s="462"/>
      <c r="D71" s="463"/>
      <c r="E71" s="463">
        <v>60</v>
      </c>
      <c r="F71" s="463"/>
      <c r="G71" s="464"/>
      <c r="H71" s="361">
        <v>0</v>
      </c>
      <c r="I71" s="465"/>
      <c r="J71" s="466" t="s">
        <v>122</v>
      </c>
      <c r="K71" s="66"/>
      <c r="L71" s="338"/>
      <c r="M71" s="62"/>
      <c r="N71" s="215"/>
      <c r="O71" s="211"/>
      <c r="P71" s="7"/>
      <c r="Q71" s="7"/>
      <c r="R71" s="7">
        <f>((F71*15)-G71-I71)/2</f>
        <v>0</v>
      </c>
      <c r="S71" s="7"/>
      <c r="T71" s="7"/>
      <c r="U71" s="7"/>
      <c r="V71" s="7"/>
      <c r="W71" s="7">
        <f t="shared" si="6"/>
        <v>0</v>
      </c>
      <c r="X71" s="159"/>
      <c r="Y71" s="263"/>
      <c r="Z71" s="9">
        <f t="shared" si="7"/>
        <v>0</v>
      </c>
      <c r="AA71" s="256">
        <f t="shared" si="8"/>
        <v>0</v>
      </c>
      <c r="AB71" s="36"/>
    </row>
    <row r="72" spans="1:28" s="4" customFormat="1" ht="16.5" customHeight="1" x14ac:dyDescent="0.25">
      <c r="A72" s="357" t="s">
        <v>1155</v>
      </c>
      <c r="B72" s="357" t="s">
        <v>1156</v>
      </c>
      <c r="C72" s="357">
        <v>0</v>
      </c>
      <c r="D72" s="357"/>
      <c r="E72" s="357">
        <v>0</v>
      </c>
      <c r="F72" s="357"/>
      <c r="G72" s="360"/>
      <c r="H72" s="361">
        <v>0</v>
      </c>
      <c r="I72" s="357"/>
      <c r="J72" s="296" t="s">
        <v>122</v>
      </c>
      <c r="K72" s="121"/>
      <c r="L72" s="66"/>
      <c r="M72" s="66"/>
      <c r="N72" s="64"/>
      <c r="O72" s="66"/>
      <c r="P72" s="20"/>
      <c r="Q72" s="13"/>
      <c r="R72" s="7">
        <f>((F72*15)-G72-I72)/2</f>
        <v>0</v>
      </c>
      <c r="S72" s="7"/>
      <c r="T72" s="7"/>
      <c r="U72" s="7"/>
      <c r="V72" s="18"/>
      <c r="W72" s="7">
        <f t="shared" si="6"/>
        <v>0</v>
      </c>
      <c r="X72" s="160">
        <v>140</v>
      </c>
      <c r="Y72" s="152"/>
      <c r="Z72" s="9">
        <f t="shared" si="7"/>
        <v>0</v>
      </c>
      <c r="AA72" s="256">
        <f t="shared" si="8"/>
        <v>0</v>
      </c>
      <c r="AB72" s="31"/>
    </row>
    <row r="73" spans="1:28" s="4" customFormat="1" ht="17.25" customHeight="1" x14ac:dyDescent="0.25">
      <c r="A73" s="68" t="s">
        <v>1157</v>
      </c>
      <c r="B73" s="66" t="s">
        <v>1158</v>
      </c>
      <c r="C73" s="54">
        <v>250</v>
      </c>
      <c r="D73" s="295">
        <v>3</v>
      </c>
      <c r="E73" s="295">
        <v>0</v>
      </c>
      <c r="F73" s="295">
        <v>0</v>
      </c>
      <c r="G73" s="171"/>
      <c r="H73" s="62">
        <v>0</v>
      </c>
      <c r="I73" s="66"/>
      <c r="J73" s="296" t="s">
        <v>122</v>
      </c>
      <c r="K73" s="66"/>
      <c r="L73" s="66"/>
      <c r="M73" s="66"/>
      <c r="N73" s="64"/>
      <c r="O73" s="66"/>
      <c r="P73" s="20"/>
      <c r="Q73" s="7"/>
      <c r="R73" s="7">
        <f>((F73*15)-G73-I73)/2</f>
        <v>0</v>
      </c>
      <c r="S73" s="7"/>
      <c r="T73" s="7"/>
      <c r="U73" s="7"/>
      <c r="V73" s="18"/>
      <c r="W73" s="7">
        <f t="shared" si="6"/>
        <v>0</v>
      </c>
      <c r="X73" s="118"/>
      <c r="Y73" s="118"/>
      <c r="Z73" s="9">
        <f t="shared" si="7"/>
        <v>0</v>
      </c>
      <c r="AA73" s="256">
        <f t="shared" si="8"/>
        <v>0</v>
      </c>
      <c r="AB73" s="18"/>
    </row>
    <row r="74" spans="1:28" s="4" customFormat="1" ht="17.25" customHeight="1" x14ac:dyDescent="0.25">
      <c r="A74" s="66" t="s">
        <v>277</v>
      </c>
      <c r="B74" s="66" t="s">
        <v>278</v>
      </c>
      <c r="C74" s="66"/>
      <c r="D74" s="66"/>
      <c r="E74" s="66">
        <v>10</v>
      </c>
      <c r="F74" s="66">
        <v>10</v>
      </c>
      <c r="G74" s="171">
        <v>145</v>
      </c>
      <c r="H74" s="62">
        <v>100</v>
      </c>
      <c r="I74" s="66">
        <v>0</v>
      </c>
      <c r="J74" s="66"/>
      <c r="K74" s="121"/>
      <c r="L74" s="66"/>
      <c r="M74" s="66"/>
      <c r="N74" s="64"/>
      <c r="O74" s="66"/>
      <c r="P74" s="18"/>
      <c r="Q74" s="18"/>
      <c r="R74" s="7">
        <v>0</v>
      </c>
      <c r="S74" s="102"/>
      <c r="T74" s="102"/>
      <c r="U74" s="7"/>
      <c r="V74" s="18"/>
      <c r="W74" s="7">
        <f t="shared" si="6"/>
        <v>0</v>
      </c>
      <c r="X74" s="118">
        <v>2420</v>
      </c>
      <c r="Y74" s="150"/>
      <c r="Z74" s="9">
        <f t="shared" si="7"/>
        <v>0</v>
      </c>
      <c r="AA74" s="256">
        <f t="shared" si="8"/>
        <v>0</v>
      </c>
      <c r="AB74" s="18"/>
    </row>
    <row r="75" spans="1:28" s="4" customFormat="1" ht="19.5" customHeight="1" x14ac:dyDescent="0.25">
      <c r="A75" s="66" t="s">
        <v>1159</v>
      </c>
      <c r="B75" s="66" t="s">
        <v>1160</v>
      </c>
      <c r="C75" s="66"/>
      <c r="D75" s="66"/>
      <c r="E75" s="66">
        <v>0</v>
      </c>
      <c r="F75" s="66">
        <v>0</v>
      </c>
      <c r="G75" s="171"/>
      <c r="H75" s="62">
        <v>0</v>
      </c>
      <c r="I75" s="66"/>
      <c r="J75" s="170"/>
      <c r="K75" s="66"/>
      <c r="L75" s="66"/>
      <c r="M75" s="66"/>
      <c r="N75" s="273"/>
      <c r="O75" s="66"/>
      <c r="P75" s="18"/>
      <c r="Q75" s="13"/>
      <c r="R75" s="7">
        <f>((F75*15)-G75-I75)/2</f>
        <v>0</v>
      </c>
      <c r="S75" s="7"/>
      <c r="T75" s="7"/>
      <c r="U75" s="7"/>
      <c r="V75" s="18"/>
      <c r="W75" s="7">
        <f t="shared" si="6"/>
        <v>0</v>
      </c>
      <c r="X75" s="160"/>
      <c r="Y75" s="159"/>
      <c r="Z75" s="9">
        <f t="shared" si="7"/>
        <v>0</v>
      </c>
      <c r="AA75" s="256">
        <f t="shared" si="8"/>
        <v>0</v>
      </c>
      <c r="AB75" s="31"/>
    </row>
    <row r="76" spans="1:28" s="4" customFormat="1" x14ac:dyDescent="0.25">
      <c r="A76" s="324" t="s">
        <v>268</v>
      </c>
      <c r="B76" s="66" t="s">
        <v>269</v>
      </c>
      <c r="C76" s="66"/>
      <c r="D76" s="66"/>
      <c r="E76" s="237">
        <v>1000</v>
      </c>
      <c r="F76" s="237">
        <v>1500</v>
      </c>
      <c r="G76" s="347">
        <v>2000</v>
      </c>
      <c r="H76" s="348">
        <v>2000</v>
      </c>
      <c r="I76" s="237">
        <v>0</v>
      </c>
      <c r="J76" s="237"/>
      <c r="K76" s="121"/>
      <c r="L76" s="66"/>
      <c r="M76" s="64"/>
      <c r="N76" s="64"/>
      <c r="O76" s="66"/>
      <c r="P76" s="7"/>
      <c r="Q76" s="7"/>
      <c r="R76" s="7">
        <v>0</v>
      </c>
      <c r="S76" s="102"/>
      <c r="T76" s="102"/>
      <c r="U76" s="7"/>
      <c r="V76" s="7"/>
      <c r="W76" s="7">
        <f t="shared" si="6"/>
        <v>0</v>
      </c>
      <c r="X76" s="149">
        <v>430</v>
      </c>
      <c r="Y76" s="150"/>
      <c r="Z76" s="9">
        <f t="shared" si="7"/>
        <v>0</v>
      </c>
      <c r="AA76" s="256">
        <f t="shared" si="8"/>
        <v>0</v>
      </c>
      <c r="AB76" s="31"/>
    </row>
    <row r="77" spans="1:28" s="4" customFormat="1" x14ac:dyDescent="0.25">
      <c r="A77" s="66" t="s">
        <v>1161</v>
      </c>
      <c r="B77" s="66" t="s">
        <v>1162</v>
      </c>
      <c r="C77" s="54">
        <v>600</v>
      </c>
      <c r="D77" s="295"/>
      <c r="E77" s="295">
        <v>100</v>
      </c>
      <c r="F77" s="349">
        <v>0</v>
      </c>
      <c r="G77" s="171">
        <v>0</v>
      </c>
      <c r="H77" s="62">
        <v>1310</v>
      </c>
      <c r="I77" s="66">
        <v>0</v>
      </c>
      <c r="J77" s="296" t="s">
        <v>122</v>
      </c>
      <c r="K77" s="121"/>
      <c r="L77" s="66"/>
      <c r="M77" s="66"/>
      <c r="N77" s="64"/>
      <c r="O77" s="66"/>
      <c r="P77" s="7"/>
      <c r="Q77" s="7"/>
      <c r="R77" s="7">
        <f>((F77*15)-G77-I77)/2</f>
        <v>0</v>
      </c>
      <c r="S77" s="7"/>
      <c r="T77" s="7"/>
      <c r="U77" s="7"/>
      <c r="V77" s="18"/>
      <c r="W77" s="7">
        <f t="shared" si="6"/>
        <v>0</v>
      </c>
      <c r="X77" s="149">
        <v>187.5</v>
      </c>
      <c r="Y77" s="149"/>
      <c r="Z77" s="9">
        <f t="shared" si="7"/>
        <v>0</v>
      </c>
      <c r="AA77" s="256">
        <f t="shared" si="8"/>
        <v>0</v>
      </c>
      <c r="AB77" s="18"/>
    </row>
    <row r="78" spans="1:28" s="4" customFormat="1" x14ac:dyDescent="0.25">
      <c r="A78" s="66" t="s">
        <v>1163</v>
      </c>
      <c r="B78" s="66" t="s">
        <v>1164</v>
      </c>
      <c r="C78" s="66">
        <v>0</v>
      </c>
      <c r="D78" s="66"/>
      <c r="E78" s="66">
        <v>0</v>
      </c>
      <c r="F78" s="66"/>
      <c r="G78" s="171"/>
      <c r="H78" s="62">
        <v>0</v>
      </c>
      <c r="I78" s="66"/>
      <c r="J78" s="276"/>
      <c r="K78" s="121"/>
      <c r="L78" s="66"/>
      <c r="M78" s="66"/>
      <c r="N78" s="273"/>
      <c r="O78" s="64"/>
      <c r="P78" s="58"/>
      <c r="Q78" s="5"/>
      <c r="R78" s="7">
        <f>((F78*15)-G78-I78)/2</f>
        <v>0</v>
      </c>
      <c r="S78" s="7"/>
      <c r="T78" s="7"/>
      <c r="U78" s="7"/>
      <c r="V78" s="7"/>
      <c r="W78" s="7">
        <f t="shared" si="6"/>
        <v>0</v>
      </c>
      <c r="X78" s="158"/>
      <c r="Y78" s="159"/>
      <c r="Z78" s="9">
        <f t="shared" si="7"/>
        <v>0</v>
      </c>
      <c r="AA78" s="256">
        <f t="shared" si="8"/>
        <v>0</v>
      </c>
      <c r="AB78" s="36"/>
    </row>
    <row r="79" spans="1:28" s="4" customFormat="1" x14ac:dyDescent="0.25">
      <c r="A79" s="66" t="s">
        <v>1165</v>
      </c>
      <c r="B79" s="54" t="s">
        <v>1166</v>
      </c>
      <c r="C79" s="54">
        <v>600</v>
      </c>
      <c r="D79" s="342">
        <v>375</v>
      </c>
      <c r="E79" s="342">
        <v>500</v>
      </c>
      <c r="F79" s="342">
        <v>450</v>
      </c>
      <c r="G79" s="171">
        <v>4185</v>
      </c>
      <c r="H79" s="62">
        <v>6000</v>
      </c>
      <c r="I79" s="66">
        <v>3000</v>
      </c>
      <c r="J79" s="296" t="s">
        <v>122</v>
      </c>
      <c r="K79" s="121"/>
      <c r="L79" s="66"/>
      <c r="M79" s="66"/>
      <c r="N79" s="64"/>
      <c r="O79" s="66"/>
      <c r="P79" s="7"/>
      <c r="Q79" s="7"/>
      <c r="R79" s="7">
        <v>0</v>
      </c>
      <c r="S79" s="7"/>
      <c r="T79" s="7"/>
      <c r="U79" s="7"/>
      <c r="V79" s="6"/>
      <c r="W79" s="7">
        <f t="shared" si="6"/>
        <v>0</v>
      </c>
      <c r="X79" s="302">
        <v>1711.5</v>
      </c>
      <c r="Y79" s="149"/>
      <c r="Z79" s="9">
        <f t="shared" si="7"/>
        <v>0</v>
      </c>
      <c r="AA79" s="256">
        <f t="shared" si="8"/>
        <v>0</v>
      </c>
      <c r="AB79" s="31"/>
    </row>
    <row r="80" spans="1:28" x14ac:dyDescent="0.25">
      <c r="Z80" s="598">
        <f>SUM(Z3:Z79)</f>
        <v>367356807.5</v>
      </c>
      <c r="AA80" s="598">
        <f>SUM(AA3:AA79)</f>
        <v>448892239.89999998</v>
      </c>
    </row>
    <row r="153" spans="13:28" x14ac:dyDescent="0.25"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142"/>
      <c r="Y153" s="142"/>
      <c r="AB153" s="2"/>
    </row>
    <row r="154" spans="13:28" x14ac:dyDescent="0.25"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142"/>
      <c r="Y154" s="142"/>
      <c r="AB154" s="2"/>
    </row>
    <row r="155" spans="13:28" x14ac:dyDescent="0.25"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142"/>
      <c r="Y155" s="142"/>
      <c r="AB155" s="2"/>
    </row>
    <row r="156" spans="13:28" x14ac:dyDescent="0.25"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142"/>
      <c r="Y156" s="142"/>
      <c r="AB156" s="2"/>
    </row>
    <row r="157" spans="13:28" x14ac:dyDescent="0.25"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142"/>
      <c r="Y157" s="142"/>
      <c r="AB157" s="2"/>
    </row>
    <row r="158" spans="13:28" x14ac:dyDescent="0.25"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142"/>
      <c r="Y158" s="142"/>
      <c r="AB158" s="2"/>
    </row>
    <row r="159" spans="13:28" x14ac:dyDescent="0.25"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142"/>
      <c r="Y159" s="142"/>
      <c r="AB159" s="2"/>
    </row>
    <row r="160" spans="13:28" x14ac:dyDescent="0.25"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142"/>
      <c r="Y160" s="142"/>
      <c r="AB160" s="2"/>
    </row>
    <row r="161" spans="13:28" x14ac:dyDescent="0.25"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142"/>
      <c r="Y161" s="142"/>
      <c r="AB161" s="2"/>
    </row>
    <row r="162" spans="13:28" x14ac:dyDescent="0.25"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142"/>
      <c r="Y162" s="142"/>
      <c r="AB162" s="2"/>
    </row>
    <row r="163" spans="13:28" x14ac:dyDescent="0.25"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142"/>
      <c r="Y163" s="142"/>
      <c r="AB163" s="2"/>
    </row>
    <row r="164" spans="13:28" x14ac:dyDescent="0.25"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142"/>
      <c r="Y164" s="142"/>
      <c r="AB164" s="2"/>
    </row>
    <row r="165" spans="13:28" x14ac:dyDescent="0.25"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142"/>
      <c r="Y165" s="142"/>
      <c r="AB165" s="2"/>
    </row>
    <row r="166" spans="13:28" x14ac:dyDescent="0.25"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142"/>
      <c r="Y166" s="142"/>
      <c r="AB166" s="2"/>
    </row>
    <row r="167" spans="13:28" x14ac:dyDescent="0.25"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142"/>
      <c r="Y167" s="142"/>
      <c r="AB167" s="2"/>
    </row>
    <row r="168" spans="13:28" x14ac:dyDescent="0.25"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142"/>
      <c r="Y168" s="142"/>
      <c r="AB168" s="2"/>
    </row>
    <row r="1048567" spans="11:16" x14ac:dyDescent="0.25">
      <c r="K1048567" s="18"/>
    </row>
    <row r="1048568" spans="11:16" x14ac:dyDescent="0.25">
      <c r="P1048568" s="18"/>
    </row>
  </sheetData>
  <autoFilter ref="A2:AB56">
    <sortState ref="A4:AB79">
      <sortCondition ref="K2:K56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AB159"/>
  <sheetViews>
    <sheetView topLeftCell="K1" zoomScale="77" zoomScaleNormal="85" workbookViewId="0">
      <pane ySplit="2" topLeftCell="A44" activePane="bottomLeft" state="frozen"/>
      <selection pane="bottomLeft" activeCell="V74" sqref="V74"/>
    </sheetView>
  </sheetViews>
  <sheetFormatPr baseColWidth="10" defaultColWidth="11.42578125" defaultRowHeight="15" x14ac:dyDescent="0.25"/>
  <cols>
    <col min="1" max="1" width="15" customWidth="1"/>
    <col min="2" max="2" width="67.42578125" style="32" bestFit="1" customWidth="1"/>
    <col min="3" max="3" width="10.28515625" style="32" hidden="1" customWidth="1"/>
    <col min="4" max="4" width="13.42578125" style="32" hidden="1" customWidth="1"/>
    <col min="5" max="5" width="10.28515625" style="32" hidden="1" customWidth="1"/>
    <col min="6" max="6" width="10.7109375" style="2" hidden="1" customWidth="1"/>
    <col min="7" max="7" width="10.5703125" style="2" hidden="1" customWidth="1"/>
    <col min="8" max="8" width="10.5703125" hidden="1" customWidth="1"/>
    <col min="9" max="9" width="12" style="2" hidden="1" customWidth="1"/>
    <col min="10" max="10" width="15.140625" hidden="1" customWidth="1"/>
    <col min="11" max="11" width="8.85546875" customWidth="1"/>
    <col min="12" max="12" width="10.140625" hidden="1" customWidth="1"/>
    <col min="13" max="13" width="17.140625" customWidth="1"/>
    <col min="14" max="14" width="9.28515625" customWidth="1"/>
    <col min="15" max="15" width="7.5703125" customWidth="1"/>
    <col min="16" max="16" width="10.140625" customWidth="1"/>
    <col min="17" max="17" width="7.42578125" customWidth="1"/>
    <col min="18" max="20" width="14.42578125" customWidth="1"/>
    <col min="21" max="21" width="12.42578125" customWidth="1"/>
    <col min="22" max="22" width="11.28515625" customWidth="1"/>
    <col min="23" max="23" width="12.42578125" customWidth="1"/>
    <col min="24" max="24" width="13.85546875" style="143" customWidth="1"/>
    <col min="25" max="25" width="16.5703125" style="143" customWidth="1"/>
    <col min="26" max="26" width="18.7109375" customWidth="1"/>
    <col min="27" max="27" width="17.71093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64" t="s">
        <v>77</v>
      </c>
      <c r="D1" s="764" t="s">
        <v>78</v>
      </c>
      <c r="E1" s="779" t="s">
        <v>79</v>
      </c>
      <c r="F1" s="779" t="s">
        <v>80</v>
      </c>
      <c r="G1" s="790" t="s">
        <v>81</v>
      </c>
      <c r="H1" s="790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85" t="s">
        <v>886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89"/>
      <c r="D2" s="789"/>
      <c r="E2" s="771"/>
      <c r="F2" s="771"/>
      <c r="G2" s="771"/>
      <c r="H2" s="771"/>
      <c r="I2" s="771"/>
      <c r="J2" s="771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132" customFormat="1" x14ac:dyDescent="0.25">
      <c r="A3" s="55" t="s">
        <v>351</v>
      </c>
      <c r="B3" s="92" t="s">
        <v>352</v>
      </c>
      <c r="C3" s="92">
        <v>50</v>
      </c>
      <c r="D3" s="55">
        <v>50</v>
      </c>
      <c r="E3" s="55">
        <v>25</v>
      </c>
      <c r="F3" s="521">
        <v>50</v>
      </c>
      <c r="G3" s="92">
        <f>VLOOKUP(A3,'[1]yourspreadsheetname (1)'!$A$2:$C$968, 3, FALSE)</f>
        <v>0</v>
      </c>
      <c r="H3" s="55">
        <v>150</v>
      </c>
      <c r="I3" s="429"/>
      <c r="J3" s="250" t="s">
        <v>122</v>
      </c>
      <c r="K3" s="55">
        <v>756677</v>
      </c>
      <c r="L3" s="293"/>
      <c r="M3" s="55" t="s">
        <v>285</v>
      </c>
      <c r="N3" s="541" t="s">
        <v>1167</v>
      </c>
      <c r="O3" s="55">
        <v>1</v>
      </c>
      <c r="P3" s="18"/>
      <c r="Q3" s="18"/>
      <c r="R3" s="66">
        <v>400</v>
      </c>
      <c r="S3" s="18"/>
      <c r="T3" s="63"/>
      <c r="U3" s="63"/>
      <c r="V3" s="63"/>
      <c r="W3" s="18">
        <f t="shared" ref="W3:W34" si="0">U3+V3</f>
        <v>0</v>
      </c>
      <c r="X3" s="118">
        <v>20000</v>
      </c>
      <c r="Y3" s="117">
        <v>23998</v>
      </c>
      <c r="Z3" s="8">
        <f t="shared" ref="Z3:Z34" si="1">R3*X3</f>
        <v>8000000</v>
      </c>
      <c r="AA3" s="8">
        <f>W3*Y36</f>
        <v>0</v>
      </c>
      <c r="AB3" s="37"/>
    </row>
    <row r="4" spans="1:28" s="132" customFormat="1" x14ac:dyDescent="0.25">
      <c r="A4" s="55" t="s">
        <v>545</v>
      </c>
      <c r="B4" s="55" t="s">
        <v>546</v>
      </c>
      <c r="C4" s="55">
        <v>20</v>
      </c>
      <c r="D4" s="55">
        <v>15</v>
      </c>
      <c r="E4" s="55">
        <v>20</v>
      </c>
      <c r="F4" s="429">
        <v>20</v>
      </c>
      <c r="G4" s="92">
        <f>VLOOKUP(A4,'[1]yourspreadsheetname (1)'!$A$2:$C$968, 3, FALSE)</f>
        <v>0</v>
      </c>
      <c r="H4" s="55">
        <v>120</v>
      </c>
      <c r="I4" s="429"/>
      <c r="J4" s="250" t="s">
        <v>122</v>
      </c>
      <c r="K4" s="55">
        <v>756677</v>
      </c>
      <c r="L4" s="293"/>
      <c r="M4" s="55" t="s">
        <v>285</v>
      </c>
      <c r="N4" s="541" t="s">
        <v>1167</v>
      </c>
      <c r="O4" s="55">
        <v>2</v>
      </c>
      <c r="P4" s="18"/>
      <c r="Q4" s="18"/>
      <c r="R4" s="66">
        <f>((F4*15)-G4-I4)/2</f>
        <v>150</v>
      </c>
      <c r="S4" s="18"/>
      <c r="T4" s="63"/>
      <c r="U4" s="63"/>
      <c r="V4" s="63"/>
      <c r="W4" s="18">
        <f t="shared" si="0"/>
        <v>0</v>
      </c>
      <c r="X4" s="118">
        <v>174.75</v>
      </c>
      <c r="Y4" s="117">
        <v>29250</v>
      </c>
      <c r="Z4" s="8">
        <f t="shared" si="1"/>
        <v>26212.5</v>
      </c>
      <c r="AA4" s="8">
        <f>W4*Y4</f>
        <v>0</v>
      </c>
      <c r="AB4" s="37"/>
    </row>
    <row r="5" spans="1:28" s="116" customFormat="1" x14ac:dyDescent="0.25">
      <c r="A5" s="327" t="s">
        <v>1168</v>
      </c>
      <c r="B5" s="18" t="s">
        <v>1169</v>
      </c>
      <c r="C5" s="18">
        <v>80</v>
      </c>
      <c r="D5" s="18">
        <v>150</v>
      </c>
      <c r="E5" s="18">
        <v>200</v>
      </c>
      <c r="F5" s="169">
        <v>240</v>
      </c>
      <c r="G5" s="54" t="e">
        <f>VLOOKUP(A5,'[1]yourspreadsheetname (1)'!$A$2:$C$968, 3, FALSE)</f>
        <v>#N/A</v>
      </c>
      <c r="H5" s="66">
        <v>2350</v>
      </c>
      <c r="I5" s="169">
        <v>0</v>
      </c>
      <c r="J5" s="173" t="s">
        <v>122</v>
      </c>
      <c r="K5" s="66">
        <v>756677</v>
      </c>
      <c r="L5" s="274"/>
      <c r="M5" s="66" t="s">
        <v>1170</v>
      </c>
      <c r="N5" s="21" t="s">
        <v>1167</v>
      </c>
      <c r="O5" s="18">
        <v>3</v>
      </c>
      <c r="P5" s="18" t="s">
        <v>1171</v>
      </c>
      <c r="Q5" s="6"/>
      <c r="R5" s="66">
        <v>1800</v>
      </c>
      <c r="S5" s="18"/>
      <c r="T5" s="66"/>
      <c r="U5" s="66">
        <v>1800</v>
      </c>
      <c r="V5" s="66"/>
      <c r="W5" s="18">
        <f t="shared" si="0"/>
        <v>1800</v>
      </c>
      <c r="X5" s="118">
        <v>4650</v>
      </c>
      <c r="Y5" s="117">
        <v>5199</v>
      </c>
      <c r="Z5" s="8">
        <f t="shared" si="1"/>
        <v>8370000</v>
      </c>
      <c r="AA5" s="8">
        <v>9358200</v>
      </c>
      <c r="AB5" s="18"/>
    </row>
    <row r="6" spans="1:28" s="132" customFormat="1" x14ac:dyDescent="0.25">
      <c r="A6" s="18" t="s">
        <v>1172</v>
      </c>
      <c r="B6" s="18" t="s">
        <v>1173</v>
      </c>
      <c r="C6" s="18">
        <v>20</v>
      </c>
      <c r="D6" s="18">
        <v>25</v>
      </c>
      <c r="E6" s="18">
        <v>50</v>
      </c>
      <c r="F6" s="120">
        <v>50</v>
      </c>
      <c r="G6" s="54">
        <f>VLOOKUP(A6,'[1]yourspreadsheetname (1)'!$A$2:$C$968, 3, FALSE)</f>
        <v>260</v>
      </c>
      <c r="H6" s="66">
        <v>600</v>
      </c>
      <c r="I6" s="169">
        <v>0</v>
      </c>
      <c r="J6" s="173" t="s">
        <v>122</v>
      </c>
      <c r="K6" s="66">
        <v>756677</v>
      </c>
      <c r="L6" s="274"/>
      <c r="M6" s="66" t="s">
        <v>293</v>
      </c>
      <c r="N6" s="21" t="s">
        <v>1167</v>
      </c>
      <c r="O6" s="18">
        <v>4</v>
      </c>
      <c r="P6" s="24" t="s">
        <v>1174</v>
      </c>
      <c r="Q6" s="18"/>
      <c r="R6" s="66">
        <v>300</v>
      </c>
      <c r="S6" s="18"/>
      <c r="T6" s="66"/>
      <c r="U6" s="66">
        <v>300</v>
      </c>
      <c r="V6" s="63"/>
      <c r="W6" s="18">
        <f t="shared" si="0"/>
        <v>300</v>
      </c>
      <c r="X6" s="118">
        <v>2167</v>
      </c>
      <c r="Y6" s="117">
        <v>2223</v>
      </c>
      <c r="Z6" s="8">
        <f t="shared" si="1"/>
        <v>650100</v>
      </c>
      <c r="AA6" s="8">
        <v>666900</v>
      </c>
      <c r="AB6" s="37"/>
    </row>
    <row r="7" spans="1:28" s="116" customFormat="1" x14ac:dyDescent="0.25">
      <c r="A7" s="135" t="s">
        <v>1175</v>
      </c>
      <c r="B7" s="135" t="s">
        <v>1176</v>
      </c>
      <c r="C7" s="13" t="s">
        <v>783</v>
      </c>
      <c r="D7" s="12">
        <v>1000</v>
      </c>
      <c r="E7" s="12">
        <v>800</v>
      </c>
      <c r="F7" s="106">
        <v>900</v>
      </c>
      <c r="G7" s="54">
        <f>VLOOKUP(A7,'[1]yourspreadsheetname (1)'!$A$2:$C$968, 3, FALSE)</f>
        <v>7600</v>
      </c>
      <c r="H7" s="66">
        <v>9600</v>
      </c>
      <c r="I7" s="169"/>
      <c r="J7" s="173" t="s">
        <v>122</v>
      </c>
      <c r="K7" s="66">
        <v>756677</v>
      </c>
      <c r="L7" s="274"/>
      <c r="M7" s="64" t="s">
        <v>283</v>
      </c>
      <c r="N7" s="21" t="s">
        <v>1167</v>
      </c>
      <c r="O7" s="18">
        <v>5</v>
      </c>
      <c r="P7" s="18" t="s">
        <v>1177</v>
      </c>
      <c r="Q7" s="18"/>
      <c r="R7" s="66">
        <v>3000</v>
      </c>
      <c r="S7" s="18"/>
      <c r="T7" s="63"/>
      <c r="U7" s="66">
        <v>3000</v>
      </c>
      <c r="V7" s="63"/>
      <c r="W7" s="18">
        <f t="shared" si="0"/>
        <v>3000</v>
      </c>
      <c r="X7" s="118">
        <v>265</v>
      </c>
      <c r="Y7" s="117">
        <v>320</v>
      </c>
      <c r="Z7" s="8">
        <f t="shared" si="1"/>
        <v>795000</v>
      </c>
      <c r="AA7" s="8">
        <v>960000</v>
      </c>
      <c r="AB7" s="37"/>
    </row>
    <row r="8" spans="1:28" s="116" customFormat="1" x14ac:dyDescent="0.25">
      <c r="A8" s="327" t="s">
        <v>1178</v>
      </c>
      <c r="B8" s="12" t="s">
        <v>1179</v>
      </c>
      <c r="C8" s="12"/>
      <c r="D8" s="18">
        <v>50</v>
      </c>
      <c r="E8" s="18">
        <v>30</v>
      </c>
      <c r="F8" s="333">
        <v>30</v>
      </c>
      <c r="G8" s="54" t="e">
        <f>VLOOKUP(A8,'[1]yourspreadsheetname (1)'!$A$2:$C$968, 3, FALSE)</f>
        <v>#N/A</v>
      </c>
      <c r="H8" s="66">
        <v>250</v>
      </c>
      <c r="I8" s="169">
        <v>0</v>
      </c>
      <c r="J8" s="173" t="s">
        <v>122</v>
      </c>
      <c r="K8" s="66">
        <v>756677</v>
      </c>
      <c r="L8" s="274"/>
      <c r="M8" s="66" t="s">
        <v>283</v>
      </c>
      <c r="N8" s="21" t="s">
        <v>1167</v>
      </c>
      <c r="O8" s="18">
        <v>6</v>
      </c>
      <c r="P8" s="18" t="s">
        <v>1177</v>
      </c>
      <c r="Q8" s="18"/>
      <c r="R8" s="66">
        <v>200</v>
      </c>
      <c r="S8" s="18"/>
      <c r="T8" s="66"/>
      <c r="U8" s="66">
        <v>200</v>
      </c>
      <c r="V8" s="63"/>
      <c r="W8" s="18">
        <f t="shared" si="0"/>
        <v>200</v>
      </c>
      <c r="X8" s="118">
        <v>1317</v>
      </c>
      <c r="Y8" s="117">
        <v>1215</v>
      </c>
      <c r="Z8" s="8">
        <f t="shared" si="1"/>
        <v>263400</v>
      </c>
      <c r="AA8" s="8">
        <v>243000</v>
      </c>
      <c r="AB8" s="37"/>
    </row>
    <row r="9" spans="1:28" s="132" customFormat="1" x14ac:dyDescent="0.25">
      <c r="A9" s="18" t="s">
        <v>1180</v>
      </c>
      <c r="B9" s="12" t="s">
        <v>1181</v>
      </c>
      <c r="C9" s="12">
        <v>350</v>
      </c>
      <c r="D9" s="18">
        <v>600</v>
      </c>
      <c r="E9" s="18">
        <v>500</v>
      </c>
      <c r="F9" s="210">
        <v>450</v>
      </c>
      <c r="G9" s="54">
        <f>VLOOKUP(A9,'[1]yourspreadsheetname (1)'!$A$2:$C$968, 3, FALSE)</f>
        <v>580</v>
      </c>
      <c r="H9" s="66">
        <v>6050</v>
      </c>
      <c r="I9" s="169">
        <v>2100</v>
      </c>
      <c r="J9" s="173" t="s">
        <v>122</v>
      </c>
      <c r="K9" s="66">
        <v>756677</v>
      </c>
      <c r="L9" s="274"/>
      <c r="M9" s="66" t="s">
        <v>293</v>
      </c>
      <c r="N9" s="21" t="s">
        <v>1167</v>
      </c>
      <c r="O9" s="18">
        <v>7</v>
      </c>
      <c r="P9" s="21" t="s">
        <v>1174</v>
      </c>
      <c r="Q9" s="18"/>
      <c r="R9" s="66">
        <v>2400</v>
      </c>
      <c r="S9" s="19"/>
      <c r="T9" s="66"/>
      <c r="U9" s="66">
        <v>2400</v>
      </c>
      <c r="V9" s="66"/>
      <c r="W9" s="18">
        <f t="shared" si="0"/>
        <v>2400</v>
      </c>
      <c r="X9" s="118">
        <v>3187</v>
      </c>
      <c r="Y9" s="117">
        <v>2678</v>
      </c>
      <c r="Z9" s="8">
        <f t="shared" si="1"/>
        <v>7648800</v>
      </c>
      <c r="AA9" s="8">
        <v>6427200</v>
      </c>
      <c r="AB9" s="37"/>
    </row>
    <row r="10" spans="1:28" s="116" customFormat="1" x14ac:dyDescent="0.25">
      <c r="A10" s="18" t="s">
        <v>1182</v>
      </c>
      <c r="B10" s="12" t="s">
        <v>1183</v>
      </c>
      <c r="C10" s="12">
        <v>80</v>
      </c>
      <c r="D10" s="18">
        <v>250</v>
      </c>
      <c r="E10" s="18">
        <v>250</v>
      </c>
      <c r="F10" s="352">
        <v>200</v>
      </c>
      <c r="G10" s="54">
        <f>VLOOKUP(A10,'[1]yourspreadsheetname (1)'!$A$2:$C$968, 3, FALSE)</f>
        <v>1400</v>
      </c>
      <c r="H10" s="66">
        <v>3000</v>
      </c>
      <c r="I10" s="169"/>
      <c r="J10" s="173" t="s">
        <v>122</v>
      </c>
      <c r="K10" s="66">
        <v>756677</v>
      </c>
      <c r="L10" s="66"/>
      <c r="M10" s="64" t="s">
        <v>283</v>
      </c>
      <c r="N10" s="21" t="s">
        <v>1167</v>
      </c>
      <c r="O10" s="18">
        <v>8</v>
      </c>
      <c r="P10" s="18" t="s">
        <v>1177</v>
      </c>
      <c r="Q10" s="18"/>
      <c r="R10" s="66">
        <v>1000</v>
      </c>
      <c r="S10" s="18"/>
      <c r="T10" s="66"/>
      <c r="U10" s="66">
        <v>1000</v>
      </c>
      <c r="V10" s="66"/>
      <c r="W10" s="18">
        <f t="shared" si="0"/>
        <v>1000</v>
      </c>
      <c r="X10" s="118">
        <v>388</v>
      </c>
      <c r="Y10" s="117">
        <v>435</v>
      </c>
      <c r="Z10" s="8">
        <f t="shared" si="1"/>
        <v>388000</v>
      </c>
      <c r="AA10" s="8">
        <v>435000</v>
      </c>
      <c r="AB10" s="679"/>
    </row>
    <row r="11" spans="1:28" s="132" customFormat="1" x14ac:dyDescent="0.25">
      <c r="A11" s="18" t="s">
        <v>1184</v>
      </c>
      <c r="B11" s="18" t="s">
        <v>1185</v>
      </c>
      <c r="C11" s="12">
        <v>60</v>
      </c>
      <c r="D11" s="18">
        <v>25</v>
      </c>
      <c r="E11" s="18">
        <v>40</v>
      </c>
      <c r="F11" s="333">
        <v>100</v>
      </c>
      <c r="G11" s="54">
        <f>VLOOKUP(A11,'[1]yourspreadsheetname (1)'!$A$2:$C$968, 3, FALSE)</f>
        <v>135</v>
      </c>
      <c r="H11" s="66">
        <v>524</v>
      </c>
      <c r="I11" s="169">
        <v>200</v>
      </c>
      <c r="J11" s="173" t="s">
        <v>122</v>
      </c>
      <c r="K11" s="66">
        <v>756677</v>
      </c>
      <c r="L11" s="274"/>
      <c r="M11" s="63" t="s">
        <v>688</v>
      </c>
      <c r="N11" s="21" t="s">
        <v>1167</v>
      </c>
      <c r="O11" s="18">
        <v>9</v>
      </c>
      <c r="P11" s="6" t="s">
        <v>1186</v>
      </c>
      <c r="Q11" s="6"/>
      <c r="R11" s="66">
        <v>600</v>
      </c>
      <c r="S11" s="18">
        <v>400</v>
      </c>
      <c r="T11" s="66"/>
      <c r="U11" s="66">
        <v>400</v>
      </c>
      <c r="V11" s="66"/>
      <c r="W11" s="18">
        <f t="shared" si="0"/>
        <v>400</v>
      </c>
      <c r="X11" s="118">
        <v>14850</v>
      </c>
      <c r="Y11" s="117">
        <v>9199</v>
      </c>
      <c r="Z11" s="8">
        <f t="shared" si="1"/>
        <v>8910000</v>
      </c>
      <c r="AA11" s="8">
        <v>3679600</v>
      </c>
      <c r="AB11" s="38"/>
    </row>
    <row r="12" spans="1:28" s="116" customFormat="1" x14ac:dyDescent="0.25">
      <c r="A12" s="18" t="s">
        <v>118</v>
      </c>
      <c r="B12" s="18" t="s">
        <v>1187</v>
      </c>
      <c r="C12" s="18">
        <v>100</v>
      </c>
      <c r="D12" s="18">
        <v>100</v>
      </c>
      <c r="E12" s="18">
        <v>150</v>
      </c>
      <c r="F12" s="210">
        <v>150</v>
      </c>
      <c r="G12" s="54" t="e">
        <f>VLOOKUP(A12,'[1]yourspreadsheetname (1)'!$A$2:$C$968, 3, FALSE)</f>
        <v>#N/A</v>
      </c>
      <c r="H12" s="66">
        <v>1200</v>
      </c>
      <c r="I12" s="169">
        <v>60</v>
      </c>
      <c r="J12" s="173" t="s">
        <v>122</v>
      </c>
      <c r="K12" s="66">
        <v>756677</v>
      </c>
      <c r="L12" s="274"/>
      <c r="M12" s="66" t="s">
        <v>259</v>
      </c>
      <c r="N12" s="21" t="s">
        <v>1167</v>
      </c>
      <c r="O12" s="18">
        <v>10</v>
      </c>
      <c r="P12" s="18" t="s">
        <v>1188</v>
      </c>
      <c r="Q12" s="18"/>
      <c r="R12" s="66">
        <v>800</v>
      </c>
      <c r="S12" s="18"/>
      <c r="T12" s="66"/>
      <c r="U12" s="66">
        <v>800</v>
      </c>
      <c r="V12" s="66"/>
      <c r="W12" s="18">
        <f t="shared" si="0"/>
        <v>800</v>
      </c>
      <c r="X12" s="118">
        <v>1755</v>
      </c>
      <c r="Y12" s="117">
        <v>1584</v>
      </c>
      <c r="Z12" s="8">
        <f t="shared" si="1"/>
        <v>1404000</v>
      </c>
      <c r="AA12" s="8">
        <v>1267200</v>
      </c>
      <c r="AB12" s="37"/>
    </row>
    <row r="13" spans="1:28" s="116" customFormat="1" x14ac:dyDescent="0.25">
      <c r="A13" s="18" t="s">
        <v>140</v>
      </c>
      <c r="B13" s="18" t="s">
        <v>1189</v>
      </c>
      <c r="C13" s="18">
        <v>1030</v>
      </c>
      <c r="D13" s="18">
        <v>850</v>
      </c>
      <c r="E13" s="18">
        <v>1100</v>
      </c>
      <c r="F13" s="209">
        <v>1000</v>
      </c>
      <c r="G13" s="54" t="e">
        <f>VLOOKUP(A13,'[1]yourspreadsheetname (1)'!$A$2:$C$968, 3, FALSE)</f>
        <v>#N/A</v>
      </c>
      <c r="H13" s="66">
        <v>10100</v>
      </c>
      <c r="I13" s="169">
        <v>400</v>
      </c>
      <c r="J13" s="173" t="s">
        <v>122</v>
      </c>
      <c r="K13" s="66">
        <v>756677</v>
      </c>
      <c r="L13" s="274"/>
      <c r="M13" s="63" t="s">
        <v>263</v>
      </c>
      <c r="N13" s="21" t="s">
        <v>1167</v>
      </c>
      <c r="O13" s="18">
        <v>11</v>
      </c>
      <c r="P13" s="6" t="s">
        <v>1190</v>
      </c>
      <c r="Q13" s="6"/>
      <c r="R13" s="66">
        <v>4500</v>
      </c>
      <c r="S13" s="18"/>
      <c r="T13" s="66"/>
      <c r="U13" s="66">
        <v>4500</v>
      </c>
      <c r="V13" s="63"/>
      <c r="W13" s="18">
        <f t="shared" si="0"/>
        <v>4500</v>
      </c>
      <c r="X13" s="118">
        <v>550</v>
      </c>
      <c r="Y13" s="117">
        <v>569.23</v>
      </c>
      <c r="Z13" s="8">
        <f t="shared" si="1"/>
        <v>2475000</v>
      </c>
      <c r="AA13" s="8">
        <v>2561535</v>
      </c>
      <c r="AB13" s="38"/>
    </row>
    <row r="14" spans="1:28" s="116" customFormat="1" x14ac:dyDescent="0.25">
      <c r="A14" s="55" t="s">
        <v>426</v>
      </c>
      <c r="B14" s="55" t="s">
        <v>427</v>
      </c>
      <c r="C14" s="92">
        <v>100</v>
      </c>
      <c r="D14" s="55">
        <v>100</v>
      </c>
      <c r="E14" s="55">
        <v>250</v>
      </c>
      <c r="F14" s="429">
        <v>150</v>
      </c>
      <c r="G14" s="92" t="e">
        <f>VLOOKUP(A14,'[1]yourspreadsheetname (1)'!$A$2:$C$968, 3, FALSE)</f>
        <v>#N/A</v>
      </c>
      <c r="H14" s="55">
        <v>2025</v>
      </c>
      <c r="I14" s="429"/>
      <c r="J14" s="250" t="s">
        <v>122</v>
      </c>
      <c r="K14" s="55">
        <v>756677</v>
      </c>
      <c r="L14" s="293"/>
      <c r="M14" s="55" t="s">
        <v>283</v>
      </c>
      <c r="N14" s="541" t="s">
        <v>1167</v>
      </c>
      <c r="O14" s="55">
        <v>12</v>
      </c>
      <c r="P14" s="18"/>
      <c r="Q14" s="18"/>
      <c r="R14" s="66">
        <v>500</v>
      </c>
      <c r="S14" s="18"/>
      <c r="T14" s="66"/>
      <c r="U14" s="66"/>
      <c r="V14" s="63"/>
      <c r="W14" s="18">
        <f t="shared" si="0"/>
        <v>0</v>
      </c>
      <c r="X14" s="118">
        <v>844</v>
      </c>
      <c r="Y14" s="117">
        <v>1475</v>
      </c>
      <c r="Z14" s="8">
        <f t="shared" si="1"/>
        <v>422000</v>
      </c>
      <c r="AA14" s="8">
        <f>W14*Y14</f>
        <v>0</v>
      </c>
      <c r="AB14" s="37"/>
    </row>
    <row r="15" spans="1:28" s="132" customFormat="1" x14ac:dyDescent="0.25">
      <c r="A15" s="55" t="s">
        <v>345</v>
      </c>
      <c r="B15" s="55" t="s">
        <v>346</v>
      </c>
      <c r="C15" s="55">
        <v>5</v>
      </c>
      <c r="D15" s="55">
        <v>0</v>
      </c>
      <c r="E15" s="55">
        <v>2</v>
      </c>
      <c r="F15" s="521">
        <v>1</v>
      </c>
      <c r="G15" s="92">
        <f>VLOOKUP(A15,'[1]yourspreadsheetname (1)'!$A$2:$C$968, 3, FALSE)</f>
        <v>0</v>
      </c>
      <c r="H15" s="55">
        <v>10</v>
      </c>
      <c r="I15" s="429"/>
      <c r="J15" s="250" t="s">
        <v>122</v>
      </c>
      <c r="K15" s="55">
        <v>756677</v>
      </c>
      <c r="L15" s="293"/>
      <c r="M15" s="55" t="s">
        <v>285</v>
      </c>
      <c r="N15" s="541" t="s">
        <v>1167</v>
      </c>
      <c r="O15" s="55">
        <v>13</v>
      </c>
      <c r="P15" s="18"/>
      <c r="Q15" s="18"/>
      <c r="R15" s="66">
        <v>10</v>
      </c>
      <c r="S15" s="18"/>
      <c r="T15" s="66"/>
      <c r="U15" s="66"/>
      <c r="V15" s="66"/>
      <c r="W15" s="18">
        <f t="shared" si="0"/>
        <v>0</v>
      </c>
      <c r="X15" s="118"/>
      <c r="Y15" s="117"/>
      <c r="Z15" s="8">
        <f t="shared" si="1"/>
        <v>0</v>
      </c>
      <c r="AA15" s="8">
        <f>W15*Y15</f>
        <v>0</v>
      </c>
      <c r="AB15" s="37"/>
    </row>
    <row r="16" spans="1:28" s="132" customFormat="1" x14ac:dyDescent="0.25">
      <c r="A16" s="18" t="s">
        <v>1191</v>
      </c>
      <c r="B16" s="18" t="s">
        <v>1192</v>
      </c>
      <c r="C16" s="18">
        <v>5</v>
      </c>
      <c r="D16" s="18">
        <v>0</v>
      </c>
      <c r="E16" s="18">
        <v>10</v>
      </c>
      <c r="F16" s="120">
        <v>5</v>
      </c>
      <c r="G16" s="54">
        <f>VLOOKUP(A16,'[1]yourspreadsheetname (1)'!$A$2:$C$968, 3, FALSE)</f>
        <v>15</v>
      </c>
      <c r="H16" s="66">
        <v>30</v>
      </c>
      <c r="I16" s="169"/>
      <c r="J16" s="173" t="s">
        <v>122</v>
      </c>
      <c r="K16" s="66">
        <v>756677</v>
      </c>
      <c r="L16" s="274"/>
      <c r="M16" s="66" t="s">
        <v>259</v>
      </c>
      <c r="N16" s="21" t="s">
        <v>1167</v>
      </c>
      <c r="O16" s="18">
        <v>14</v>
      </c>
      <c r="P16" s="18" t="s">
        <v>1188</v>
      </c>
      <c r="Q16" s="18"/>
      <c r="R16" s="66">
        <v>20</v>
      </c>
      <c r="S16" s="18"/>
      <c r="T16" s="63"/>
      <c r="U16" s="63">
        <v>20</v>
      </c>
      <c r="V16" s="63"/>
      <c r="W16" s="18">
        <f t="shared" si="0"/>
        <v>20</v>
      </c>
      <c r="X16" s="118">
        <v>31950</v>
      </c>
      <c r="Y16" s="117">
        <v>32060</v>
      </c>
      <c r="Z16" s="8">
        <f t="shared" si="1"/>
        <v>639000</v>
      </c>
      <c r="AA16" s="8">
        <v>641200</v>
      </c>
      <c r="AB16" s="69"/>
    </row>
    <row r="17" spans="1:28" s="116" customFormat="1" x14ac:dyDescent="0.25">
      <c r="A17" s="55" t="s">
        <v>347</v>
      </c>
      <c r="B17" s="92" t="s">
        <v>348</v>
      </c>
      <c r="C17" s="55"/>
      <c r="D17" s="55"/>
      <c r="E17" s="55">
        <v>50</v>
      </c>
      <c r="F17" s="521">
        <v>50</v>
      </c>
      <c r="G17" s="92">
        <v>0</v>
      </c>
      <c r="H17" s="55">
        <v>300</v>
      </c>
      <c r="I17" s="429"/>
      <c r="J17" s="250" t="s">
        <v>122</v>
      </c>
      <c r="K17" s="55">
        <v>756677</v>
      </c>
      <c r="L17" s="293"/>
      <c r="M17" s="55" t="s">
        <v>285</v>
      </c>
      <c r="N17" s="541" t="s">
        <v>1167</v>
      </c>
      <c r="O17" s="55">
        <v>15</v>
      </c>
      <c r="P17" s="6"/>
      <c r="Q17" s="18"/>
      <c r="R17" s="66">
        <v>300</v>
      </c>
      <c r="S17" s="18"/>
      <c r="T17" s="186"/>
      <c r="U17" s="66"/>
      <c r="V17" s="66"/>
      <c r="W17" s="18">
        <f t="shared" si="0"/>
        <v>0</v>
      </c>
      <c r="X17" s="118">
        <v>405</v>
      </c>
      <c r="Y17" s="117">
        <v>455</v>
      </c>
      <c r="Z17" s="8">
        <f t="shared" si="1"/>
        <v>121500</v>
      </c>
      <c r="AA17" s="8">
        <f>W17*Y17</f>
        <v>0</v>
      </c>
      <c r="AB17" s="37"/>
    </row>
    <row r="18" spans="1:28" s="132" customFormat="1" x14ac:dyDescent="0.25">
      <c r="A18" s="110" t="s">
        <v>1193</v>
      </c>
      <c r="B18" s="18" t="s">
        <v>1194</v>
      </c>
      <c r="C18" s="18">
        <v>400</v>
      </c>
      <c r="D18" s="18"/>
      <c r="E18" s="18">
        <v>500</v>
      </c>
      <c r="F18" s="106">
        <v>400</v>
      </c>
      <c r="G18" s="54">
        <f>VLOOKUP(A18,'[1]yourspreadsheetname (1)'!$A$2:$C$968, 3, FALSE)</f>
        <v>3996</v>
      </c>
      <c r="H18" s="66">
        <v>4050</v>
      </c>
      <c r="I18" s="169"/>
      <c r="J18" s="173" t="s">
        <v>122</v>
      </c>
      <c r="K18" s="66">
        <v>756677</v>
      </c>
      <c r="L18" s="274"/>
      <c r="M18" s="64" t="s">
        <v>293</v>
      </c>
      <c r="N18" s="21" t="s">
        <v>1167</v>
      </c>
      <c r="O18" s="18">
        <v>16</v>
      </c>
      <c r="P18" s="18" t="s">
        <v>1174</v>
      </c>
      <c r="Q18" s="18"/>
      <c r="R18" s="66">
        <v>1000</v>
      </c>
      <c r="S18" s="18"/>
      <c r="T18" s="63"/>
      <c r="U18" s="63">
        <v>1000</v>
      </c>
      <c r="V18" s="63"/>
      <c r="W18" s="18">
        <f t="shared" si="0"/>
        <v>1000</v>
      </c>
      <c r="X18" s="153">
        <v>1815</v>
      </c>
      <c r="Y18" s="117">
        <v>2200</v>
      </c>
      <c r="Z18" s="8">
        <f t="shared" si="1"/>
        <v>1815000</v>
      </c>
      <c r="AA18" s="8">
        <v>2200000</v>
      </c>
      <c r="AB18" s="18"/>
    </row>
    <row r="19" spans="1:28" s="132" customFormat="1" x14ac:dyDescent="0.25">
      <c r="A19" s="55" t="s">
        <v>125</v>
      </c>
      <c r="B19" s="55" t="s">
        <v>126</v>
      </c>
      <c r="C19" s="55"/>
      <c r="D19" s="55"/>
      <c r="E19" s="55">
        <v>0</v>
      </c>
      <c r="F19" s="429">
        <v>0</v>
      </c>
      <c r="G19" s="92">
        <v>48</v>
      </c>
      <c r="H19" s="55">
        <v>0</v>
      </c>
      <c r="I19" s="429"/>
      <c r="J19" s="250" t="s">
        <v>122</v>
      </c>
      <c r="K19" s="55">
        <v>756677</v>
      </c>
      <c r="L19" s="293"/>
      <c r="M19" s="55" t="s">
        <v>263</v>
      </c>
      <c r="N19" s="541" t="s">
        <v>1167</v>
      </c>
      <c r="O19" s="55">
        <v>17</v>
      </c>
      <c r="P19" s="18"/>
      <c r="Q19" s="18"/>
      <c r="R19" s="66">
        <v>24</v>
      </c>
      <c r="S19" s="52"/>
      <c r="T19" s="63"/>
      <c r="U19" s="63"/>
      <c r="V19" s="63"/>
      <c r="W19" s="18">
        <f t="shared" si="0"/>
        <v>0</v>
      </c>
      <c r="X19" s="118">
        <v>165000</v>
      </c>
      <c r="Y19" s="117">
        <v>319444.44</v>
      </c>
      <c r="Z19" s="8">
        <f t="shared" si="1"/>
        <v>3960000</v>
      </c>
      <c r="AA19" s="8">
        <f>W19*Y19</f>
        <v>0</v>
      </c>
      <c r="AB19" s="22"/>
    </row>
    <row r="20" spans="1:28" s="132" customFormat="1" x14ac:dyDescent="0.25">
      <c r="A20" s="55" t="s">
        <v>437</v>
      </c>
      <c r="B20" s="55" t="s">
        <v>438</v>
      </c>
      <c r="C20" s="55">
        <v>12</v>
      </c>
      <c r="D20" s="55">
        <v>10</v>
      </c>
      <c r="E20" s="55">
        <v>20</v>
      </c>
      <c r="F20" s="429">
        <v>15</v>
      </c>
      <c r="G20" s="92" t="e">
        <f>VLOOKUP(A20,'[1]yourspreadsheetname (1)'!$A$2:$C$968, 3, FALSE)</f>
        <v>#N/A</v>
      </c>
      <c r="H20" s="55">
        <v>250</v>
      </c>
      <c r="I20" s="429"/>
      <c r="J20" s="250" t="s">
        <v>122</v>
      </c>
      <c r="K20" s="55">
        <v>756677</v>
      </c>
      <c r="L20" s="293"/>
      <c r="M20" s="55" t="s">
        <v>263</v>
      </c>
      <c r="N20" s="541" t="s">
        <v>1167</v>
      </c>
      <c r="O20" s="55">
        <v>18</v>
      </c>
      <c r="P20" s="24"/>
      <c r="Q20" s="6"/>
      <c r="R20" s="66">
        <v>40</v>
      </c>
      <c r="S20" s="18"/>
      <c r="T20" s="66"/>
      <c r="U20" s="66"/>
      <c r="V20" s="66"/>
      <c r="W20" s="18">
        <f t="shared" si="0"/>
        <v>0</v>
      </c>
      <c r="X20" s="118">
        <v>19398.77</v>
      </c>
      <c r="Y20" s="117">
        <v>26617</v>
      </c>
      <c r="Z20" s="8">
        <f t="shared" si="1"/>
        <v>775950.8</v>
      </c>
      <c r="AA20" s="8">
        <f>W20*Y20</f>
        <v>0</v>
      </c>
      <c r="AB20" s="6"/>
    </row>
    <row r="21" spans="1:28" s="132" customFormat="1" x14ac:dyDescent="0.25">
      <c r="A21" s="275" t="s">
        <v>127</v>
      </c>
      <c r="B21" s="33" t="s">
        <v>1195</v>
      </c>
      <c r="C21" s="12">
        <v>3900</v>
      </c>
      <c r="D21" s="12">
        <v>4000</v>
      </c>
      <c r="E21" s="12">
        <v>4000</v>
      </c>
      <c r="F21" s="210">
        <v>4000</v>
      </c>
      <c r="G21" s="54">
        <f>VLOOKUP(A21,'[1]yourspreadsheetname (1)'!$A$2:$C$968, 3, FALSE)</f>
        <v>600</v>
      </c>
      <c r="H21" s="66">
        <v>52400</v>
      </c>
      <c r="I21" s="169">
        <v>0</v>
      </c>
      <c r="J21" s="173" t="s">
        <v>122</v>
      </c>
      <c r="K21" s="66">
        <v>756677</v>
      </c>
      <c r="L21" s="274"/>
      <c r="M21" s="66" t="s">
        <v>328</v>
      </c>
      <c r="N21" s="21" t="s">
        <v>1167</v>
      </c>
      <c r="O21" s="18">
        <v>19</v>
      </c>
      <c r="P21" s="18" t="s">
        <v>1196</v>
      </c>
      <c r="Q21" s="18"/>
      <c r="R21" s="66">
        <v>30000</v>
      </c>
      <c r="S21" s="18"/>
      <c r="T21" s="63"/>
      <c r="U21" s="66">
        <v>30000</v>
      </c>
      <c r="V21" s="63"/>
      <c r="W21" s="18">
        <f t="shared" si="0"/>
        <v>30000</v>
      </c>
      <c r="X21" s="118">
        <v>640</v>
      </c>
      <c r="Y21" s="150">
        <v>626.4</v>
      </c>
      <c r="Z21" s="8">
        <f t="shared" si="1"/>
        <v>19200000</v>
      </c>
      <c r="AA21" s="8">
        <v>18792000</v>
      </c>
      <c r="AB21" s="18"/>
    </row>
    <row r="22" spans="1:28" s="116" customFormat="1" x14ac:dyDescent="0.25">
      <c r="A22" s="18" t="s">
        <v>130</v>
      </c>
      <c r="B22" s="18" t="s">
        <v>1197</v>
      </c>
      <c r="C22" s="18">
        <v>5400</v>
      </c>
      <c r="D22" s="18">
        <v>5200</v>
      </c>
      <c r="E22" s="18">
        <v>5100</v>
      </c>
      <c r="F22" s="106">
        <v>5000</v>
      </c>
      <c r="G22" s="54">
        <f>VLOOKUP(A22,'[1]yourspreadsheetname (1)'!$A$2:$C$968, 3, FALSE)</f>
        <v>27800</v>
      </c>
      <c r="H22" s="66">
        <v>32000</v>
      </c>
      <c r="I22" s="169"/>
      <c r="J22" s="173" t="s">
        <v>122</v>
      </c>
      <c r="K22" s="66">
        <v>756677</v>
      </c>
      <c r="L22" s="274"/>
      <c r="M22" s="66" t="s">
        <v>283</v>
      </c>
      <c r="N22" s="21" t="s">
        <v>1167</v>
      </c>
      <c r="O22" s="18">
        <v>20</v>
      </c>
      <c r="P22" s="24" t="s">
        <v>1177</v>
      </c>
      <c r="Q22" s="18"/>
      <c r="R22" s="66">
        <v>25000</v>
      </c>
      <c r="S22" s="18"/>
      <c r="T22" s="66"/>
      <c r="U22" s="66">
        <v>25000</v>
      </c>
      <c r="V22" s="66"/>
      <c r="W22" s="18">
        <f t="shared" si="0"/>
        <v>25000</v>
      </c>
      <c r="X22" s="118">
        <v>334</v>
      </c>
      <c r="Y22" s="117">
        <v>543</v>
      </c>
      <c r="Z22" s="8">
        <f t="shared" si="1"/>
        <v>8350000</v>
      </c>
      <c r="AA22" s="8">
        <v>13575000</v>
      </c>
      <c r="AB22" s="18"/>
    </row>
    <row r="23" spans="1:28" s="116" customFormat="1" x14ac:dyDescent="0.25">
      <c r="A23" s="55" t="s">
        <v>164</v>
      </c>
      <c r="B23" s="55" t="s">
        <v>165</v>
      </c>
      <c r="C23" s="55">
        <v>2200</v>
      </c>
      <c r="D23" s="55">
        <v>1100</v>
      </c>
      <c r="E23" s="55">
        <v>1200</v>
      </c>
      <c r="F23" s="429">
        <v>1200</v>
      </c>
      <c r="G23" s="92">
        <f>VLOOKUP(A23,'[1]yourspreadsheetname (1)'!$A$2:$C$968, 3, FALSE)</f>
        <v>2000</v>
      </c>
      <c r="H23" s="55">
        <v>7500</v>
      </c>
      <c r="I23" s="429"/>
      <c r="J23" s="250" t="s">
        <v>122</v>
      </c>
      <c r="K23" s="55">
        <v>756677</v>
      </c>
      <c r="L23" s="293"/>
      <c r="M23" s="55" t="s">
        <v>328</v>
      </c>
      <c r="N23" s="541" t="s">
        <v>1167</v>
      </c>
      <c r="O23" s="55">
        <v>21</v>
      </c>
      <c r="P23" s="24"/>
      <c r="Q23" s="6"/>
      <c r="R23" s="66">
        <f>((F23*15)-G23-I23)/2</f>
        <v>8000</v>
      </c>
      <c r="S23" s="18"/>
      <c r="T23" s="66"/>
      <c r="U23" s="66"/>
      <c r="V23" s="66"/>
      <c r="W23" s="18">
        <f t="shared" si="0"/>
        <v>0</v>
      </c>
      <c r="X23" s="118">
        <v>483.64</v>
      </c>
      <c r="Y23" s="117">
        <v>648</v>
      </c>
      <c r="Z23" s="8">
        <f t="shared" si="1"/>
        <v>3869120</v>
      </c>
      <c r="AA23" s="8">
        <f>W23*Y23</f>
        <v>0</v>
      </c>
      <c r="AB23" s="6"/>
    </row>
    <row r="24" spans="1:28" s="116" customFormat="1" x14ac:dyDescent="0.25">
      <c r="A24" s="18" t="s">
        <v>1198</v>
      </c>
      <c r="B24" s="18" t="s">
        <v>1199</v>
      </c>
      <c r="C24" s="18">
        <v>50</v>
      </c>
      <c r="D24" s="18"/>
      <c r="E24" s="18">
        <v>40</v>
      </c>
      <c r="F24" s="106">
        <v>50</v>
      </c>
      <c r="G24" s="54">
        <f>VLOOKUP(A24,'[1]yourspreadsheetname (1)'!$A$2:$C$968, 3, FALSE)</f>
        <v>100</v>
      </c>
      <c r="H24" s="66">
        <v>600</v>
      </c>
      <c r="I24" s="169"/>
      <c r="J24" s="173" t="s">
        <v>122</v>
      </c>
      <c r="K24" s="66">
        <v>756677</v>
      </c>
      <c r="L24" s="274"/>
      <c r="M24" s="66" t="s">
        <v>259</v>
      </c>
      <c r="N24" s="21" t="s">
        <v>1167</v>
      </c>
      <c r="O24" s="18">
        <v>22</v>
      </c>
      <c r="P24" s="18" t="s">
        <v>1188</v>
      </c>
      <c r="Q24" s="18"/>
      <c r="R24" s="66">
        <v>300</v>
      </c>
      <c r="S24" s="18"/>
      <c r="T24" s="66"/>
      <c r="U24" s="66">
        <v>300</v>
      </c>
      <c r="V24" s="63"/>
      <c r="W24" s="18">
        <f t="shared" si="0"/>
        <v>300</v>
      </c>
      <c r="X24" s="118">
        <v>484</v>
      </c>
      <c r="Y24" s="117">
        <v>505.99</v>
      </c>
      <c r="Z24" s="8">
        <f t="shared" si="1"/>
        <v>145200</v>
      </c>
      <c r="AA24" s="8">
        <v>151797</v>
      </c>
      <c r="AB24" s="18"/>
    </row>
    <row r="25" spans="1:28" s="116" customFormat="1" x14ac:dyDescent="0.25">
      <c r="A25" s="486" t="s">
        <v>440</v>
      </c>
      <c r="B25" s="486" t="s">
        <v>441</v>
      </c>
      <c r="C25" s="486"/>
      <c r="D25" s="55"/>
      <c r="E25" s="55">
        <v>0</v>
      </c>
      <c r="F25" s="578">
        <v>8</v>
      </c>
      <c r="G25" s="92">
        <f>VLOOKUP(A25,'[1]yourspreadsheetname (1)'!$A$2:$C$968, 3, FALSE)</f>
        <v>39</v>
      </c>
      <c r="H25" s="55">
        <v>60</v>
      </c>
      <c r="I25" s="578"/>
      <c r="J25" s="250" t="s">
        <v>122</v>
      </c>
      <c r="K25" s="55">
        <v>756677</v>
      </c>
      <c r="L25" s="579"/>
      <c r="M25" s="92" t="s">
        <v>263</v>
      </c>
      <c r="N25" s="541" t="s">
        <v>1167</v>
      </c>
      <c r="O25" s="92">
        <v>23</v>
      </c>
      <c r="P25" s="24"/>
      <c r="Q25" s="221"/>
      <c r="R25" s="66">
        <v>40</v>
      </c>
      <c r="S25" s="221"/>
      <c r="T25" s="66"/>
      <c r="U25" s="66"/>
      <c r="V25" s="66"/>
      <c r="W25" s="18">
        <f t="shared" si="0"/>
        <v>0</v>
      </c>
      <c r="X25" s="154">
        <v>15635.73</v>
      </c>
      <c r="Y25" s="119">
        <v>23073.59</v>
      </c>
      <c r="Z25" s="8">
        <f t="shared" si="1"/>
        <v>625429.19999999995</v>
      </c>
      <c r="AA25" s="8">
        <f>W25*Y25</f>
        <v>0</v>
      </c>
      <c r="AB25" s="18"/>
    </row>
    <row r="26" spans="1:28" s="116" customFormat="1" x14ac:dyDescent="0.25">
      <c r="A26" s="55" t="s">
        <v>429</v>
      </c>
      <c r="B26" s="55" t="s">
        <v>430</v>
      </c>
      <c r="C26" s="55">
        <v>50</v>
      </c>
      <c r="D26" s="55"/>
      <c r="E26" s="55">
        <v>40</v>
      </c>
      <c r="F26" s="429">
        <v>50</v>
      </c>
      <c r="G26" s="92">
        <f>VLOOKUP(A26,'[1]yourspreadsheetname (1)'!$A$2:$C$968, 3, FALSE)</f>
        <v>0</v>
      </c>
      <c r="H26" s="55">
        <v>425</v>
      </c>
      <c r="I26" s="429">
        <v>0</v>
      </c>
      <c r="J26" s="250" t="s">
        <v>122</v>
      </c>
      <c r="K26" s="55">
        <v>756677</v>
      </c>
      <c r="L26" s="293"/>
      <c r="M26" s="56" t="s">
        <v>328</v>
      </c>
      <c r="N26" s="541" t="s">
        <v>1167</v>
      </c>
      <c r="O26" s="55">
        <v>24</v>
      </c>
      <c r="P26" s="7"/>
      <c r="Q26" s="18"/>
      <c r="R26" s="66">
        <v>300</v>
      </c>
      <c r="S26" s="18"/>
      <c r="T26" s="66"/>
      <c r="U26" s="66"/>
      <c r="V26" s="63"/>
      <c r="W26" s="18">
        <f t="shared" si="0"/>
        <v>0</v>
      </c>
      <c r="X26" s="118">
        <v>3209</v>
      </c>
      <c r="Y26" s="117">
        <v>8514</v>
      </c>
      <c r="Z26" s="8">
        <f t="shared" si="1"/>
        <v>962700</v>
      </c>
      <c r="AA26" s="8">
        <f>W26*Y26</f>
        <v>0</v>
      </c>
      <c r="AB26" s="18"/>
    </row>
    <row r="27" spans="1:28" s="116" customFormat="1" x14ac:dyDescent="0.25">
      <c r="A27" s="18" t="s">
        <v>1200</v>
      </c>
      <c r="B27" s="18" t="s">
        <v>1201</v>
      </c>
      <c r="C27" s="12">
        <v>1400</v>
      </c>
      <c r="D27" s="18">
        <v>800</v>
      </c>
      <c r="E27" s="18">
        <v>700</v>
      </c>
      <c r="F27" s="169">
        <v>800</v>
      </c>
      <c r="G27" s="54">
        <f>VLOOKUP(A27,'[1]yourspreadsheetname (1)'!$A$2:$C$968, 3, FALSE)</f>
        <v>400</v>
      </c>
      <c r="H27" s="66">
        <v>5200</v>
      </c>
      <c r="I27" s="169">
        <v>1000</v>
      </c>
      <c r="J27" s="173" t="s">
        <v>122</v>
      </c>
      <c r="K27" s="66">
        <v>756677</v>
      </c>
      <c r="L27" s="274"/>
      <c r="M27" s="62" t="s">
        <v>259</v>
      </c>
      <c r="N27" s="21" t="s">
        <v>1167</v>
      </c>
      <c r="O27" s="18">
        <v>25</v>
      </c>
      <c r="P27" s="18" t="s">
        <v>1188</v>
      </c>
      <c r="Q27" s="18"/>
      <c r="R27" s="66">
        <v>5200</v>
      </c>
      <c r="S27" s="18"/>
      <c r="T27" s="66"/>
      <c r="U27" s="66">
        <v>5200</v>
      </c>
      <c r="V27" s="66"/>
      <c r="W27" s="18">
        <f t="shared" si="0"/>
        <v>5200</v>
      </c>
      <c r="X27" s="118">
        <v>448</v>
      </c>
      <c r="Y27" s="117">
        <v>569</v>
      </c>
      <c r="Z27" s="8">
        <f t="shared" si="1"/>
        <v>2329600</v>
      </c>
      <c r="AA27" s="8">
        <v>2958800</v>
      </c>
      <c r="AB27" s="18"/>
    </row>
    <row r="28" spans="1:28" s="116" customFormat="1" x14ac:dyDescent="0.25">
      <c r="A28" s="55" t="s">
        <v>442</v>
      </c>
      <c r="B28" s="55" t="s">
        <v>443</v>
      </c>
      <c r="C28" s="55">
        <v>20</v>
      </c>
      <c r="D28" s="55">
        <v>10</v>
      </c>
      <c r="E28" s="55">
        <v>20</v>
      </c>
      <c r="F28" s="431">
        <v>15</v>
      </c>
      <c r="G28" s="92">
        <f>VLOOKUP(A28,'[1]yourspreadsheetname (1)'!$A$2:$C$968, 3, FALSE)</f>
        <v>103</v>
      </c>
      <c r="H28" s="55">
        <v>150</v>
      </c>
      <c r="I28" s="429"/>
      <c r="J28" s="250" t="s">
        <v>122</v>
      </c>
      <c r="K28" s="55">
        <v>756677</v>
      </c>
      <c r="L28" s="293"/>
      <c r="M28" s="55" t="s">
        <v>263</v>
      </c>
      <c r="N28" s="541" t="s">
        <v>1167</v>
      </c>
      <c r="O28" s="55">
        <v>26</v>
      </c>
      <c r="P28" s="18"/>
      <c r="Q28" s="18"/>
      <c r="R28" s="66">
        <v>60</v>
      </c>
      <c r="S28" s="18"/>
      <c r="T28" s="63"/>
      <c r="U28" s="63"/>
      <c r="V28" s="63"/>
      <c r="W28" s="18">
        <f t="shared" si="0"/>
        <v>0</v>
      </c>
      <c r="X28" s="118">
        <v>5700</v>
      </c>
      <c r="Y28" s="117">
        <v>7361.15</v>
      </c>
      <c r="Z28" s="8">
        <f t="shared" si="1"/>
        <v>342000</v>
      </c>
      <c r="AA28" s="8">
        <f>W28*Y28</f>
        <v>0</v>
      </c>
      <c r="AB28" s="18"/>
    </row>
    <row r="29" spans="1:28" s="116" customFormat="1" x14ac:dyDescent="0.25">
      <c r="A29" s="18" t="s">
        <v>1202</v>
      </c>
      <c r="B29" s="18" t="s">
        <v>1203</v>
      </c>
      <c r="C29" s="18">
        <v>50</v>
      </c>
      <c r="D29" s="18">
        <v>0</v>
      </c>
      <c r="E29" s="18">
        <v>50</v>
      </c>
      <c r="F29" s="169">
        <v>50</v>
      </c>
      <c r="G29" s="54">
        <f>VLOOKUP(A29,'[1]yourspreadsheetname (1)'!$A$2:$C$968, 3, FALSE)</f>
        <v>200</v>
      </c>
      <c r="H29" s="66">
        <v>500</v>
      </c>
      <c r="I29" s="169">
        <v>40</v>
      </c>
      <c r="J29" s="173" t="s">
        <v>122</v>
      </c>
      <c r="K29" s="66">
        <v>756677</v>
      </c>
      <c r="L29" s="274"/>
      <c r="M29" s="66" t="s">
        <v>263</v>
      </c>
      <c r="N29" s="21" t="s">
        <v>1167</v>
      </c>
      <c r="O29" s="18">
        <v>27</v>
      </c>
      <c r="P29" s="18" t="s">
        <v>1190</v>
      </c>
      <c r="Q29" s="18"/>
      <c r="R29" s="66">
        <v>250</v>
      </c>
      <c r="S29" s="18"/>
      <c r="T29" s="66"/>
      <c r="U29" s="66">
        <v>250</v>
      </c>
      <c r="V29" s="66"/>
      <c r="W29" s="18">
        <f t="shared" si="0"/>
        <v>250</v>
      </c>
      <c r="X29" s="118">
        <v>4767.5</v>
      </c>
      <c r="Y29" s="117">
        <v>4523.33</v>
      </c>
      <c r="Z29" s="8">
        <f t="shared" si="1"/>
        <v>1191875</v>
      </c>
      <c r="AA29" s="8">
        <v>1130832.5</v>
      </c>
      <c r="AB29" s="18"/>
    </row>
    <row r="30" spans="1:28" s="132" customFormat="1" x14ac:dyDescent="0.25">
      <c r="A30" s="18" t="s">
        <v>1204</v>
      </c>
      <c r="B30" s="12" t="s">
        <v>1205</v>
      </c>
      <c r="C30" s="12">
        <v>300</v>
      </c>
      <c r="D30" s="18">
        <v>200</v>
      </c>
      <c r="E30" s="18">
        <v>300</v>
      </c>
      <c r="F30" s="333">
        <v>200</v>
      </c>
      <c r="G30" s="54">
        <f>VLOOKUP(A30,'[1]yourspreadsheetname (1)'!$A$2:$C$968, 3, FALSE)</f>
        <v>1350</v>
      </c>
      <c r="H30" s="66">
        <v>1950</v>
      </c>
      <c r="I30" s="66">
        <v>0</v>
      </c>
      <c r="J30" s="173" t="s">
        <v>122</v>
      </c>
      <c r="K30" s="66">
        <v>756677</v>
      </c>
      <c r="L30" s="66"/>
      <c r="M30" s="66" t="s">
        <v>328</v>
      </c>
      <c r="N30" s="21" t="s">
        <v>1167</v>
      </c>
      <c r="O30" s="18">
        <v>28</v>
      </c>
      <c r="P30" s="18" t="s">
        <v>1196</v>
      </c>
      <c r="Q30" s="18"/>
      <c r="R30" s="66">
        <v>1000</v>
      </c>
      <c r="S30" s="18"/>
      <c r="T30" s="66"/>
      <c r="U30" s="66">
        <v>1000</v>
      </c>
      <c r="V30" s="66"/>
      <c r="W30" s="18">
        <f t="shared" si="0"/>
        <v>1000</v>
      </c>
      <c r="X30" s="268">
        <v>5500</v>
      </c>
      <c r="Y30" s="269">
        <v>4485.3100000000004</v>
      </c>
      <c r="Z30" s="8">
        <f t="shared" si="1"/>
        <v>5500000</v>
      </c>
      <c r="AA30" s="8">
        <v>4485310</v>
      </c>
      <c r="AB30" s="18"/>
    </row>
    <row r="31" spans="1:28" s="116" customFormat="1" x14ac:dyDescent="0.25">
      <c r="A31" s="55" t="s">
        <v>551</v>
      </c>
      <c r="B31" s="55" t="s">
        <v>552</v>
      </c>
      <c r="C31" s="55"/>
      <c r="D31" s="55"/>
      <c r="E31" s="55">
        <v>1</v>
      </c>
      <c r="F31" s="521">
        <v>1</v>
      </c>
      <c r="G31" s="92">
        <f>VLOOKUP(A31,'[1]yourspreadsheetname (1)'!$A$2:$C$968, 3, FALSE)</f>
        <v>0</v>
      </c>
      <c r="H31" s="55">
        <v>6</v>
      </c>
      <c r="I31" s="429"/>
      <c r="J31" s="250" t="s">
        <v>122</v>
      </c>
      <c r="K31" s="55">
        <v>756677</v>
      </c>
      <c r="L31" s="293"/>
      <c r="M31" s="55" t="s">
        <v>688</v>
      </c>
      <c r="N31" s="541" t="s">
        <v>1167</v>
      </c>
      <c r="O31" s="55">
        <v>29</v>
      </c>
      <c r="P31" s="6"/>
      <c r="Q31" s="18"/>
      <c r="R31" s="66">
        <v>4</v>
      </c>
      <c r="S31" s="18"/>
      <c r="T31" s="63"/>
      <c r="U31" s="63"/>
      <c r="V31" s="63"/>
      <c r="W31" s="18">
        <f t="shared" si="0"/>
        <v>0</v>
      </c>
      <c r="X31" s="118">
        <v>159000</v>
      </c>
      <c r="Y31" s="117">
        <v>235000</v>
      </c>
      <c r="Z31" s="8">
        <f t="shared" si="1"/>
        <v>636000</v>
      </c>
      <c r="AA31" s="8">
        <f>W31*Y31</f>
        <v>0</v>
      </c>
      <c r="AB31" s="18"/>
    </row>
    <row r="32" spans="1:28" s="116" customFormat="1" x14ac:dyDescent="0.25">
      <c r="A32" s="18" t="s">
        <v>1206</v>
      </c>
      <c r="B32" s="18" t="s">
        <v>1207</v>
      </c>
      <c r="C32" s="18"/>
      <c r="D32" s="18"/>
      <c r="E32" s="18">
        <v>4</v>
      </c>
      <c r="F32" s="352">
        <v>4</v>
      </c>
      <c r="G32" s="54">
        <f>VLOOKUP(A32,'[1]yourspreadsheetname (1)'!$A$2:$C$968, 3, FALSE)</f>
        <v>0</v>
      </c>
      <c r="H32" s="66">
        <v>24</v>
      </c>
      <c r="I32" s="169"/>
      <c r="J32" s="173" t="s">
        <v>122</v>
      </c>
      <c r="K32" s="66">
        <v>756677</v>
      </c>
      <c r="L32" s="274"/>
      <c r="M32" s="66" t="s">
        <v>688</v>
      </c>
      <c r="N32" s="21" t="s">
        <v>1167</v>
      </c>
      <c r="O32" s="18">
        <v>30</v>
      </c>
      <c r="P32" s="6" t="s">
        <v>1186</v>
      </c>
      <c r="Q32" s="18"/>
      <c r="R32" s="66">
        <f>((F32*15)-G32-I32)/2</f>
        <v>30</v>
      </c>
      <c r="S32" s="18"/>
      <c r="T32" s="63"/>
      <c r="U32" s="63">
        <v>30</v>
      </c>
      <c r="V32" s="63"/>
      <c r="W32" s="18">
        <f t="shared" si="0"/>
        <v>30</v>
      </c>
      <c r="X32" s="118">
        <v>244000</v>
      </c>
      <c r="Y32" s="117">
        <v>380000</v>
      </c>
      <c r="Z32" s="8">
        <f t="shared" si="1"/>
        <v>7320000</v>
      </c>
      <c r="AA32" s="8">
        <v>11400000</v>
      </c>
      <c r="AB32" s="18"/>
    </row>
    <row r="33" spans="1:28" s="132" customFormat="1" ht="26.25" customHeight="1" x14ac:dyDescent="0.25">
      <c r="A33" s="110" t="s">
        <v>1208</v>
      </c>
      <c r="B33" s="12" t="s">
        <v>1209</v>
      </c>
      <c r="C33" s="18">
        <v>0.5</v>
      </c>
      <c r="D33" s="18"/>
      <c r="E33" s="18">
        <v>0.5</v>
      </c>
      <c r="F33" s="120">
        <v>0.5</v>
      </c>
      <c r="G33" s="54">
        <f>VLOOKUP(A33,'[1]yourspreadsheetname (1)'!$A$2:$C$968, 3, FALSE)</f>
        <v>2</v>
      </c>
      <c r="H33" s="66">
        <v>2</v>
      </c>
      <c r="I33" s="169"/>
      <c r="J33" s="173" t="s">
        <v>122</v>
      </c>
      <c r="K33" s="66">
        <v>756677</v>
      </c>
      <c r="L33" s="449"/>
      <c r="M33" s="212" t="s">
        <v>259</v>
      </c>
      <c r="N33" s="21" t="s">
        <v>1167</v>
      </c>
      <c r="O33" s="18">
        <v>31</v>
      </c>
      <c r="P33" s="24" t="s">
        <v>1188</v>
      </c>
      <c r="Q33" s="18"/>
      <c r="R33" s="66">
        <v>2</v>
      </c>
      <c r="S33" s="18"/>
      <c r="T33" s="66"/>
      <c r="U33" s="66">
        <v>2</v>
      </c>
      <c r="V33" s="63"/>
      <c r="W33" s="18">
        <f t="shared" si="0"/>
        <v>2</v>
      </c>
      <c r="X33" s="118">
        <v>2008068.3</v>
      </c>
      <c r="Y33" s="118">
        <v>2798650</v>
      </c>
      <c r="Z33" s="8">
        <f t="shared" si="1"/>
        <v>4016136.6</v>
      </c>
      <c r="AA33" s="8">
        <v>5597300</v>
      </c>
      <c r="AB33" s="31"/>
    </row>
    <row r="34" spans="1:28" s="116" customFormat="1" x14ac:dyDescent="0.25">
      <c r="A34" s="55" t="s">
        <v>431</v>
      </c>
      <c r="B34" s="55" t="s">
        <v>432</v>
      </c>
      <c r="C34" s="55">
        <v>7</v>
      </c>
      <c r="D34" s="55">
        <v>6</v>
      </c>
      <c r="E34" s="55">
        <v>7</v>
      </c>
      <c r="F34" s="580">
        <v>7</v>
      </c>
      <c r="G34" s="92">
        <f>VLOOKUP(A34,'[1]yourspreadsheetname (1)'!$A$2:$C$968, 3, FALSE)</f>
        <v>44</v>
      </c>
      <c r="H34" s="55">
        <v>105</v>
      </c>
      <c r="I34" s="512">
        <v>0</v>
      </c>
      <c r="J34" s="250" t="s">
        <v>122</v>
      </c>
      <c r="K34" s="55">
        <v>756677</v>
      </c>
      <c r="L34" s="514"/>
      <c r="M34" s="510" t="s">
        <v>293</v>
      </c>
      <c r="N34" s="541" t="s">
        <v>1167</v>
      </c>
      <c r="O34" s="55">
        <v>32</v>
      </c>
      <c r="P34" s="18"/>
      <c r="Q34" s="20"/>
      <c r="R34" s="66">
        <v>30</v>
      </c>
      <c r="S34" s="20"/>
      <c r="T34" s="66"/>
      <c r="U34" s="66"/>
      <c r="V34" s="66"/>
      <c r="W34" s="18">
        <f t="shared" si="0"/>
        <v>0</v>
      </c>
      <c r="X34" s="322">
        <v>1787722</v>
      </c>
      <c r="Y34" s="191">
        <v>2285560</v>
      </c>
      <c r="Z34" s="8">
        <f t="shared" si="1"/>
        <v>53631660</v>
      </c>
      <c r="AA34" s="8">
        <f>W34*Y34</f>
        <v>0</v>
      </c>
      <c r="AB34" s="20"/>
    </row>
    <row r="35" spans="1:28" s="116" customFormat="1" x14ac:dyDescent="0.25">
      <c r="A35" s="55" t="s">
        <v>166</v>
      </c>
      <c r="B35" s="55" t="s">
        <v>167</v>
      </c>
      <c r="C35" s="421" t="s">
        <v>783</v>
      </c>
      <c r="D35" s="55">
        <v>50</v>
      </c>
      <c r="E35" s="55">
        <v>30</v>
      </c>
      <c r="F35" s="55">
        <v>100</v>
      </c>
      <c r="G35" s="92">
        <f>VLOOKUP(A35,'[1]yourspreadsheetname (1)'!$A$2:$C$968, 3, FALSE)</f>
        <v>0</v>
      </c>
      <c r="H35" s="55">
        <v>500</v>
      </c>
      <c r="I35" s="55"/>
      <c r="J35" s="250" t="s">
        <v>122</v>
      </c>
      <c r="K35" s="55">
        <v>756677</v>
      </c>
      <c r="L35" s="55"/>
      <c r="M35" s="510" t="s">
        <v>272</v>
      </c>
      <c r="N35" s="541" t="s">
        <v>1167</v>
      </c>
      <c r="O35" s="55">
        <v>33</v>
      </c>
      <c r="P35" s="18"/>
      <c r="Q35" s="18"/>
      <c r="R35" s="66">
        <v>3</v>
      </c>
      <c r="S35" s="18"/>
      <c r="T35" s="66"/>
      <c r="U35" s="66"/>
      <c r="V35" s="66"/>
      <c r="W35" s="18">
        <f t="shared" ref="W35:W66" si="2">U35+V35</f>
        <v>0</v>
      </c>
      <c r="X35" s="118">
        <v>598</v>
      </c>
      <c r="Y35" s="117">
        <v>1225.01</v>
      </c>
      <c r="Z35" s="8">
        <f t="shared" ref="Z35:Z66" si="3">R35*X35</f>
        <v>1794</v>
      </c>
      <c r="AA35" s="8">
        <f>W35*Y35</f>
        <v>0</v>
      </c>
      <c r="AB35" s="18"/>
    </row>
    <row r="36" spans="1:28" s="116" customFormat="1" x14ac:dyDescent="0.25">
      <c r="A36" s="55" t="s">
        <v>433</v>
      </c>
      <c r="B36" s="55" t="s">
        <v>434</v>
      </c>
      <c r="C36" s="55">
        <v>20</v>
      </c>
      <c r="D36" s="55"/>
      <c r="E36" s="55">
        <v>30</v>
      </c>
      <c r="F36" s="55">
        <v>50</v>
      </c>
      <c r="G36" s="92">
        <f>VLOOKUP(A36,'[1]yourspreadsheetname (1)'!$A$2:$C$968, 3, FALSE)</f>
        <v>0</v>
      </c>
      <c r="H36" s="55">
        <v>320</v>
      </c>
      <c r="I36" s="55">
        <v>0</v>
      </c>
      <c r="J36" s="250" t="s">
        <v>122</v>
      </c>
      <c r="K36" s="55">
        <v>756677</v>
      </c>
      <c r="L36" s="55"/>
      <c r="M36" s="55" t="s">
        <v>259</v>
      </c>
      <c r="N36" s="541" t="s">
        <v>1167</v>
      </c>
      <c r="O36" s="55">
        <v>34</v>
      </c>
      <c r="P36" s="18"/>
      <c r="Q36" s="18"/>
      <c r="R36" s="66">
        <v>400</v>
      </c>
      <c r="S36" s="18"/>
      <c r="T36" s="66"/>
      <c r="U36" s="66"/>
      <c r="V36" s="66"/>
      <c r="W36" s="18">
        <f t="shared" si="2"/>
        <v>0</v>
      </c>
      <c r="X36" s="118">
        <v>1399</v>
      </c>
      <c r="Y36" s="117">
        <v>2160</v>
      </c>
      <c r="Z36" s="8">
        <f t="shared" si="3"/>
        <v>559600</v>
      </c>
      <c r="AA36" s="8">
        <f>W36*Y36</f>
        <v>0</v>
      </c>
      <c r="AB36" s="18"/>
    </row>
    <row r="37" spans="1:28" s="132" customFormat="1" x14ac:dyDescent="0.25">
      <c r="A37" s="18" t="s">
        <v>1210</v>
      </c>
      <c r="B37" s="18" t="s">
        <v>1211</v>
      </c>
      <c r="C37" s="18">
        <v>633</v>
      </c>
      <c r="D37" s="18">
        <v>800</v>
      </c>
      <c r="E37" s="18">
        <v>1000</v>
      </c>
      <c r="F37" s="173">
        <v>1000</v>
      </c>
      <c r="G37" s="54">
        <f>VLOOKUP(A37,'[1]yourspreadsheetname (1)'!$A$2:$C$968, 3, FALSE)</f>
        <v>1500</v>
      </c>
      <c r="H37" s="66">
        <v>8500</v>
      </c>
      <c r="I37" s="66">
        <v>500</v>
      </c>
      <c r="J37" s="173" t="s">
        <v>122</v>
      </c>
      <c r="K37" s="66">
        <v>756677</v>
      </c>
      <c r="L37" s="66"/>
      <c r="M37" s="66" t="s">
        <v>1170</v>
      </c>
      <c r="N37" s="21" t="s">
        <v>1167</v>
      </c>
      <c r="O37" s="18">
        <v>35</v>
      </c>
      <c r="P37" s="18" t="s">
        <v>1171</v>
      </c>
      <c r="Q37" s="18"/>
      <c r="R37" s="66">
        <f>((F37*15)-G37-I37)/2</f>
        <v>6500</v>
      </c>
      <c r="S37" s="18"/>
      <c r="T37" s="66"/>
      <c r="U37" s="66">
        <v>6500</v>
      </c>
      <c r="V37" s="66"/>
      <c r="W37" s="18">
        <f t="shared" si="2"/>
        <v>6500</v>
      </c>
      <c r="X37" s="118">
        <v>518</v>
      </c>
      <c r="Y37" s="117">
        <v>560</v>
      </c>
      <c r="Z37" s="8">
        <f t="shared" si="3"/>
        <v>3367000</v>
      </c>
      <c r="AA37" s="8">
        <v>3640000</v>
      </c>
      <c r="AB37" s="18"/>
    </row>
    <row r="38" spans="1:28" s="116" customFormat="1" x14ac:dyDescent="0.25">
      <c r="A38" s="18" t="s">
        <v>142</v>
      </c>
      <c r="B38" s="18" t="s">
        <v>1212</v>
      </c>
      <c r="C38" s="18"/>
      <c r="D38" s="18"/>
      <c r="E38" s="18">
        <v>30</v>
      </c>
      <c r="F38" s="173">
        <v>50</v>
      </c>
      <c r="G38" s="54">
        <f>VLOOKUP(A38,'[1]yourspreadsheetname (1)'!$A$2:$C$968, 3, FALSE)</f>
        <v>0</v>
      </c>
      <c r="H38" s="66">
        <v>300</v>
      </c>
      <c r="I38" s="66">
        <v>0</v>
      </c>
      <c r="J38" s="173" t="s">
        <v>122</v>
      </c>
      <c r="K38" s="66">
        <v>756677</v>
      </c>
      <c r="L38" s="66"/>
      <c r="M38" s="66" t="s">
        <v>263</v>
      </c>
      <c r="N38" s="21" t="s">
        <v>1167</v>
      </c>
      <c r="O38" s="18">
        <v>36</v>
      </c>
      <c r="P38" s="18" t="s">
        <v>1190</v>
      </c>
      <c r="Q38" s="18"/>
      <c r="R38" s="66">
        <v>230</v>
      </c>
      <c r="S38" s="18"/>
      <c r="T38" s="66"/>
      <c r="U38" s="66">
        <v>230</v>
      </c>
      <c r="V38" s="66"/>
      <c r="W38" s="18">
        <f t="shared" si="2"/>
        <v>230</v>
      </c>
      <c r="X38" s="118">
        <v>12000</v>
      </c>
      <c r="Y38" s="117">
        <v>10692.31</v>
      </c>
      <c r="Z38" s="8">
        <f t="shared" si="3"/>
        <v>2760000</v>
      </c>
      <c r="AA38" s="8">
        <v>2459231.2999999998</v>
      </c>
      <c r="AB38" s="18"/>
    </row>
    <row r="39" spans="1:28" s="132" customFormat="1" x14ac:dyDescent="0.25">
      <c r="A39" s="55" t="s">
        <v>1213</v>
      </c>
      <c r="B39" s="55" t="s">
        <v>1214</v>
      </c>
      <c r="C39" s="55"/>
      <c r="D39" s="55"/>
      <c r="E39" s="55">
        <v>6</v>
      </c>
      <c r="F39" s="55">
        <v>8</v>
      </c>
      <c r="G39" s="92">
        <f>VLOOKUP(A39,'[1]yourspreadsheetname (1)'!$A$2:$C$968, 3, FALSE)</f>
        <v>50</v>
      </c>
      <c r="H39" s="55">
        <v>36</v>
      </c>
      <c r="I39" s="55"/>
      <c r="J39" s="250" t="s">
        <v>122</v>
      </c>
      <c r="K39" s="55">
        <v>756677</v>
      </c>
      <c r="L39" s="55"/>
      <c r="M39" s="55" t="s">
        <v>272</v>
      </c>
      <c r="N39" s="21" t="s">
        <v>1167</v>
      </c>
      <c r="O39" s="18">
        <v>37</v>
      </c>
      <c r="P39" s="24"/>
      <c r="Q39" s="18"/>
      <c r="R39" s="66">
        <v>40</v>
      </c>
      <c r="S39" s="18"/>
      <c r="T39" s="63"/>
      <c r="U39" s="63"/>
      <c r="V39" s="63"/>
      <c r="W39" s="18">
        <f t="shared" si="2"/>
        <v>0</v>
      </c>
      <c r="X39" s="118">
        <v>17249.5</v>
      </c>
      <c r="Y39" s="117">
        <v>27123.279999999999</v>
      </c>
      <c r="Z39" s="8">
        <f t="shared" si="3"/>
        <v>689980</v>
      </c>
      <c r="AA39" s="8">
        <f>W39*Y39</f>
        <v>0</v>
      </c>
      <c r="AB39" s="18"/>
    </row>
    <row r="40" spans="1:28" s="116" customFormat="1" x14ac:dyDescent="0.25">
      <c r="A40" s="469" t="s">
        <v>1215</v>
      </c>
      <c r="B40" s="18" t="s">
        <v>1216</v>
      </c>
      <c r="C40" s="18">
        <v>2400</v>
      </c>
      <c r="D40" s="18">
        <v>2500</v>
      </c>
      <c r="E40" s="18">
        <v>2200</v>
      </c>
      <c r="F40" s="18">
        <v>3000</v>
      </c>
      <c r="G40" s="54">
        <f>VLOOKUP(A40,'[1]yourspreadsheetname (1)'!$A$2:$C$968, 3, FALSE)</f>
        <v>1800</v>
      </c>
      <c r="H40" s="66">
        <v>18000</v>
      </c>
      <c r="I40" s="66"/>
      <c r="J40" s="173" t="s">
        <v>122</v>
      </c>
      <c r="K40" s="66">
        <v>756677</v>
      </c>
      <c r="L40" s="66"/>
      <c r="M40" s="66" t="s">
        <v>263</v>
      </c>
      <c r="N40" s="21" t="s">
        <v>1167</v>
      </c>
      <c r="O40" s="18">
        <v>38</v>
      </c>
      <c r="P40" s="24" t="s">
        <v>1190</v>
      </c>
      <c r="Q40" s="18"/>
      <c r="R40" s="66">
        <v>22000</v>
      </c>
      <c r="S40" s="18"/>
      <c r="T40" s="66"/>
      <c r="U40" s="66">
        <v>22000</v>
      </c>
      <c r="V40" s="66"/>
      <c r="W40" s="18">
        <f t="shared" si="2"/>
        <v>22000</v>
      </c>
      <c r="X40" s="118">
        <v>374</v>
      </c>
      <c r="Y40" s="117">
        <v>449.28</v>
      </c>
      <c r="Z40" s="8">
        <f t="shared" si="3"/>
        <v>8228000</v>
      </c>
      <c r="AA40" s="8">
        <v>9884160</v>
      </c>
      <c r="AB40" s="18"/>
    </row>
    <row r="41" spans="1:28" s="116" customFormat="1" x14ac:dyDescent="0.25">
      <c r="A41" s="55" t="s">
        <v>444</v>
      </c>
      <c r="B41" s="55" t="s">
        <v>445</v>
      </c>
      <c r="C41" s="55">
        <v>5</v>
      </c>
      <c r="D41" s="55"/>
      <c r="E41" s="55">
        <v>1</v>
      </c>
      <c r="F41" s="92">
        <v>1</v>
      </c>
      <c r="G41" s="92" t="e">
        <f>VLOOKUP(A41,'[1]yourspreadsheetname (1)'!$A$2:$C$968, 3, FALSE)</f>
        <v>#N/A</v>
      </c>
      <c r="H41" s="55">
        <v>5</v>
      </c>
      <c r="I41" s="55"/>
      <c r="J41" s="250" t="s">
        <v>122</v>
      </c>
      <c r="K41" s="55">
        <v>756677</v>
      </c>
      <c r="L41" s="55"/>
      <c r="M41" s="55" t="s">
        <v>263</v>
      </c>
      <c r="N41" s="541" t="s">
        <v>1167</v>
      </c>
      <c r="O41" s="55">
        <v>39</v>
      </c>
      <c r="P41" s="135"/>
      <c r="Q41" s="18"/>
      <c r="R41" s="66">
        <v>6</v>
      </c>
      <c r="S41" s="19"/>
      <c r="T41" s="63"/>
      <c r="U41" s="63"/>
      <c r="V41" s="63"/>
      <c r="W41" s="18">
        <f t="shared" si="2"/>
        <v>0</v>
      </c>
      <c r="X41" s="118">
        <v>123798</v>
      </c>
      <c r="Y41" s="117">
        <v>169483.7</v>
      </c>
      <c r="Z41" s="8">
        <f t="shared" si="3"/>
        <v>742788</v>
      </c>
      <c r="AA41" s="8">
        <f t="shared" ref="AA41:AA72" si="4">W41*Y41</f>
        <v>0</v>
      </c>
      <c r="AB41" s="18"/>
    </row>
    <row r="42" spans="1:28" s="116" customFormat="1" x14ac:dyDescent="0.25">
      <c r="A42" s="55" t="s">
        <v>349</v>
      </c>
      <c r="B42" s="55" t="s">
        <v>350</v>
      </c>
      <c r="C42" s="55"/>
      <c r="D42" s="55"/>
      <c r="E42" s="55">
        <v>2</v>
      </c>
      <c r="F42" s="92">
        <v>1</v>
      </c>
      <c r="G42" s="92">
        <f>VLOOKUP(A42,'[1]yourspreadsheetname (1)'!$A$2:$C$968, 3, FALSE)</f>
        <v>5</v>
      </c>
      <c r="H42" s="55">
        <v>10</v>
      </c>
      <c r="I42" s="55"/>
      <c r="J42" s="250" t="s">
        <v>122</v>
      </c>
      <c r="K42" s="55">
        <v>756677</v>
      </c>
      <c r="L42" s="55"/>
      <c r="M42" s="55" t="s">
        <v>285</v>
      </c>
      <c r="N42" s="21" t="s">
        <v>1167</v>
      </c>
      <c r="O42" s="18">
        <v>40</v>
      </c>
      <c r="P42" s="6"/>
      <c r="Q42" s="18"/>
      <c r="R42" s="66">
        <f>((F42*15)-G42-I42)/2</f>
        <v>5</v>
      </c>
      <c r="S42" s="19"/>
      <c r="T42" s="66"/>
      <c r="U42" s="66"/>
      <c r="V42" s="66"/>
      <c r="W42" s="18">
        <f t="shared" si="2"/>
        <v>0</v>
      </c>
      <c r="X42" s="118">
        <v>144924</v>
      </c>
      <c r="Y42" s="117">
        <v>212900</v>
      </c>
      <c r="Z42" s="8">
        <f t="shared" si="3"/>
        <v>724620</v>
      </c>
      <c r="AA42" s="8">
        <f t="shared" si="4"/>
        <v>0</v>
      </c>
      <c r="AB42" s="18"/>
    </row>
    <row r="43" spans="1:28" s="116" customFormat="1" x14ac:dyDescent="0.25">
      <c r="A43" s="430" t="s">
        <v>543</v>
      </c>
      <c r="B43" s="542" t="s">
        <v>544</v>
      </c>
      <c r="C43" s="251"/>
      <c r="D43" s="92">
        <v>2</v>
      </c>
      <c r="E43" s="306">
        <v>2</v>
      </c>
      <c r="F43" s="430">
        <v>2</v>
      </c>
      <c r="G43" s="92">
        <f>VLOOKUP(A43,'[1]yourspreadsheetname (1)'!$A$2:$C$968, 3, FALSE)</f>
        <v>0</v>
      </c>
      <c r="H43" s="55">
        <v>10</v>
      </c>
      <c r="I43" s="55"/>
      <c r="J43" s="250" t="s">
        <v>122</v>
      </c>
      <c r="K43" s="55">
        <v>756677</v>
      </c>
      <c r="L43" s="55"/>
      <c r="M43" s="243" t="s">
        <v>285</v>
      </c>
      <c r="N43" s="21" t="s">
        <v>1167</v>
      </c>
      <c r="O43" s="18">
        <v>41</v>
      </c>
      <c r="P43" s="6"/>
      <c r="Q43" s="6"/>
      <c r="R43" s="66">
        <v>10</v>
      </c>
      <c r="S43" s="18"/>
      <c r="T43" s="54"/>
      <c r="U43" s="54"/>
      <c r="V43" s="54"/>
      <c r="W43" s="18">
        <f t="shared" si="2"/>
        <v>0</v>
      </c>
      <c r="X43" s="118">
        <v>284500</v>
      </c>
      <c r="Y43" s="117">
        <v>328559</v>
      </c>
      <c r="Z43" s="8">
        <f t="shared" si="3"/>
        <v>2845000</v>
      </c>
      <c r="AA43" s="8">
        <f t="shared" si="4"/>
        <v>0</v>
      </c>
      <c r="AB43" s="6"/>
    </row>
    <row r="44" spans="1:28" s="116" customFormat="1" x14ac:dyDescent="0.25">
      <c r="A44" s="55" t="s">
        <v>523</v>
      </c>
      <c r="B44" s="92" t="s">
        <v>524</v>
      </c>
      <c r="C44" s="55">
        <v>1</v>
      </c>
      <c r="D44" s="55"/>
      <c r="E44" s="55">
        <v>1</v>
      </c>
      <c r="F44" s="517">
        <v>1</v>
      </c>
      <c r="G44" s="92">
        <v>0</v>
      </c>
      <c r="H44" s="55">
        <v>5</v>
      </c>
      <c r="I44" s="518"/>
      <c r="J44" s="250" t="s">
        <v>122</v>
      </c>
      <c r="K44" s="60">
        <v>756678</v>
      </c>
      <c r="L44" s="519"/>
      <c r="M44" s="520" t="s">
        <v>285</v>
      </c>
      <c r="N44" s="135" t="s">
        <v>1217</v>
      </c>
      <c r="O44" s="29">
        <v>1</v>
      </c>
      <c r="P44" s="675"/>
      <c r="Q44" s="675"/>
      <c r="R44" s="66">
        <v>5</v>
      </c>
      <c r="S44" s="516"/>
      <c r="T44" s="66"/>
      <c r="U44" s="66"/>
      <c r="V44" s="63"/>
      <c r="W44" s="18">
        <f t="shared" si="2"/>
        <v>0</v>
      </c>
      <c r="X44" s="475"/>
      <c r="Y44" s="476"/>
      <c r="Z44" s="8">
        <f t="shared" si="3"/>
        <v>0</v>
      </c>
      <c r="AA44" s="8">
        <f t="shared" si="4"/>
        <v>0</v>
      </c>
      <c r="AB44" s="7"/>
    </row>
    <row r="45" spans="1:28" s="116" customFormat="1" x14ac:dyDescent="0.25">
      <c r="A45" s="135" t="s">
        <v>1218</v>
      </c>
      <c r="B45" s="135" t="s">
        <v>1219</v>
      </c>
      <c r="C45" s="18">
        <v>50</v>
      </c>
      <c r="D45" s="18">
        <v>400</v>
      </c>
      <c r="E45" s="18">
        <v>900</v>
      </c>
      <c r="F45" s="210">
        <v>900</v>
      </c>
      <c r="G45" s="54">
        <f>VLOOKUP(A45,'[1]yourspreadsheetname (1)'!$A$2:$C$968, 3, FALSE)</f>
        <v>4090</v>
      </c>
      <c r="H45" s="66">
        <v>7900</v>
      </c>
      <c r="I45" s="169">
        <v>500</v>
      </c>
      <c r="J45" s="173" t="s">
        <v>122</v>
      </c>
      <c r="K45" s="96">
        <v>756678</v>
      </c>
      <c r="L45" s="274"/>
      <c r="M45" s="66" t="s">
        <v>263</v>
      </c>
      <c r="N45" s="135" t="s">
        <v>1217</v>
      </c>
      <c r="O45" s="18">
        <v>2</v>
      </c>
      <c r="P45" s="21" t="s">
        <v>1220</v>
      </c>
      <c r="Q45" s="18"/>
      <c r="R45" s="66">
        <v>4400</v>
      </c>
      <c r="S45" s="19"/>
      <c r="T45" s="66"/>
      <c r="U45" s="66">
        <v>4400</v>
      </c>
      <c r="V45" s="66"/>
      <c r="W45" s="18">
        <f t="shared" si="2"/>
        <v>4400</v>
      </c>
      <c r="X45" s="118">
        <v>1666</v>
      </c>
      <c r="Y45" s="117">
        <v>1449</v>
      </c>
      <c r="Z45" s="8">
        <f t="shared" si="3"/>
        <v>7330400</v>
      </c>
      <c r="AA45" s="8">
        <f t="shared" si="4"/>
        <v>6375600</v>
      </c>
      <c r="AB45" s="18"/>
    </row>
    <row r="46" spans="1:28" s="116" customFormat="1" x14ac:dyDescent="0.25">
      <c r="A46" s="18" t="s">
        <v>1221</v>
      </c>
      <c r="B46" s="18" t="s">
        <v>1222</v>
      </c>
      <c r="C46" s="18">
        <v>700</v>
      </c>
      <c r="D46" s="18">
        <v>330</v>
      </c>
      <c r="E46" s="18">
        <v>200</v>
      </c>
      <c r="F46" s="173">
        <v>250</v>
      </c>
      <c r="G46" s="54">
        <f>VLOOKUP(A46,'[1]yourspreadsheetname (1)'!$A$2:$C$968, 3, FALSE)</f>
        <v>720</v>
      </c>
      <c r="H46" s="66">
        <v>1620</v>
      </c>
      <c r="I46" s="66"/>
      <c r="J46" s="173" t="s">
        <v>122</v>
      </c>
      <c r="K46" s="96">
        <v>756678</v>
      </c>
      <c r="L46" s="66"/>
      <c r="M46" s="66" t="s">
        <v>263</v>
      </c>
      <c r="N46" s="135" t="s">
        <v>1217</v>
      </c>
      <c r="O46" s="18">
        <v>3</v>
      </c>
      <c r="P46" s="18" t="s">
        <v>1220</v>
      </c>
      <c r="Q46" s="18"/>
      <c r="R46" s="66">
        <v>1500</v>
      </c>
      <c r="S46" s="18"/>
      <c r="T46" s="66"/>
      <c r="U46" s="66">
        <v>1500</v>
      </c>
      <c r="V46" s="66"/>
      <c r="W46" s="18">
        <f t="shared" si="2"/>
        <v>1500</v>
      </c>
      <c r="X46" s="118">
        <v>3280</v>
      </c>
      <c r="Y46" s="117">
        <v>2785.71</v>
      </c>
      <c r="Z46" s="8">
        <f t="shared" si="3"/>
        <v>4920000</v>
      </c>
      <c r="AA46" s="8">
        <f t="shared" si="4"/>
        <v>4178565</v>
      </c>
      <c r="AB46" s="18"/>
    </row>
    <row r="47" spans="1:28" s="116" customFormat="1" x14ac:dyDescent="0.25">
      <c r="A47" s="18" t="s">
        <v>138</v>
      </c>
      <c r="B47" s="33" t="s">
        <v>1223</v>
      </c>
      <c r="C47" s="18">
        <v>90</v>
      </c>
      <c r="D47" s="18">
        <v>150</v>
      </c>
      <c r="E47" s="18">
        <v>200</v>
      </c>
      <c r="F47" s="333">
        <v>220</v>
      </c>
      <c r="G47" s="54">
        <f>VLOOKUP(A47,'[1]yourspreadsheetname (1)'!$A$2:$C$968, 3, FALSE)</f>
        <v>120</v>
      </c>
      <c r="H47" s="66">
        <v>1620</v>
      </c>
      <c r="I47" s="169"/>
      <c r="J47" s="173" t="s">
        <v>122</v>
      </c>
      <c r="K47" s="96">
        <v>756678</v>
      </c>
      <c r="L47" s="274"/>
      <c r="M47" s="66" t="s">
        <v>263</v>
      </c>
      <c r="N47" s="135" t="s">
        <v>1217</v>
      </c>
      <c r="O47" s="18">
        <v>4</v>
      </c>
      <c r="P47" s="18" t="s">
        <v>1220</v>
      </c>
      <c r="Q47" s="18" t="s">
        <v>1981</v>
      </c>
      <c r="R47" s="66">
        <v>1600</v>
      </c>
      <c r="S47" s="18"/>
      <c r="T47" s="66"/>
      <c r="U47" s="66">
        <v>1600</v>
      </c>
      <c r="V47" s="66">
        <v>320</v>
      </c>
      <c r="W47" s="18">
        <f t="shared" si="2"/>
        <v>1920</v>
      </c>
      <c r="X47" s="118">
        <v>4985</v>
      </c>
      <c r="Y47" s="117">
        <v>5074.62</v>
      </c>
      <c r="Z47" s="8">
        <f t="shared" si="3"/>
        <v>7976000</v>
      </c>
      <c r="AA47" s="8">
        <f t="shared" si="4"/>
        <v>9743270.4000000004</v>
      </c>
      <c r="AB47" s="18"/>
    </row>
    <row r="48" spans="1:28" s="116" customFormat="1" x14ac:dyDescent="0.25">
      <c r="A48" s="34" t="s">
        <v>1224</v>
      </c>
      <c r="B48" s="18" t="s">
        <v>1225</v>
      </c>
      <c r="C48" s="18"/>
      <c r="D48" s="18">
        <v>15</v>
      </c>
      <c r="E48" s="18">
        <v>20</v>
      </c>
      <c r="F48" s="356">
        <v>20</v>
      </c>
      <c r="G48" s="54">
        <f>VLOOKUP(A48,'[1]yourspreadsheetname (1)'!$A$2:$C$968, 3, FALSE)</f>
        <v>0</v>
      </c>
      <c r="H48" s="66">
        <v>120</v>
      </c>
      <c r="I48" s="169"/>
      <c r="J48" s="173" t="s">
        <v>122</v>
      </c>
      <c r="K48" s="96">
        <v>756678</v>
      </c>
      <c r="L48" s="274"/>
      <c r="M48" s="62" t="s">
        <v>263</v>
      </c>
      <c r="N48" s="135" t="s">
        <v>1217</v>
      </c>
      <c r="O48" s="7">
        <v>5</v>
      </c>
      <c r="P48" s="18" t="s">
        <v>1220</v>
      </c>
      <c r="Q48" s="7"/>
      <c r="R48" s="66">
        <f>((F48*15)-G48-I48)/2</f>
        <v>150</v>
      </c>
      <c r="S48" s="7"/>
      <c r="T48" s="63"/>
      <c r="U48" s="63">
        <v>150</v>
      </c>
      <c r="V48" s="63"/>
      <c r="W48" s="18">
        <f t="shared" si="2"/>
        <v>150</v>
      </c>
      <c r="X48" s="149">
        <v>24405.599999999999</v>
      </c>
      <c r="Y48" s="150">
        <v>31235.24</v>
      </c>
      <c r="Z48" s="8">
        <f t="shared" si="3"/>
        <v>3660840</v>
      </c>
      <c r="AA48" s="8">
        <f t="shared" si="4"/>
        <v>4685286</v>
      </c>
      <c r="AB48" s="7"/>
    </row>
    <row r="49" spans="1:28" s="116" customFormat="1" x14ac:dyDescent="0.25">
      <c r="A49" s="554" t="s">
        <v>384</v>
      </c>
      <c r="B49" s="55" t="s">
        <v>385</v>
      </c>
      <c r="C49" s="55"/>
      <c r="D49" s="55">
        <v>15</v>
      </c>
      <c r="E49" s="55">
        <v>15</v>
      </c>
      <c r="F49" s="521">
        <v>15</v>
      </c>
      <c r="G49" s="92" t="e">
        <f>VLOOKUP(A49,'[1]yourspreadsheetname (1)'!$A$2:$C$968, 3, FALSE)</f>
        <v>#N/A</v>
      </c>
      <c r="H49" s="55">
        <v>90</v>
      </c>
      <c r="I49" s="429">
        <v>50</v>
      </c>
      <c r="J49" s="250" t="s">
        <v>122</v>
      </c>
      <c r="K49" s="60">
        <v>756678</v>
      </c>
      <c r="L49" s="293"/>
      <c r="M49" s="56" t="s">
        <v>263</v>
      </c>
      <c r="N49" s="135" t="s">
        <v>1217</v>
      </c>
      <c r="O49" s="18">
        <v>6</v>
      </c>
      <c r="P49" s="7"/>
      <c r="Q49" s="18"/>
      <c r="R49" s="66">
        <v>90</v>
      </c>
      <c r="S49" s="18"/>
      <c r="T49" s="66"/>
      <c r="U49" s="66"/>
      <c r="V49" s="66"/>
      <c r="W49" s="18">
        <f t="shared" si="2"/>
        <v>0</v>
      </c>
      <c r="X49" s="151">
        <v>36400</v>
      </c>
      <c r="Y49" s="151">
        <v>41855.22</v>
      </c>
      <c r="Z49" s="8">
        <f t="shared" si="3"/>
        <v>3276000</v>
      </c>
      <c r="AA49" s="8">
        <f t="shared" si="4"/>
        <v>0</v>
      </c>
      <c r="AB49" s="18"/>
    </row>
    <row r="50" spans="1:28" s="116" customFormat="1" x14ac:dyDescent="0.25">
      <c r="A50" s="18" t="s">
        <v>1226</v>
      </c>
      <c r="B50" s="12" t="s">
        <v>1227</v>
      </c>
      <c r="C50" s="12">
        <v>100</v>
      </c>
      <c r="D50" s="18">
        <v>30</v>
      </c>
      <c r="E50" s="18">
        <v>60</v>
      </c>
      <c r="F50" s="333">
        <v>70</v>
      </c>
      <c r="G50" s="54">
        <f>VLOOKUP(A50,'[1]yourspreadsheetname (1)'!$A$2:$C$968, 3, FALSE)</f>
        <v>300</v>
      </c>
      <c r="H50" s="66">
        <v>500</v>
      </c>
      <c r="I50" s="169"/>
      <c r="J50" s="173" t="s">
        <v>122</v>
      </c>
      <c r="K50" s="96">
        <v>756678</v>
      </c>
      <c r="L50" s="274"/>
      <c r="M50" s="62" t="s">
        <v>263</v>
      </c>
      <c r="N50" s="135" t="s">
        <v>1217</v>
      </c>
      <c r="O50" s="18">
        <v>7</v>
      </c>
      <c r="P50" s="18" t="s">
        <v>1220</v>
      </c>
      <c r="Q50" s="18"/>
      <c r="R50" s="66">
        <v>400</v>
      </c>
      <c r="S50" s="18"/>
      <c r="T50" s="66"/>
      <c r="U50" s="66">
        <v>400</v>
      </c>
      <c r="V50" s="66"/>
      <c r="W50" s="18">
        <f t="shared" si="2"/>
        <v>400</v>
      </c>
      <c r="X50" s="118">
        <v>1330</v>
      </c>
      <c r="Y50" s="117">
        <v>1461.54</v>
      </c>
      <c r="Z50" s="8">
        <f t="shared" si="3"/>
        <v>532000</v>
      </c>
      <c r="AA50" s="8">
        <f t="shared" si="4"/>
        <v>584616</v>
      </c>
      <c r="AB50" s="18"/>
    </row>
    <row r="51" spans="1:28" s="116" customFormat="1" x14ac:dyDescent="0.25">
      <c r="A51" s="18" t="s">
        <v>144</v>
      </c>
      <c r="B51" s="12" t="s">
        <v>1228</v>
      </c>
      <c r="C51" s="18">
        <v>300</v>
      </c>
      <c r="D51" s="18">
        <v>230</v>
      </c>
      <c r="E51" s="18">
        <v>250</v>
      </c>
      <c r="F51" s="210">
        <v>450</v>
      </c>
      <c r="G51" s="54">
        <f>VLOOKUP(A51,'[1]yourspreadsheetname (1)'!$A$2:$C$968, 3, FALSE)</f>
        <v>300</v>
      </c>
      <c r="H51" s="66">
        <v>1500</v>
      </c>
      <c r="I51" s="169">
        <v>0</v>
      </c>
      <c r="J51" s="173" t="s">
        <v>122</v>
      </c>
      <c r="K51" s="96">
        <v>756678</v>
      </c>
      <c r="L51" s="274"/>
      <c r="M51" s="66" t="s">
        <v>263</v>
      </c>
      <c r="N51" s="135" t="s">
        <v>1217</v>
      </c>
      <c r="O51" s="18">
        <v>8</v>
      </c>
      <c r="P51" s="18" t="s">
        <v>1220</v>
      </c>
      <c r="Q51" s="18" t="s">
        <v>1981</v>
      </c>
      <c r="R51" s="66">
        <v>3300</v>
      </c>
      <c r="S51" s="6"/>
      <c r="T51" s="66"/>
      <c r="U51" s="66">
        <v>3300</v>
      </c>
      <c r="V51" s="66">
        <v>650</v>
      </c>
      <c r="W51" s="18">
        <f t="shared" si="2"/>
        <v>3950</v>
      </c>
      <c r="X51" s="149">
        <v>428</v>
      </c>
      <c r="Y51" s="117">
        <v>555.55999999999995</v>
      </c>
      <c r="Z51" s="8">
        <f t="shared" si="3"/>
        <v>1412400</v>
      </c>
      <c r="AA51" s="8">
        <f t="shared" si="4"/>
        <v>2194462</v>
      </c>
      <c r="AB51" s="18"/>
    </row>
    <row r="52" spans="1:28" s="116" customFormat="1" x14ac:dyDescent="0.25">
      <c r="A52" s="18" t="s">
        <v>1229</v>
      </c>
      <c r="B52" s="18" t="s">
        <v>1230</v>
      </c>
      <c r="C52" s="18">
        <v>70</v>
      </c>
      <c r="D52" s="18">
        <v>90</v>
      </c>
      <c r="E52" s="18">
        <v>150</v>
      </c>
      <c r="F52" s="333">
        <v>120</v>
      </c>
      <c r="G52" s="54">
        <f>VLOOKUP(A52,'[1]yourspreadsheetname (1)'!$A$2:$C$968, 3, FALSE)</f>
        <v>900</v>
      </c>
      <c r="H52" s="66">
        <v>1350</v>
      </c>
      <c r="I52" s="169"/>
      <c r="J52" s="173" t="s">
        <v>122</v>
      </c>
      <c r="K52" s="96">
        <v>756678</v>
      </c>
      <c r="L52" s="274"/>
      <c r="M52" s="62" t="s">
        <v>688</v>
      </c>
      <c r="N52" s="135" t="s">
        <v>1217</v>
      </c>
      <c r="O52" s="18">
        <v>9</v>
      </c>
      <c r="P52" s="18" t="s">
        <v>1231</v>
      </c>
      <c r="Q52" s="18" t="s">
        <v>1976</v>
      </c>
      <c r="R52" s="66">
        <f>((F52*15)-G52-I52)/2</f>
        <v>450</v>
      </c>
      <c r="S52" s="18"/>
      <c r="T52" s="66"/>
      <c r="U52" s="66">
        <v>450</v>
      </c>
      <c r="V52" s="66">
        <v>450</v>
      </c>
      <c r="W52" s="18">
        <f t="shared" si="2"/>
        <v>900</v>
      </c>
      <c r="X52" s="149">
        <v>1208.25</v>
      </c>
      <c r="Y52" s="117">
        <v>1389</v>
      </c>
      <c r="Z52" s="8">
        <f t="shared" si="3"/>
        <v>543712.5</v>
      </c>
      <c r="AA52" s="8">
        <f t="shared" si="4"/>
        <v>1250100</v>
      </c>
      <c r="AB52" s="18"/>
    </row>
    <row r="53" spans="1:28" s="116" customFormat="1" x14ac:dyDescent="0.25">
      <c r="A53" s="243" t="s">
        <v>525</v>
      </c>
      <c r="B53" s="243" t="s">
        <v>526</v>
      </c>
      <c r="C53" s="243">
        <v>5</v>
      </c>
      <c r="D53" s="243"/>
      <c r="E53" s="243">
        <v>1</v>
      </c>
      <c r="F53" s="521">
        <v>1</v>
      </c>
      <c r="G53" s="92">
        <f>VLOOKUP(A53,'[1]yourspreadsheetname (1)'!$A$2:$C$968, 3, FALSE)</f>
        <v>6</v>
      </c>
      <c r="H53" s="55">
        <v>6</v>
      </c>
      <c r="I53" s="429"/>
      <c r="J53" s="250" t="s">
        <v>122</v>
      </c>
      <c r="K53" s="60">
        <v>756678</v>
      </c>
      <c r="L53" s="293"/>
      <c r="M53" s="56" t="s">
        <v>285</v>
      </c>
      <c r="N53" s="135" t="s">
        <v>1217</v>
      </c>
      <c r="O53" s="18">
        <v>10</v>
      </c>
      <c r="P53" s="18"/>
      <c r="Q53" s="18"/>
      <c r="R53" s="66">
        <v>4</v>
      </c>
      <c r="S53" s="18"/>
      <c r="T53" s="18"/>
      <c r="U53" s="63"/>
      <c r="V53" s="63"/>
      <c r="W53" s="18">
        <f t="shared" si="2"/>
        <v>0</v>
      </c>
      <c r="X53" s="118">
        <v>160045</v>
      </c>
      <c r="Y53" s="117">
        <v>438381.44</v>
      </c>
      <c r="Z53" s="8">
        <f t="shared" si="3"/>
        <v>640180</v>
      </c>
      <c r="AA53" s="8">
        <f t="shared" si="4"/>
        <v>0</v>
      </c>
      <c r="AB53" s="18"/>
    </row>
    <row r="54" spans="1:28" s="132" customFormat="1" x14ac:dyDescent="0.25">
      <c r="A54" s="18" t="s">
        <v>1232</v>
      </c>
      <c r="B54" s="18" t="s">
        <v>1233</v>
      </c>
      <c r="C54" s="18">
        <v>1</v>
      </c>
      <c r="D54" s="18"/>
      <c r="E54" s="18">
        <v>1</v>
      </c>
      <c r="F54" s="333">
        <v>1</v>
      </c>
      <c r="G54" s="54">
        <f>VLOOKUP(A54,'[1]yourspreadsheetname (1)'!$A$2:$C$968, 3, FALSE)</f>
        <v>0</v>
      </c>
      <c r="H54" s="66">
        <v>6</v>
      </c>
      <c r="I54" s="169"/>
      <c r="J54" s="173" t="s">
        <v>122</v>
      </c>
      <c r="K54" s="96">
        <v>756678</v>
      </c>
      <c r="L54" s="274"/>
      <c r="M54" s="66" t="s">
        <v>688</v>
      </c>
      <c r="N54" s="135" t="s">
        <v>1217</v>
      </c>
      <c r="O54" s="18">
        <v>11</v>
      </c>
      <c r="P54" s="18" t="s">
        <v>1231</v>
      </c>
      <c r="Q54" s="18" t="s">
        <v>1976</v>
      </c>
      <c r="R54" s="66">
        <v>7</v>
      </c>
      <c r="S54" s="18"/>
      <c r="T54" s="18"/>
      <c r="U54" s="63">
        <v>7</v>
      </c>
      <c r="V54" s="63">
        <v>3</v>
      </c>
      <c r="W54" s="18">
        <f t="shared" si="2"/>
        <v>10</v>
      </c>
      <c r="X54" s="118">
        <v>285000</v>
      </c>
      <c r="Y54" s="117">
        <v>323900</v>
      </c>
      <c r="Z54" s="8">
        <f t="shared" si="3"/>
        <v>1995000</v>
      </c>
      <c r="AA54" s="8">
        <f t="shared" si="4"/>
        <v>3239000</v>
      </c>
      <c r="AB54" s="18"/>
    </row>
    <row r="55" spans="1:28" s="132" customFormat="1" x14ac:dyDescent="0.25">
      <c r="A55" s="18" t="s">
        <v>1234</v>
      </c>
      <c r="B55" s="18" t="s">
        <v>1235</v>
      </c>
      <c r="C55" s="18">
        <v>400</v>
      </c>
      <c r="D55" s="18">
        <v>450</v>
      </c>
      <c r="E55" s="18">
        <v>500</v>
      </c>
      <c r="F55" s="106">
        <v>500</v>
      </c>
      <c r="G55" s="54" t="e">
        <f>VLOOKUP(A55,'[1]yourspreadsheetname (1)'!$A$2:$C$968, 3, FALSE)</f>
        <v>#N/A</v>
      </c>
      <c r="H55" s="66">
        <v>4000</v>
      </c>
      <c r="I55" s="169">
        <v>0</v>
      </c>
      <c r="J55" s="173" t="s">
        <v>122</v>
      </c>
      <c r="K55" s="96">
        <v>756678</v>
      </c>
      <c r="L55" s="274"/>
      <c r="M55" s="336" t="s">
        <v>263</v>
      </c>
      <c r="N55" s="135" t="s">
        <v>1217</v>
      </c>
      <c r="O55" s="18">
        <v>12</v>
      </c>
      <c r="P55" s="18" t="s">
        <v>1220</v>
      </c>
      <c r="Q55" s="18" t="s">
        <v>1981</v>
      </c>
      <c r="R55" s="66">
        <v>3600</v>
      </c>
      <c r="S55" s="18"/>
      <c r="T55" s="66"/>
      <c r="U55" s="66">
        <v>3600</v>
      </c>
      <c r="V55" s="66">
        <v>700</v>
      </c>
      <c r="W55" s="18">
        <f t="shared" si="2"/>
        <v>4300</v>
      </c>
      <c r="X55" s="118">
        <v>439</v>
      </c>
      <c r="Y55" s="117">
        <v>544.12</v>
      </c>
      <c r="Z55" s="8">
        <f t="shared" si="3"/>
        <v>1580400</v>
      </c>
      <c r="AA55" s="8">
        <f t="shared" si="4"/>
        <v>2339716</v>
      </c>
      <c r="AB55" s="18"/>
    </row>
    <row r="56" spans="1:28" s="132" customFormat="1" x14ac:dyDescent="0.25">
      <c r="A56" s="55" t="s">
        <v>386</v>
      </c>
      <c r="B56" s="55" t="s">
        <v>387</v>
      </c>
      <c r="C56" s="55">
        <v>70</v>
      </c>
      <c r="D56" s="55">
        <v>30</v>
      </c>
      <c r="E56" s="55">
        <v>35</v>
      </c>
      <c r="F56" s="521">
        <v>40</v>
      </c>
      <c r="G56" s="92">
        <f>VLOOKUP(A56,'[1]yourspreadsheetname (1)'!$A$2:$C$968, 3, FALSE)</f>
        <v>100</v>
      </c>
      <c r="H56" s="55">
        <v>200</v>
      </c>
      <c r="I56" s="429"/>
      <c r="J56" s="250" t="s">
        <v>122</v>
      </c>
      <c r="K56" s="60">
        <v>756678</v>
      </c>
      <c r="L56" s="293"/>
      <c r="M56" s="55" t="s">
        <v>894</v>
      </c>
      <c r="N56" s="135" t="s">
        <v>1217</v>
      </c>
      <c r="O56" s="18">
        <v>13</v>
      </c>
      <c r="P56" s="18"/>
      <c r="Q56" s="18"/>
      <c r="R56" s="66">
        <f>((F56*15)-G56-I56)/2</f>
        <v>250</v>
      </c>
      <c r="S56" s="18"/>
      <c r="T56" s="18"/>
      <c r="U56" s="66"/>
      <c r="V56" s="66"/>
      <c r="W56" s="18">
        <f t="shared" si="2"/>
        <v>0</v>
      </c>
      <c r="X56" s="118">
        <v>1100</v>
      </c>
      <c r="Y56" s="117">
        <v>2025.01</v>
      </c>
      <c r="Z56" s="8">
        <f t="shared" si="3"/>
        <v>275000</v>
      </c>
      <c r="AA56" s="8">
        <f t="shared" si="4"/>
        <v>0</v>
      </c>
      <c r="AB56" s="18"/>
    </row>
    <row r="57" spans="1:28" s="116" customFormat="1" x14ac:dyDescent="0.25">
      <c r="A57" s="18" t="s">
        <v>1236</v>
      </c>
      <c r="B57" s="18" t="s">
        <v>1237</v>
      </c>
      <c r="C57" s="18">
        <v>10</v>
      </c>
      <c r="D57" s="18"/>
      <c r="E57" s="18">
        <v>0</v>
      </c>
      <c r="F57" s="106">
        <v>0</v>
      </c>
      <c r="G57" s="54">
        <f>VLOOKUP(A57,'[1]yourspreadsheetname (1)'!$A$2:$C$968, 3, FALSE)</f>
        <v>0</v>
      </c>
      <c r="H57" s="66">
        <v>100</v>
      </c>
      <c r="I57" s="169"/>
      <c r="J57" s="173" t="s">
        <v>122</v>
      </c>
      <c r="K57" s="96">
        <v>756678</v>
      </c>
      <c r="L57" s="274"/>
      <c r="M57" s="336" t="s">
        <v>259</v>
      </c>
      <c r="N57" s="135" t="s">
        <v>1217</v>
      </c>
      <c r="O57" s="18">
        <v>14</v>
      </c>
      <c r="P57" s="18" t="s">
        <v>1238</v>
      </c>
      <c r="Q57" s="18"/>
      <c r="R57" s="66">
        <v>100</v>
      </c>
      <c r="S57" s="18"/>
      <c r="T57" s="66"/>
      <c r="U57" s="66">
        <v>100</v>
      </c>
      <c r="V57" s="66"/>
      <c r="W57" s="18">
        <f t="shared" si="2"/>
        <v>100</v>
      </c>
      <c r="X57" s="118">
        <v>430.8</v>
      </c>
      <c r="Y57" s="117">
        <v>518.4</v>
      </c>
      <c r="Z57" s="8">
        <f t="shared" si="3"/>
        <v>43080</v>
      </c>
      <c r="AA57" s="8">
        <f t="shared" si="4"/>
        <v>51840</v>
      </c>
      <c r="AB57" s="18"/>
    </row>
    <row r="58" spans="1:28" s="132" customFormat="1" x14ac:dyDescent="0.25">
      <c r="A58" s="18" t="s">
        <v>148</v>
      </c>
      <c r="B58" s="18" t="s">
        <v>1239</v>
      </c>
      <c r="C58" s="18">
        <v>5600</v>
      </c>
      <c r="D58" s="18">
        <v>4600</v>
      </c>
      <c r="E58" s="18">
        <v>5000</v>
      </c>
      <c r="F58" s="106">
        <v>5500</v>
      </c>
      <c r="G58" s="54">
        <f>VLOOKUP(A58,'[1]yourspreadsheetname (1)'!$A$2:$C$968, 3, FALSE)</f>
        <v>10706</v>
      </c>
      <c r="H58" s="66">
        <v>58200</v>
      </c>
      <c r="I58" s="169">
        <v>0</v>
      </c>
      <c r="J58" s="173" t="s">
        <v>122</v>
      </c>
      <c r="K58" s="96">
        <v>756678</v>
      </c>
      <c r="L58" s="274"/>
      <c r="M58" s="66" t="s">
        <v>283</v>
      </c>
      <c r="N58" s="135" t="s">
        <v>1217</v>
      </c>
      <c r="O58" s="18">
        <v>15</v>
      </c>
      <c r="P58" s="18" t="s">
        <v>1240</v>
      </c>
      <c r="Q58" s="18" t="s">
        <v>1984</v>
      </c>
      <c r="R58" s="66">
        <v>42000</v>
      </c>
      <c r="S58" s="18"/>
      <c r="T58" s="66"/>
      <c r="U58" s="66">
        <v>42000</v>
      </c>
      <c r="V58" s="66">
        <v>8000</v>
      </c>
      <c r="W58" s="18">
        <f t="shared" si="2"/>
        <v>50000</v>
      </c>
      <c r="X58" s="118">
        <v>374</v>
      </c>
      <c r="Y58" s="117">
        <v>412</v>
      </c>
      <c r="Z58" s="8">
        <f t="shared" si="3"/>
        <v>15708000</v>
      </c>
      <c r="AA58" s="8">
        <f t="shared" si="4"/>
        <v>20600000</v>
      </c>
      <c r="AB58" s="18"/>
    </row>
    <row r="59" spans="1:28" s="132" customFormat="1" x14ac:dyDescent="0.25">
      <c r="A59" s="55" t="s">
        <v>270</v>
      </c>
      <c r="B59" s="55" t="s">
        <v>271</v>
      </c>
      <c r="C59" s="55"/>
      <c r="D59" s="55"/>
      <c r="E59" s="55">
        <v>10</v>
      </c>
      <c r="F59" s="521">
        <v>10</v>
      </c>
      <c r="G59" s="92" t="e">
        <f>VLOOKUP(A59,'[1]yourspreadsheetname (1)'!$A$2:$C$968, 3, FALSE)</f>
        <v>#N/A</v>
      </c>
      <c r="H59" s="55">
        <v>50</v>
      </c>
      <c r="I59" s="429"/>
      <c r="J59" s="250" t="s">
        <v>122</v>
      </c>
      <c r="K59" s="60">
        <v>756678</v>
      </c>
      <c r="L59" s="293"/>
      <c r="M59" s="55" t="s">
        <v>894</v>
      </c>
      <c r="N59" s="135" t="s">
        <v>1217</v>
      </c>
      <c r="O59" s="18">
        <v>16</v>
      </c>
      <c r="P59" s="18"/>
      <c r="Q59" s="18"/>
      <c r="R59" s="66">
        <v>25</v>
      </c>
      <c r="S59" s="18"/>
      <c r="T59" s="18"/>
      <c r="U59" s="66"/>
      <c r="V59" s="63"/>
      <c r="W59" s="18">
        <f t="shared" si="2"/>
        <v>0</v>
      </c>
      <c r="X59" s="118">
        <v>756</v>
      </c>
      <c r="Y59" s="117">
        <v>1925.01</v>
      </c>
      <c r="Z59" s="8">
        <f t="shared" si="3"/>
        <v>18900</v>
      </c>
      <c r="AA59" s="8">
        <f t="shared" si="4"/>
        <v>0</v>
      </c>
      <c r="AB59" s="18"/>
    </row>
    <row r="60" spans="1:28" s="132" customFormat="1" ht="16.5" customHeight="1" x14ac:dyDescent="0.25">
      <c r="A60" s="18" t="s">
        <v>1241</v>
      </c>
      <c r="B60" s="18" t="s">
        <v>1242</v>
      </c>
      <c r="C60" s="18">
        <v>20</v>
      </c>
      <c r="D60" s="18">
        <v>25</v>
      </c>
      <c r="E60" s="18">
        <v>20</v>
      </c>
      <c r="F60" s="366">
        <v>25</v>
      </c>
      <c r="G60" s="54">
        <f>VLOOKUP(A60,'[1]yourspreadsheetname (1)'!$A$2:$C$968, 3, FALSE)</f>
        <v>0</v>
      </c>
      <c r="H60" s="66">
        <v>150</v>
      </c>
      <c r="I60" s="337"/>
      <c r="J60" s="173" t="s">
        <v>122</v>
      </c>
      <c r="K60" s="96">
        <v>756678</v>
      </c>
      <c r="L60" s="338"/>
      <c r="M60" s="62" t="s">
        <v>263</v>
      </c>
      <c r="N60" s="135" t="s">
        <v>1217</v>
      </c>
      <c r="O60" s="18">
        <v>17</v>
      </c>
      <c r="P60" s="18" t="s">
        <v>1220</v>
      </c>
      <c r="Q60" s="7"/>
      <c r="R60" s="66">
        <v>200</v>
      </c>
      <c r="S60" s="7"/>
      <c r="T60" s="18"/>
      <c r="U60" s="66">
        <v>200</v>
      </c>
      <c r="V60" s="63"/>
      <c r="W60" s="18">
        <f t="shared" si="2"/>
        <v>200</v>
      </c>
      <c r="X60" s="118">
        <v>1075</v>
      </c>
      <c r="Y60" s="117">
        <v>1141.79</v>
      </c>
      <c r="Z60" s="8">
        <f t="shared" si="3"/>
        <v>215000</v>
      </c>
      <c r="AA60" s="8">
        <f t="shared" si="4"/>
        <v>228358</v>
      </c>
      <c r="AB60" s="18"/>
    </row>
    <row r="61" spans="1:28" s="132" customFormat="1" x14ac:dyDescent="0.25">
      <c r="A61" s="18" t="s">
        <v>152</v>
      </c>
      <c r="B61" s="18" t="s">
        <v>1243</v>
      </c>
      <c r="C61" s="18">
        <v>100</v>
      </c>
      <c r="D61" s="18">
        <v>100</v>
      </c>
      <c r="E61" s="18">
        <v>150</v>
      </c>
      <c r="F61" s="106">
        <v>150</v>
      </c>
      <c r="G61" s="54">
        <f>VLOOKUP(A61,'[1]yourspreadsheetname (1)'!$A$2:$C$968, 3, FALSE)</f>
        <v>200</v>
      </c>
      <c r="H61" s="66">
        <v>1200</v>
      </c>
      <c r="I61" s="169">
        <v>0</v>
      </c>
      <c r="J61" s="173" t="s">
        <v>122</v>
      </c>
      <c r="K61" s="96">
        <v>756678</v>
      </c>
      <c r="L61" s="274"/>
      <c r="M61" s="336" t="s">
        <v>283</v>
      </c>
      <c r="N61" s="135" t="s">
        <v>1217</v>
      </c>
      <c r="O61" s="18">
        <v>18</v>
      </c>
      <c r="P61" s="18" t="s">
        <v>1240</v>
      </c>
      <c r="Q61" s="18" t="s">
        <v>1984</v>
      </c>
      <c r="R61" s="66">
        <v>1000</v>
      </c>
      <c r="S61" s="19"/>
      <c r="T61" s="66"/>
      <c r="U61" s="66">
        <v>1000</v>
      </c>
      <c r="V61" s="66">
        <v>200</v>
      </c>
      <c r="W61" s="18">
        <f t="shared" si="2"/>
        <v>1200</v>
      </c>
      <c r="X61" s="118">
        <v>595</v>
      </c>
      <c r="Y61" s="117">
        <v>798</v>
      </c>
      <c r="Z61" s="8">
        <f t="shared" si="3"/>
        <v>595000</v>
      </c>
      <c r="AA61" s="8">
        <f t="shared" si="4"/>
        <v>957600</v>
      </c>
      <c r="AB61" s="18"/>
    </row>
    <row r="62" spans="1:28" s="132" customFormat="1" x14ac:dyDescent="0.25">
      <c r="A62" s="135" t="s">
        <v>1244</v>
      </c>
      <c r="B62" s="135" t="s">
        <v>1245</v>
      </c>
      <c r="C62" s="135" t="s">
        <v>1246</v>
      </c>
      <c r="D62" s="18">
        <v>200</v>
      </c>
      <c r="E62" s="18">
        <v>150</v>
      </c>
      <c r="F62" s="174">
        <v>150</v>
      </c>
      <c r="G62" s="54" t="e">
        <f>VLOOKUP(A62,'[1]yourspreadsheetname (1)'!$A$2:$C$968, 3, FALSE)</f>
        <v>#N/A</v>
      </c>
      <c r="H62" s="66">
        <v>1350</v>
      </c>
      <c r="I62" s="66"/>
      <c r="J62" s="173" t="s">
        <v>122</v>
      </c>
      <c r="K62" s="96">
        <v>756678</v>
      </c>
      <c r="L62" s="66"/>
      <c r="M62" s="66" t="s">
        <v>263</v>
      </c>
      <c r="N62" s="135" t="s">
        <v>1217</v>
      </c>
      <c r="O62" s="18">
        <v>19</v>
      </c>
      <c r="P62" s="18" t="s">
        <v>1220</v>
      </c>
      <c r="Q62" s="18" t="s">
        <v>1981</v>
      </c>
      <c r="R62" s="66">
        <v>600</v>
      </c>
      <c r="S62" s="18"/>
      <c r="T62" s="18"/>
      <c r="U62" s="66">
        <v>600</v>
      </c>
      <c r="V62" s="63">
        <v>400</v>
      </c>
      <c r="W62" s="18">
        <f t="shared" si="2"/>
        <v>1000</v>
      </c>
      <c r="X62" s="118">
        <v>1700</v>
      </c>
      <c r="Y62" s="117">
        <v>1796.88</v>
      </c>
      <c r="Z62" s="8">
        <f t="shared" si="3"/>
        <v>1020000</v>
      </c>
      <c r="AA62" s="8">
        <f t="shared" si="4"/>
        <v>1796880</v>
      </c>
      <c r="AB62" s="18"/>
    </row>
    <row r="63" spans="1:28" s="132" customFormat="1" x14ac:dyDescent="0.25">
      <c r="A63" s="18" t="s">
        <v>1247</v>
      </c>
      <c r="B63" s="18" t="s">
        <v>1248</v>
      </c>
      <c r="C63" s="18">
        <v>80</v>
      </c>
      <c r="D63" s="18">
        <v>300</v>
      </c>
      <c r="E63" s="18">
        <v>300</v>
      </c>
      <c r="F63" s="18">
        <v>200</v>
      </c>
      <c r="G63" s="54" t="e">
        <f>VLOOKUP(A63,'[1]yourspreadsheetname (1)'!$A$2:$C$968, 3, FALSE)</f>
        <v>#N/A</v>
      </c>
      <c r="H63" s="66">
        <v>2500</v>
      </c>
      <c r="I63" s="66">
        <v>300</v>
      </c>
      <c r="J63" s="173" t="s">
        <v>122</v>
      </c>
      <c r="K63" s="96">
        <v>756678</v>
      </c>
      <c r="L63" s="66"/>
      <c r="M63" s="336" t="s">
        <v>263</v>
      </c>
      <c r="N63" s="135" t="s">
        <v>1217</v>
      </c>
      <c r="O63" s="18">
        <v>20</v>
      </c>
      <c r="P63" s="18" t="s">
        <v>1220</v>
      </c>
      <c r="Q63" s="18"/>
      <c r="R63" s="66">
        <v>500</v>
      </c>
      <c r="S63" s="18"/>
      <c r="T63" s="66"/>
      <c r="U63" s="66">
        <v>500</v>
      </c>
      <c r="V63" s="66"/>
      <c r="W63" s="18">
        <f t="shared" si="2"/>
        <v>500</v>
      </c>
      <c r="X63" s="118">
        <v>6084.4</v>
      </c>
      <c r="Y63" s="117">
        <v>7019.4</v>
      </c>
      <c r="Z63" s="8">
        <f t="shared" si="3"/>
        <v>3042200</v>
      </c>
      <c r="AA63" s="8">
        <f t="shared" si="4"/>
        <v>3509700</v>
      </c>
      <c r="AB63" s="18"/>
    </row>
    <row r="64" spans="1:28" s="132" customFormat="1" x14ac:dyDescent="0.25">
      <c r="A64" s="275" t="s">
        <v>1249</v>
      </c>
      <c r="B64" s="18" t="s">
        <v>1250</v>
      </c>
      <c r="C64" s="18" t="s">
        <v>687</v>
      </c>
      <c r="D64" s="12">
        <v>400</v>
      </c>
      <c r="E64" s="12">
        <v>350</v>
      </c>
      <c r="F64" s="333">
        <v>350</v>
      </c>
      <c r="G64" s="54">
        <f>VLOOKUP(A64,'[1]yourspreadsheetname (1)'!$A$2:$C$968, 3, FALSE)</f>
        <v>2300</v>
      </c>
      <c r="H64" s="66">
        <v>1600</v>
      </c>
      <c r="I64" s="169"/>
      <c r="J64" s="173" t="s">
        <v>122</v>
      </c>
      <c r="K64" s="96">
        <v>756678</v>
      </c>
      <c r="L64" s="66"/>
      <c r="M64" s="66" t="s">
        <v>263</v>
      </c>
      <c r="N64" s="135" t="s">
        <v>1217</v>
      </c>
      <c r="O64" s="18">
        <v>21</v>
      </c>
      <c r="P64" s="18" t="s">
        <v>1220</v>
      </c>
      <c r="Q64" s="18"/>
      <c r="R64" s="66">
        <v>1500</v>
      </c>
      <c r="S64" s="18"/>
      <c r="T64" s="18"/>
      <c r="U64" s="66">
        <v>1500</v>
      </c>
      <c r="V64" s="66"/>
      <c r="W64" s="18">
        <f t="shared" si="2"/>
        <v>1500</v>
      </c>
      <c r="X64" s="118">
        <v>2990</v>
      </c>
      <c r="Y64" s="117">
        <v>2727.27</v>
      </c>
      <c r="Z64" s="8">
        <f t="shared" si="3"/>
        <v>4485000</v>
      </c>
      <c r="AA64" s="8">
        <f t="shared" si="4"/>
        <v>4090905</v>
      </c>
      <c r="AB64" s="37"/>
    </row>
    <row r="65" spans="1:28" s="132" customFormat="1" x14ac:dyDescent="0.25">
      <c r="A65" s="55" t="s">
        <v>370</v>
      </c>
      <c r="B65" s="55" t="s">
        <v>371</v>
      </c>
      <c r="C65" s="55"/>
      <c r="D65" s="55"/>
      <c r="E65" s="55">
        <v>1</v>
      </c>
      <c r="F65" s="429">
        <v>1</v>
      </c>
      <c r="G65" s="92">
        <f>VLOOKUP(A65,'[1]yourspreadsheetname (1)'!$A$2:$C$968, 3, FALSE)</f>
        <v>6</v>
      </c>
      <c r="H65" s="55">
        <v>7</v>
      </c>
      <c r="I65" s="429"/>
      <c r="J65" s="250" t="s">
        <v>122</v>
      </c>
      <c r="K65" s="60">
        <v>756678</v>
      </c>
      <c r="L65" s="293"/>
      <c r="M65" s="482" t="s">
        <v>259</v>
      </c>
      <c r="N65" s="135" t="s">
        <v>1217</v>
      </c>
      <c r="O65" s="18">
        <v>22</v>
      </c>
      <c r="P65" s="18"/>
      <c r="Q65" s="18"/>
      <c r="R65" s="66">
        <v>6</v>
      </c>
      <c r="S65" s="18"/>
      <c r="T65" s="66"/>
      <c r="U65" s="66"/>
      <c r="V65" s="66"/>
      <c r="W65" s="18">
        <f t="shared" si="2"/>
        <v>0</v>
      </c>
      <c r="X65" s="118">
        <v>607746</v>
      </c>
      <c r="Y65" s="117">
        <v>690209.45</v>
      </c>
      <c r="Z65" s="8">
        <f t="shared" si="3"/>
        <v>3646476</v>
      </c>
      <c r="AA65" s="8">
        <f t="shared" si="4"/>
        <v>0</v>
      </c>
      <c r="AB65" s="22"/>
    </row>
    <row r="66" spans="1:28" s="132" customFormat="1" x14ac:dyDescent="0.25">
      <c r="A66" s="18" t="s">
        <v>1251</v>
      </c>
      <c r="B66" s="12" t="s">
        <v>1252</v>
      </c>
      <c r="C66" s="18">
        <v>200</v>
      </c>
      <c r="D66" s="18">
        <v>180</v>
      </c>
      <c r="E66" s="18">
        <v>400</v>
      </c>
      <c r="F66" s="345">
        <v>400</v>
      </c>
      <c r="G66" s="54" t="e">
        <f>VLOOKUP(A66,'[1]yourspreadsheetname (1)'!$A$2:$C$968, 3, FALSE)</f>
        <v>#N/A</v>
      </c>
      <c r="H66" s="66">
        <v>4740</v>
      </c>
      <c r="I66" s="169">
        <v>300</v>
      </c>
      <c r="J66" s="173" t="s">
        <v>122</v>
      </c>
      <c r="K66" s="96">
        <v>756678</v>
      </c>
      <c r="L66" s="274"/>
      <c r="M66" s="63" t="s">
        <v>259</v>
      </c>
      <c r="N66" s="135" t="s">
        <v>1217</v>
      </c>
      <c r="O66" s="18">
        <v>23</v>
      </c>
      <c r="P66" s="6" t="s">
        <v>1238</v>
      </c>
      <c r="Q66" s="6"/>
      <c r="R66" s="66">
        <v>1200</v>
      </c>
      <c r="S66" s="18"/>
      <c r="T66" s="66"/>
      <c r="U66" s="66">
        <v>1200</v>
      </c>
      <c r="V66" s="63"/>
      <c r="W66" s="18">
        <f t="shared" si="2"/>
        <v>1200</v>
      </c>
      <c r="X66" s="118">
        <v>614</v>
      </c>
      <c r="Y66" s="117">
        <v>728</v>
      </c>
      <c r="Z66" s="8">
        <f t="shared" si="3"/>
        <v>736800</v>
      </c>
      <c r="AA66" s="8">
        <f t="shared" si="4"/>
        <v>873600</v>
      </c>
      <c r="AB66" s="38"/>
    </row>
    <row r="67" spans="1:28" s="132" customFormat="1" x14ac:dyDescent="0.25">
      <c r="A67" s="18" t="s">
        <v>1253</v>
      </c>
      <c r="B67" s="18" t="s">
        <v>1254</v>
      </c>
      <c r="C67" s="18">
        <v>20</v>
      </c>
      <c r="D67" s="18"/>
      <c r="E67" s="18">
        <v>10</v>
      </c>
      <c r="F67" s="173">
        <v>20</v>
      </c>
      <c r="G67" s="54">
        <f>VLOOKUP(A67,'[1]yourspreadsheetname (1)'!$A$2:$C$968, 3, FALSE)</f>
        <v>0</v>
      </c>
      <c r="H67" s="66">
        <v>100</v>
      </c>
      <c r="I67" s="66"/>
      <c r="J67" s="173" t="s">
        <v>122</v>
      </c>
      <c r="K67" s="96">
        <v>756678</v>
      </c>
      <c r="L67" s="66"/>
      <c r="M67" s="66" t="s">
        <v>259</v>
      </c>
      <c r="N67" s="135" t="s">
        <v>1217</v>
      </c>
      <c r="O67" s="18">
        <v>24</v>
      </c>
      <c r="P67" s="18" t="s">
        <v>1238</v>
      </c>
      <c r="Q67" s="18" t="s">
        <v>1982</v>
      </c>
      <c r="R67" s="66">
        <v>200</v>
      </c>
      <c r="S67" s="18"/>
      <c r="T67" s="18"/>
      <c r="U67" s="66">
        <v>200</v>
      </c>
      <c r="V67" s="66">
        <v>100</v>
      </c>
      <c r="W67" s="18">
        <f t="shared" ref="W67:W98" si="5">U67+V67</f>
        <v>300</v>
      </c>
      <c r="X67" s="118">
        <v>387</v>
      </c>
      <c r="Y67" s="117">
        <v>480.2</v>
      </c>
      <c r="Z67" s="8">
        <f t="shared" ref="Z67:Z98" si="6">R67*X67</f>
        <v>77400</v>
      </c>
      <c r="AA67" s="8">
        <f t="shared" si="4"/>
        <v>144060</v>
      </c>
      <c r="AB67" s="18"/>
    </row>
    <row r="68" spans="1:28" s="132" customFormat="1" x14ac:dyDescent="0.25">
      <c r="A68" s="486" t="s">
        <v>388</v>
      </c>
      <c r="B68" s="55" t="s">
        <v>389</v>
      </c>
      <c r="C68" s="55"/>
      <c r="D68" s="55"/>
      <c r="E68" s="55">
        <v>8</v>
      </c>
      <c r="F68" s="250">
        <v>4</v>
      </c>
      <c r="G68" s="92">
        <v>12</v>
      </c>
      <c r="H68" s="55">
        <v>30</v>
      </c>
      <c r="I68" s="55"/>
      <c r="J68" s="250" t="s">
        <v>122</v>
      </c>
      <c r="K68" s="60">
        <v>756678</v>
      </c>
      <c r="L68" s="55"/>
      <c r="M68" s="55" t="s">
        <v>263</v>
      </c>
      <c r="N68" s="135" t="s">
        <v>1217</v>
      </c>
      <c r="O68" s="18">
        <v>25</v>
      </c>
      <c r="P68" s="18"/>
      <c r="Q68" s="18"/>
      <c r="R68" s="66">
        <f>((F68*15)-G68-I68)/2</f>
        <v>24</v>
      </c>
      <c r="S68" s="18"/>
      <c r="T68" s="18"/>
      <c r="U68" s="66"/>
      <c r="V68" s="66"/>
      <c r="W68" s="18">
        <f t="shared" si="5"/>
        <v>0</v>
      </c>
      <c r="X68" s="118">
        <v>36009</v>
      </c>
      <c r="Y68" s="117">
        <v>54730.58</v>
      </c>
      <c r="Z68" s="8">
        <f t="shared" si="6"/>
        <v>864216</v>
      </c>
      <c r="AA68" s="8">
        <f t="shared" si="4"/>
        <v>0</v>
      </c>
      <c r="AB68" s="18"/>
    </row>
    <row r="69" spans="1:28" s="132" customFormat="1" x14ac:dyDescent="0.25">
      <c r="A69" s="34" t="s">
        <v>1255</v>
      </c>
      <c r="B69" s="18" t="s">
        <v>1256</v>
      </c>
      <c r="C69" s="18"/>
      <c r="D69" s="18"/>
      <c r="E69" s="18">
        <v>150</v>
      </c>
      <c r="F69" s="173">
        <v>25</v>
      </c>
      <c r="G69" s="54">
        <v>300</v>
      </c>
      <c r="H69" s="66">
        <v>500</v>
      </c>
      <c r="I69" s="66"/>
      <c r="J69" s="173" t="s">
        <v>122</v>
      </c>
      <c r="K69" s="96">
        <v>756678</v>
      </c>
      <c r="L69" s="66"/>
      <c r="M69" s="66" t="s">
        <v>712</v>
      </c>
      <c r="N69" s="135" t="s">
        <v>1217</v>
      </c>
      <c r="O69" s="18">
        <v>26</v>
      </c>
      <c r="P69" s="18" t="s">
        <v>1257</v>
      </c>
      <c r="Q69" s="18" t="s">
        <v>1979</v>
      </c>
      <c r="R69" s="66">
        <v>200</v>
      </c>
      <c r="S69" s="18"/>
      <c r="T69" s="18"/>
      <c r="U69" s="66">
        <v>200</v>
      </c>
      <c r="V69" s="66">
        <v>100</v>
      </c>
      <c r="W69" s="18">
        <f t="shared" si="5"/>
        <v>300</v>
      </c>
      <c r="X69" s="118">
        <v>11611</v>
      </c>
      <c r="Y69" s="117">
        <v>8380</v>
      </c>
      <c r="Z69" s="8">
        <f t="shared" si="6"/>
        <v>2322200</v>
      </c>
      <c r="AA69" s="8">
        <f t="shared" si="4"/>
        <v>2514000</v>
      </c>
      <c r="AB69" s="18"/>
    </row>
    <row r="70" spans="1:28" s="132" customFormat="1" x14ac:dyDescent="0.25">
      <c r="A70" s="18" t="s">
        <v>1258</v>
      </c>
      <c r="B70" s="12" t="s">
        <v>1259</v>
      </c>
      <c r="C70" s="12">
        <v>2</v>
      </c>
      <c r="D70" s="18"/>
      <c r="E70" s="18">
        <v>2</v>
      </c>
      <c r="F70" s="76">
        <v>2</v>
      </c>
      <c r="G70" s="54">
        <f>VLOOKUP(A70,'[1]yourspreadsheetname (1)'!$A$2:$C$968, 3, FALSE)</f>
        <v>0</v>
      </c>
      <c r="H70" s="66">
        <v>12</v>
      </c>
      <c r="I70" s="66">
        <v>0</v>
      </c>
      <c r="J70" s="173" t="s">
        <v>122</v>
      </c>
      <c r="K70" s="96">
        <v>756678</v>
      </c>
      <c r="L70" s="66"/>
      <c r="M70" s="66" t="s">
        <v>894</v>
      </c>
      <c r="N70" s="135" t="s">
        <v>1217</v>
      </c>
      <c r="O70" s="18">
        <v>27</v>
      </c>
      <c r="P70" s="18" t="s">
        <v>1260</v>
      </c>
      <c r="Q70" s="18"/>
      <c r="R70" s="66">
        <v>20</v>
      </c>
      <c r="S70" s="18"/>
      <c r="T70" s="63"/>
      <c r="U70" s="63">
        <v>20</v>
      </c>
      <c r="V70" s="63"/>
      <c r="W70" s="18">
        <f t="shared" si="5"/>
        <v>20</v>
      </c>
      <c r="X70" s="118">
        <v>21600</v>
      </c>
      <c r="Y70" s="117">
        <v>35633.67</v>
      </c>
      <c r="Z70" s="8">
        <f t="shared" si="6"/>
        <v>432000</v>
      </c>
      <c r="AA70" s="8">
        <f t="shared" si="4"/>
        <v>712673.39999999991</v>
      </c>
      <c r="AB70" s="18"/>
    </row>
    <row r="71" spans="1:28" s="132" customFormat="1" x14ac:dyDescent="0.25">
      <c r="A71" s="12" t="s">
        <v>154</v>
      </c>
      <c r="B71" s="18" t="s">
        <v>1261</v>
      </c>
      <c r="C71" s="350">
        <v>2000</v>
      </c>
      <c r="D71" s="12">
        <v>2000</v>
      </c>
      <c r="E71" s="12">
        <v>2000</v>
      </c>
      <c r="F71" s="12">
        <v>2000</v>
      </c>
      <c r="G71" s="54" t="e">
        <f>VLOOKUP(A71,'[1]yourspreadsheetname (1)'!$A$2:$C$968, 3, FALSE)</f>
        <v>#N/A</v>
      </c>
      <c r="H71" s="66">
        <v>18400</v>
      </c>
      <c r="I71" s="54">
        <v>0</v>
      </c>
      <c r="J71" s="173" t="s">
        <v>122</v>
      </c>
      <c r="K71" s="96">
        <v>756678</v>
      </c>
      <c r="L71" s="54"/>
      <c r="M71" s="54" t="s">
        <v>283</v>
      </c>
      <c r="N71" s="135" t="s">
        <v>1217</v>
      </c>
      <c r="O71" s="12">
        <v>28</v>
      </c>
      <c r="P71" s="12" t="s">
        <v>1240</v>
      </c>
      <c r="Q71" s="12" t="s">
        <v>1984</v>
      </c>
      <c r="R71" s="66">
        <v>12000</v>
      </c>
      <c r="S71" s="12"/>
      <c r="T71" s="66"/>
      <c r="U71" s="66">
        <v>12000</v>
      </c>
      <c r="V71" s="66">
        <v>2400</v>
      </c>
      <c r="W71" s="18">
        <f t="shared" si="5"/>
        <v>14400</v>
      </c>
      <c r="X71" s="154">
        <v>405</v>
      </c>
      <c r="Y71" s="119">
        <v>515</v>
      </c>
      <c r="Z71" s="8">
        <f t="shared" si="6"/>
        <v>4860000</v>
      </c>
      <c r="AA71" s="8">
        <f t="shared" si="4"/>
        <v>7416000</v>
      </c>
      <c r="AB71" s="18"/>
    </row>
    <row r="72" spans="1:28" s="132" customFormat="1" x14ac:dyDescent="0.25">
      <c r="A72" s="55" t="s">
        <v>273</v>
      </c>
      <c r="B72" s="92" t="s">
        <v>274</v>
      </c>
      <c r="C72" s="92">
        <v>20</v>
      </c>
      <c r="D72" s="55">
        <v>20</v>
      </c>
      <c r="E72" s="55">
        <v>40</v>
      </c>
      <c r="F72" s="55">
        <v>60</v>
      </c>
      <c r="G72" s="92">
        <f>VLOOKUP(A72,'[1]yourspreadsheetname (1)'!$A$2:$C$968, 3, FALSE)</f>
        <v>200</v>
      </c>
      <c r="H72" s="55">
        <v>490</v>
      </c>
      <c r="I72" s="55">
        <v>50</v>
      </c>
      <c r="J72" s="250" t="s">
        <v>122</v>
      </c>
      <c r="K72" s="60">
        <v>756678</v>
      </c>
      <c r="L72" s="55"/>
      <c r="M72" s="55" t="s">
        <v>894</v>
      </c>
      <c r="N72" s="135" t="s">
        <v>1217</v>
      </c>
      <c r="O72" s="18">
        <v>29</v>
      </c>
      <c r="P72" s="18"/>
      <c r="Q72" s="18"/>
      <c r="R72" s="66">
        <v>300</v>
      </c>
      <c r="S72" s="18"/>
      <c r="T72" s="66"/>
      <c r="U72" s="66"/>
      <c r="V72" s="54"/>
      <c r="W72" s="18">
        <f t="shared" si="5"/>
        <v>0</v>
      </c>
      <c r="X72" s="153">
        <v>22260</v>
      </c>
      <c r="Y72" s="117">
        <v>56400</v>
      </c>
      <c r="Z72" s="8">
        <f t="shared" si="6"/>
        <v>6678000</v>
      </c>
      <c r="AA72" s="8">
        <f t="shared" si="4"/>
        <v>0</v>
      </c>
      <c r="AB72" s="18"/>
    </row>
    <row r="73" spans="1:28" s="132" customFormat="1" x14ac:dyDescent="0.25">
      <c r="A73" s="18" t="s">
        <v>1262</v>
      </c>
      <c r="B73" s="18" t="s">
        <v>1263</v>
      </c>
      <c r="C73" s="18">
        <v>4600</v>
      </c>
      <c r="D73" s="18">
        <v>5650</v>
      </c>
      <c r="E73" s="18">
        <v>5500</v>
      </c>
      <c r="F73" s="120">
        <v>5500</v>
      </c>
      <c r="G73" s="54">
        <v>7100</v>
      </c>
      <c r="H73" s="66">
        <v>62550</v>
      </c>
      <c r="I73" s="169">
        <v>0</v>
      </c>
      <c r="J73" s="173" t="s">
        <v>122</v>
      </c>
      <c r="K73" s="96">
        <v>756678</v>
      </c>
      <c r="L73" s="274"/>
      <c r="M73" s="66" t="s">
        <v>283</v>
      </c>
      <c r="N73" s="135" t="s">
        <v>1217</v>
      </c>
      <c r="O73" s="18">
        <v>30</v>
      </c>
      <c r="P73" s="18" t="s">
        <v>1240</v>
      </c>
      <c r="Q73" s="6" t="s">
        <v>1984</v>
      </c>
      <c r="R73" s="66">
        <v>40000</v>
      </c>
      <c r="S73" s="19"/>
      <c r="T73" s="66"/>
      <c r="U73" s="66">
        <v>40000</v>
      </c>
      <c r="V73" s="66">
        <v>8000</v>
      </c>
      <c r="W73" s="18">
        <f t="shared" si="5"/>
        <v>48000</v>
      </c>
      <c r="X73" s="118">
        <v>319</v>
      </c>
      <c r="Y73" s="117">
        <v>545</v>
      </c>
      <c r="Z73" s="8">
        <f t="shared" si="6"/>
        <v>12760000</v>
      </c>
      <c r="AA73" s="8">
        <f t="shared" ref="AA73:AA106" si="7">W73*Y73</f>
        <v>26160000</v>
      </c>
      <c r="AB73" s="6"/>
    </row>
    <row r="74" spans="1:28" s="132" customFormat="1" x14ac:dyDescent="0.25">
      <c r="A74" s="522" t="s">
        <v>527</v>
      </c>
      <c r="B74" s="243" t="s">
        <v>528</v>
      </c>
      <c r="C74" s="243"/>
      <c r="D74" s="243"/>
      <c r="E74" s="243"/>
      <c r="F74" s="521">
        <v>1</v>
      </c>
      <c r="G74" s="92">
        <v>0</v>
      </c>
      <c r="H74" s="55">
        <v>0</v>
      </c>
      <c r="I74" s="429"/>
      <c r="J74" s="250"/>
      <c r="K74" s="60">
        <v>756678</v>
      </c>
      <c r="L74" s="293"/>
      <c r="M74" s="55" t="s">
        <v>285</v>
      </c>
      <c r="N74" s="135" t="s">
        <v>1217</v>
      </c>
      <c r="O74" s="18">
        <v>31</v>
      </c>
      <c r="P74" s="18"/>
      <c r="Q74" s="18"/>
      <c r="R74" s="66">
        <v>6</v>
      </c>
      <c r="S74" s="18"/>
      <c r="T74" s="18"/>
      <c r="U74" s="6"/>
      <c r="V74" s="6"/>
      <c r="W74" s="18">
        <f t="shared" si="5"/>
        <v>0</v>
      </c>
      <c r="X74" s="118">
        <v>985500</v>
      </c>
      <c r="Y74" s="117">
        <v>1786892.01</v>
      </c>
      <c r="Z74" s="8">
        <f t="shared" si="6"/>
        <v>5913000</v>
      </c>
      <c r="AA74" s="8">
        <f t="shared" si="7"/>
        <v>0</v>
      </c>
      <c r="AB74" s="18"/>
    </row>
    <row r="75" spans="1:28" s="132" customFormat="1" x14ac:dyDescent="0.25">
      <c r="A75" s="55" t="s">
        <v>1264</v>
      </c>
      <c r="B75" s="55" t="s">
        <v>1265</v>
      </c>
      <c r="C75" s="55"/>
      <c r="D75" s="55"/>
      <c r="E75" s="55">
        <v>2</v>
      </c>
      <c r="F75" s="431">
        <v>2</v>
      </c>
      <c r="G75" s="92">
        <f>VLOOKUP(A75,'[1]yourspreadsheetname (1)'!$A$2:$C$968, 3, FALSE)</f>
        <v>0</v>
      </c>
      <c r="H75" s="55">
        <v>20</v>
      </c>
      <c r="I75" s="429"/>
      <c r="J75" s="250" t="s">
        <v>122</v>
      </c>
      <c r="K75" s="60">
        <v>756678</v>
      </c>
      <c r="L75" s="293"/>
      <c r="M75" s="55" t="s">
        <v>1266</v>
      </c>
      <c r="N75" s="135" t="s">
        <v>1217</v>
      </c>
      <c r="O75" s="18">
        <v>32</v>
      </c>
      <c r="P75" s="18"/>
      <c r="Q75" s="6"/>
      <c r="R75" s="66">
        <v>16</v>
      </c>
      <c r="S75" s="19"/>
      <c r="T75" s="66"/>
      <c r="U75" s="66"/>
      <c r="V75" s="66"/>
      <c r="W75" s="18">
        <f t="shared" si="5"/>
        <v>0</v>
      </c>
      <c r="X75" s="118">
        <v>135600</v>
      </c>
      <c r="Y75" s="117">
        <v>180414</v>
      </c>
      <c r="Z75" s="8">
        <f t="shared" si="6"/>
        <v>2169600</v>
      </c>
      <c r="AA75" s="8">
        <f t="shared" si="7"/>
        <v>0</v>
      </c>
      <c r="AB75" s="18"/>
    </row>
    <row r="76" spans="1:28" s="132" customFormat="1" x14ac:dyDescent="0.25">
      <c r="A76" s="18" t="s">
        <v>1267</v>
      </c>
      <c r="B76" s="18" t="s">
        <v>1268</v>
      </c>
      <c r="C76" s="12"/>
      <c r="D76" s="18"/>
      <c r="E76" s="18">
        <v>1</v>
      </c>
      <c r="F76" s="120">
        <v>3</v>
      </c>
      <c r="G76" s="54">
        <f>VLOOKUP(A76,'[1]yourspreadsheetname (1)'!$A$2:$C$968, 3, FALSE)</f>
        <v>0</v>
      </c>
      <c r="H76" s="66">
        <v>9</v>
      </c>
      <c r="I76" s="169"/>
      <c r="J76" s="173" t="s">
        <v>122</v>
      </c>
      <c r="K76" s="96">
        <v>756678</v>
      </c>
      <c r="L76" s="274"/>
      <c r="M76" s="66" t="s">
        <v>1266</v>
      </c>
      <c r="N76" s="135" t="s">
        <v>1217</v>
      </c>
      <c r="O76" s="18">
        <v>33</v>
      </c>
      <c r="P76" s="18" t="s">
        <v>1269</v>
      </c>
      <c r="Q76" s="6" t="s">
        <v>1980</v>
      </c>
      <c r="R76" s="66">
        <v>24</v>
      </c>
      <c r="S76" s="19"/>
      <c r="T76" s="63"/>
      <c r="U76" s="63">
        <v>24</v>
      </c>
      <c r="V76" s="63">
        <v>4</v>
      </c>
      <c r="W76" s="18">
        <f t="shared" si="5"/>
        <v>28</v>
      </c>
      <c r="X76" s="118">
        <v>489482.7</v>
      </c>
      <c r="Y76" s="117">
        <v>375863</v>
      </c>
      <c r="Z76" s="8">
        <f t="shared" si="6"/>
        <v>11747584.800000001</v>
      </c>
      <c r="AA76" s="8">
        <f t="shared" si="7"/>
        <v>10524164</v>
      </c>
      <c r="AB76" s="18"/>
    </row>
    <row r="77" spans="1:28" s="132" customFormat="1" x14ac:dyDescent="0.25">
      <c r="A77" s="55" t="s">
        <v>390</v>
      </c>
      <c r="B77" s="55" t="s">
        <v>391</v>
      </c>
      <c r="C77" s="55" t="s">
        <v>718</v>
      </c>
      <c r="D77" s="92">
        <v>300</v>
      </c>
      <c r="E77" s="92">
        <v>280</v>
      </c>
      <c r="F77" s="521">
        <v>400</v>
      </c>
      <c r="G77" s="92">
        <f>VLOOKUP(A77,'[1]yourspreadsheetname (1)'!$A$2:$C$968, 3, FALSE)</f>
        <v>300</v>
      </c>
      <c r="H77" s="55">
        <v>1800</v>
      </c>
      <c r="I77" s="429"/>
      <c r="J77" s="250" t="s">
        <v>122</v>
      </c>
      <c r="K77" s="60">
        <v>756678</v>
      </c>
      <c r="L77" s="293"/>
      <c r="M77" s="55" t="s">
        <v>894</v>
      </c>
      <c r="N77" s="135" t="s">
        <v>1217</v>
      </c>
      <c r="O77" s="18">
        <v>34</v>
      </c>
      <c r="P77" s="18"/>
      <c r="Q77" s="18"/>
      <c r="R77" s="66">
        <v>900</v>
      </c>
      <c r="S77" s="18"/>
      <c r="T77" s="18"/>
      <c r="U77" s="66"/>
      <c r="V77" s="66"/>
      <c r="W77" s="18">
        <f t="shared" si="5"/>
        <v>0</v>
      </c>
      <c r="X77" s="118">
        <v>798</v>
      </c>
      <c r="Y77" s="117">
        <v>1617.51</v>
      </c>
      <c r="Z77" s="8">
        <f t="shared" si="6"/>
        <v>718200</v>
      </c>
      <c r="AA77" s="8">
        <f t="shared" si="7"/>
        <v>0</v>
      </c>
      <c r="AB77" s="18"/>
    </row>
    <row r="78" spans="1:28" s="132" customFormat="1" x14ac:dyDescent="0.25">
      <c r="A78" s="55" t="s">
        <v>392</v>
      </c>
      <c r="B78" s="55" t="s">
        <v>393</v>
      </c>
      <c r="C78" s="55"/>
      <c r="D78" s="55">
        <v>300</v>
      </c>
      <c r="E78" s="55">
        <v>250</v>
      </c>
      <c r="F78" s="431">
        <v>250</v>
      </c>
      <c r="G78" s="92" t="e">
        <f>VLOOKUP(A78,'[1]yourspreadsheetname (1)'!$A$2:$C$968, 3, FALSE)</f>
        <v>#N/A</v>
      </c>
      <c r="H78" s="55">
        <v>1050</v>
      </c>
      <c r="I78" s="429">
        <v>0</v>
      </c>
      <c r="J78" s="250" t="s">
        <v>122</v>
      </c>
      <c r="K78" s="60">
        <v>756678</v>
      </c>
      <c r="L78" s="293"/>
      <c r="M78" s="55" t="s">
        <v>283</v>
      </c>
      <c r="N78" s="135" t="s">
        <v>1217</v>
      </c>
      <c r="O78" s="18">
        <v>35</v>
      </c>
      <c r="P78" s="18"/>
      <c r="Q78" s="6"/>
      <c r="R78" s="66">
        <v>1900</v>
      </c>
      <c r="S78" s="19"/>
      <c r="T78" s="66"/>
      <c r="U78" s="66"/>
      <c r="V78" s="66"/>
      <c r="W78" s="18">
        <f t="shared" si="5"/>
        <v>0</v>
      </c>
      <c r="X78" s="118">
        <v>625</v>
      </c>
      <c r="Y78" s="117">
        <v>910</v>
      </c>
      <c r="Z78" s="8">
        <f t="shared" si="6"/>
        <v>1187500</v>
      </c>
      <c r="AA78" s="8">
        <f t="shared" si="7"/>
        <v>0</v>
      </c>
      <c r="AB78" s="37"/>
    </row>
    <row r="79" spans="1:28" s="132" customFormat="1" x14ac:dyDescent="0.25">
      <c r="A79" s="55" t="s">
        <v>394</v>
      </c>
      <c r="B79" s="55" t="s">
        <v>395</v>
      </c>
      <c r="C79" s="55">
        <v>1500</v>
      </c>
      <c r="D79" s="55">
        <v>1450</v>
      </c>
      <c r="E79" s="55">
        <v>1000</v>
      </c>
      <c r="F79" s="521">
        <v>1200</v>
      </c>
      <c r="G79" s="92">
        <f>VLOOKUP(A79,'[1]yourspreadsheetname (1)'!$A$2:$C$968, 3, FALSE)</f>
        <v>1300</v>
      </c>
      <c r="H79" s="55">
        <v>6000</v>
      </c>
      <c r="I79" s="429"/>
      <c r="J79" s="250" t="s">
        <v>122</v>
      </c>
      <c r="K79" s="60">
        <v>756678</v>
      </c>
      <c r="L79" s="293"/>
      <c r="M79" s="55" t="s">
        <v>283</v>
      </c>
      <c r="N79" s="135" t="s">
        <v>1217</v>
      </c>
      <c r="O79" s="18">
        <v>36</v>
      </c>
      <c r="P79" s="18"/>
      <c r="Q79" s="18"/>
      <c r="R79" s="66">
        <v>5000</v>
      </c>
      <c r="S79" s="18"/>
      <c r="T79" s="18"/>
      <c r="U79" s="66"/>
      <c r="V79" s="66"/>
      <c r="W79" s="18">
        <f t="shared" si="5"/>
        <v>0</v>
      </c>
      <c r="X79" s="118">
        <v>270</v>
      </c>
      <c r="Y79" s="117">
        <v>414</v>
      </c>
      <c r="Z79" s="8">
        <f t="shared" si="6"/>
        <v>1350000</v>
      </c>
      <c r="AA79" s="8">
        <f t="shared" si="7"/>
        <v>0</v>
      </c>
      <c r="AB79" s="37"/>
    </row>
    <row r="80" spans="1:28" s="132" customFormat="1" x14ac:dyDescent="0.25">
      <c r="A80" s="18" t="s">
        <v>1270</v>
      </c>
      <c r="B80" s="6" t="s">
        <v>1271</v>
      </c>
      <c r="C80" s="6"/>
      <c r="D80" s="6"/>
      <c r="E80" s="6"/>
      <c r="F80" s="169">
        <v>3</v>
      </c>
      <c r="G80" s="54">
        <f>VLOOKUP(A80,'[1]yourspreadsheetname (1)'!$A$2:$C$968, 3, FALSE)</f>
        <v>7</v>
      </c>
      <c r="H80" s="66">
        <v>12</v>
      </c>
      <c r="I80" s="169">
        <v>12</v>
      </c>
      <c r="J80" s="173" t="s">
        <v>122</v>
      </c>
      <c r="K80" s="96">
        <v>756678</v>
      </c>
      <c r="L80" s="274"/>
      <c r="M80" s="66" t="s">
        <v>259</v>
      </c>
      <c r="N80" s="135" t="s">
        <v>1217</v>
      </c>
      <c r="O80" s="18">
        <v>37</v>
      </c>
      <c r="P80" s="18" t="s">
        <v>1238</v>
      </c>
      <c r="Q80" s="18"/>
      <c r="R80" s="66">
        <v>12</v>
      </c>
      <c r="S80" s="18"/>
      <c r="T80" s="6"/>
      <c r="U80" s="6">
        <v>12</v>
      </c>
      <c r="V80" s="6"/>
      <c r="W80" s="18">
        <f t="shared" si="5"/>
        <v>12</v>
      </c>
      <c r="X80" s="118">
        <v>7394869.4000000004</v>
      </c>
      <c r="Y80" s="117">
        <v>8420955</v>
      </c>
      <c r="Z80" s="8">
        <f t="shared" si="6"/>
        <v>88738432.800000012</v>
      </c>
      <c r="AA80" s="8">
        <f t="shared" si="7"/>
        <v>101051460</v>
      </c>
      <c r="AB80" s="37"/>
    </row>
    <row r="81" spans="1:28" s="132" customFormat="1" x14ac:dyDescent="0.25">
      <c r="A81" s="55" t="s">
        <v>175</v>
      </c>
      <c r="B81" s="55" t="s">
        <v>176</v>
      </c>
      <c r="C81" s="55"/>
      <c r="D81" s="55"/>
      <c r="E81" s="55">
        <v>10</v>
      </c>
      <c r="F81" s="429">
        <v>10</v>
      </c>
      <c r="G81" s="92">
        <f>VLOOKUP(A81,'[1]yourspreadsheetname (1)'!$A$2:$C$968, 3, FALSE)</f>
        <v>47</v>
      </c>
      <c r="H81" s="55">
        <v>40</v>
      </c>
      <c r="I81" s="429">
        <v>8</v>
      </c>
      <c r="J81" s="250" t="s">
        <v>122</v>
      </c>
      <c r="K81" s="60">
        <v>756678</v>
      </c>
      <c r="L81" s="293"/>
      <c r="M81" s="55" t="s">
        <v>263</v>
      </c>
      <c r="N81" s="135" t="s">
        <v>1217</v>
      </c>
      <c r="O81" s="18">
        <v>38</v>
      </c>
      <c r="P81" s="18"/>
      <c r="Q81" s="18"/>
      <c r="R81" s="66">
        <v>80</v>
      </c>
      <c r="S81" s="18"/>
      <c r="T81" s="63"/>
      <c r="U81" s="63"/>
      <c r="V81" s="63"/>
      <c r="W81" s="18">
        <f t="shared" si="5"/>
        <v>0</v>
      </c>
      <c r="X81" s="153">
        <v>305599</v>
      </c>
      <c r="Y81" s="117">
        <v>395490</v>
      </c>
      <c r="Z81" s="8">
        <f t="shared" si="6"/>
        <v>24447920</v>
      </c>
      <c r="AA81" s="8">
        <f t="shared" si="7"/>
        <v>0</v>
      </c>
      <c r="AB81" s="37"/>
    </row>
    <row r="82" spans="1:28" s="132" customFormat="1" x14ac:dyDescent="0.25">
      <c r="A82" s="55" t="s">
        <v>529</v>
      </c>
      <c r="B82" s="55" t="s">
        <v>530</v>
      </c>
      <c r="C82" s="55">
        <v>7</v>
      </c>
      <c r="D82" s="55"/>
      <c r="E82" s="55">
        <v>6</v>
      </c>
      <c r="F82" s="429">
        <v>6</v>
      </c>
      <c r="G82" s="92">
        <f>VLOOKUP(A82,'[1]yourspreadsheetname (1)'!$A$2:$C$968, 3, FALSE)</f>
        <v>0</v>
      </c>
      <c r="H82" s="55">
        <v>36</v>
      </c>
      <c r="I82" s="429"/>
      <c r="J82" s="250" t="s">
        <v>122</v>
      </c>
      <c r="K82" s="60">
        <v>756678</v>
      </c>
      <c r="L82" s="293"/>
      <c r="M82" s="55" t="s">
        <v>285</v>
      </c>
      <c r="N82" s="135" t="s">
        <v>1217</v>
      </c>
      <c r="O82" s="18">
        <v>39</v>
      </c>
      <c r="P82" s="18"/>
      <c r="Q82" s="18"/>
      <c r="R82" s="66">
        <v>36</v>
      </c>
      <c r="S82" s="18"/>
      <c r="T82" s="66"/>
      <c r="U82" s="66"/>
      <c r="V82" s="66"/>
      <c r="W82" s="18">
        <f t="shared" si="5"/>
        <v>0</v>
      </c>
      <c r="X82" s="118">
        <v>1249</v>
      </c>
      <c r="Y82" s="117">
        <v>1486.95</v>
      </c>
      <c r="Z82" s="8">
        <f t="shared" si="6"/>
        <v>44964</v>
      </c>
      <c r="AA82" s="8">
        <f t="shared" si="7"/>
        <v>0</v>
      </c>
      <c r="AB82" s="37"/>
    </row>
    <row r="83" spans="1:28" s="132" customFormat="1" x14ac:dyDescent="0.25">
      <c r="A83" s="522" t="s">
        <v>531</v>
      </c>
      <c r="B83" s="243" t="s">
        <v>532</v>
      </c>
      <c r="C83" s="251"/>
      <c r="D83" s="251"/>
      <c r="E83" s="251"/>
      <c r="F83" s="523"/>
      <c r="G83" s="92">
        <f>VLOOKUP(A83,'[1]yourspreadsheetname (1)'!$A$2:$C$968, 3, FALSE)</f>
        <v>0</v>
      </c>
      <c r="H83" s="251"/>
      <c r="I83" s="524"/>
      <c r="J83" s="251"/>
      <c r="K83" s="60">
        <v>756678</v>
      </c>
      <c r="L83" s="525"/>
      <c r="M83" s="522" t="s">
        <v>285</v>
      </c>
      <c r="N83" s="135" t="s">
        <v>1217</v>
      </c>
      <c r="O83" s="77">
        <v>40</v>
      </c>
      <c r="P83" s="171"/>
      <c r="Q83" s="77"/>
      <c r="R83" s="77">
        <v>180</v>
      </c>
      <c r="S83" s="77"/>
      <c r="T83" s="77"/>
      <c r="U83" s="77"/>
      <c r="V83" s="31"/>
      <c r="W83" s="18">
        <f t="shared" si="5"/>
        <v>0</v>
      </c>
      <c r="X83" s="265">
        <v>7078</v>
      </c>
      <c r="Y83" s="36">
        <v>9177.5</v>
      </c>
      <c r="Z83" s="8">
        <f t="shared" si="6"/>
        <v>1274040</v>
      </c>
      <c r="AA83" s="8">
        <f t="shared" si="7"/>
        <v>0</v>
      </c>
      <c r="AB83" s="37"/>
    </row>
    <row r="84" spans="1:28" s="132" customFormat="1" x14ac:dyDescent="0.25">
      <c r="A84" s="18" t="s">
        <v>1272</v>
      </c>
      <c r="B84" s="12" t="s">
        <v>1273</v>
      </c>
      <c r="C84" s="6">
        <v>100</v>
      </c>
      <c r="D84" s="18">
        <v>65</v>
      </c>
      <c r="E84" s="18">
        <v>300</v>
      </c>
      <c r="F84" s="106">
        <v>250</v>
      </c>
      <c r="G84" s="54">
        <f>VLOOKUP(A84,'[1]yourspreadsheetname (1)'!$A$2:$C$968, 3, FALSE)</f>
        <v>960</v>
      </c>
      <c r="H84" s="66">
        <v>3000</v>
      </c>
      <c r="I84" s="169"/>
      <c r="J84" s="173" t="s">
        <v>122</v>
      </c>
      <c r="K84" s="96">
        <v>756678</v>
      </c>
      <c r="L84" s="274"/>
      <c r="M84" s="66" t="s">
        <v>263</v>
      </c>
      <c r="N84" s="135" t="s">
        <v>1217</v>
      </c>
      <c r="O84" s="18">
        <v>41</v>
      </c>
      <c r="P84" s="18" t="s">
        <v>1220</v>
      </c>
      <c r="Q84" s="18" t="s">
        <v>1981</v>
      </c>
      <c r="R84" s="66">
        <v>1500</v>
      </c>
      <c r="S84" s="18"/>
      <c r="T84" s="66"/>
      <c r="U84" s="66">
        <v>1500</v>
      </c>
      <c r="V84" s="63">
        <v>750</v>
      </c>
      <c r="W84" s="18">
        <f t="shared" si="5"/>
        <v>2250</v>
      </c>
      <c r="X84" s="118">
        <v>1400</v>
      </c>
      <c r="Y84" s="117">
        <v>1699.86</v>
      </c>
      <c r="Z84" s="8">
        <f t="shared" si="6"/>
        <v>2100000</v>
      </c>
      <c r="AA84" s="8">
        <f t="shared" si="7"/>
        <v>3824685</v>
      </c>
      <c r="AB84" s="37"/>
    </row>
    <row r="85" spans="1:28" s="132" customFormat="1" x14ac:dyDescent="0.25">
      <c r="A85" s="18" t="s">
        <v>160</v>
      </c>
      <c r="B85" s="18" t="s">
        <v>1274</v>
      </c>
      <c r="C85" s="18"/>
      <c r="D85" s="18"/>
      <c r="E85" s="18">
        <v>120</v>
      </c>
      <c r="F85" s="333">
        <v>125</v>
      </c>
      <c r="G85" s="54">
        <f>VLOOKUP(A85,'[1]yourspreadsheetname (1)'!$A$2:$C$968, 3, FALSE)</f>
        <v>640</v>
      </c>
      <c r="H85" s="66">
        <v>700</v>
      </c>
      <c r="I85" s="169"/>
      <c r="J85" s="173" t="s">
        <v>122</v>
      </c>
      <c r="K85" s="96">
        <v>756678</v>
      </c>
      <c r="L85" s="274"/>
      <c r="M85" s="66" t="s">
        <v>263</v>
      </c>
      <c r="N85" s="135" t="s">
        <v>1217</v>
      </c>
      <c r="O85" s="18">
        <v>42</v>
      </c>
      <c r="P85" s="18" t="s">
        <v>1220</v>
      </c>
      <c r="Q85" s="18" t="s">
        <v>1981</v>
      </c>
      <c r="R85" s="66">
        <v>650</v>
      </c>
      <c r="S85" s="18"/>
      <c r="T85" s="18"/>
      <c r="U85" s="66">
        <v>650</v>
      </c>
      <c r="V85" s="66">
        <v>130</v>
      </c>
      <c r="W85" s="18">
        <f t="shared" si="5"/>
        <v>780</v>
      </c>
      <c r="X85" s="118">
        <v>9850</v>
      </c>
      <c r="Y85" s="117">
        <v>11351.35</v>
      </c>
      <c r="Z85" s="8">
        <f t="shared" si="6"/>
        <v>6402500</v>
      </c>
      <c r="AA85" s="8">
        <f t="shared" si="7"/>
        <v>8854053</v>
      </c>
      <c r="AB85" s="37"/>
    </row>
    <row r="86" spans="1:28" s="116" customFormat="1" x14ac:dyDescent="0.25">
      <c r="A86" s="18" t="s">
        <v>1275</v>
      </c>
      <c r="B86" s="18" t="s">
        <v>1276</v>
      </c>
      <c r="C86" s="18"/>
      <c r="D86" s="18"/>
      <c r="E86" s="18">
        <v>150</v>
      </c>
      <c r="F86" s="106">
        <v>250</v>
      </c>
      <c r="G86" s="54">
        <f>VLOOKUP(A86,'[1]yourspreadsheetname (1)'!$A$2:$C$968, 3, FALSE)</f>
        <v>500</v>
      </c>
      <c r="H86" s="66">
        <v>1600</v>
      </c>
      <c r="I86" s="169"/>
      <c r="J86" s="173" t="s">
        <v>122</v>
      </c>
      <c r="K86" s="96">
        <v>756678</v>
      </c>
      <c r="L86" s="274"/>
      <c r="M86" s="66" t="s">
        <v>259</v>
      </c>
      <c r="N86" s="135" t="s">
        <v>1217</v>
      </c>
      <c r="O86" s="18">
        <v>43</v>
      </c>
      <c r="P86" s="18" t="s">
        <v>1238</v>
      </c>
      <c r="Q86" s="18" t="s">
        <v>1982</v>
      </c>
      <c r="R86" s="66">
        <v>1600</v>
      </c>
      <c r="S86" s="18"/>
      <c r="T86" s="66"/>
      <c r="U86" s="66">
        <v>1600</v>
      </c>
      <c r="V86" s="66">
        <v>1400</v>
      </c>
      <c r="W86" s="18">
        <f t="shared" si="5"/>
        <v>3000</v>
      </c>
      <c r="X86" s="118">
        <v>1276.8</v>
      </c>
      <c r="Y86" s="117">
        <v>1645</v>
      </c>
      <c r="Z86" s="8">
        <f t="shared" si="6"/>
        <v>2042880</v>
      </c>
      <c r="AA86" s="8">
        <f t="shared" si="7"/>
        <v>4935000</v>
      </c>
      <c r="AB86" s="37"/>
    </row>
    <row r="87" spans="1:28" s="132" customFormat="1" ht="26.25" customHeight="1" x14ac:dyDescent="0.25">
      <c r="A87" s="60" t="s">
        <v>533</v>
      </c>
      <c r="B87" s="60" t="s">
        <v>534</v>
      </c>
      <c r="C87" s="60">
        <v>30</v>
      </c>
      <c r="D87" s="243"/>
      <c r="E87" s="243">
        <v>2</v>
      </c>
      <c r="F87" s="429"/>
      <c r="G87" s="92">
        <f>VLOOKUP(A87,'[1]yourspreadsheetname (1)'!$A$2:$C$968, 3, FALSE)</f>
        <v>0</v>
      </c>
      <c r="H87" s="55">
        <v>10</v>
      </c>
      <c r="I87" s="429"/>
      <c r="J87" s="250" t="s">
        <v>122</v>
      </c>
      <c r="K87" s="60">
        <v>756678</v>
      </c>
      <c r="L87" s="293"/>
      <c r="M87" s="55" t="s">
        <v>285</v>
      </c>
      <c r="N87" s="135" t="s">
        <v>1217</v>
      </c>
      <c r="O87" s="18">
        <v>44</v>
      </c>
      <c r="P87" s="18"/>
      <c r="Q87" s="18"/>
      <c r="R87" s="66">
        <v>12</v>
      </c>
      <c r="S87" s="18"/>
      <c r="T87" s="63"/>
      <c r="U87" s="63"/>
      <c r="V87" s="63"/>
      <c r="W87" s="18">
        <f t="shared" si="5"/>
        <v>0</v>
      </c>
      <c r="X87" s="118">
        <v>182.26</v>
      </c>
      <c r="Y87" s="117">
        <v>174.7</v>
      </c>
      <c r="Z87" s="8">
        <f t="shared" si="6"/>
        <v>2187.12</v>
      </c>
      <c r="AA87" s="8">
        <f t="shared" si="7"/>
        <v>0</v>
      </c>
      <c r="AB87" s="37"/>
    </row>
    <row r="88" spans="1:28" s="132" customFormat="1" x14ac:dyDescent="0.25">
      <c r="A88" s="539" t="s">
        <v>275</v>
      </c>
      <c r="B88" s="55" t="s">
        <v>276</v>
      </c>
      <c r="C88" s="55"/>
      <c r="D88" s="55"/>
      <c r="E88" s="55">
        <v>10</v>
      </c>
      <c r="F88" s="521"/>
      <c r="G88" s="92">
        <f>VLOOKUP(A88,'[1]yourspreadsheetname (1)'!$A$2:$C$968, 3, FALSE)</f>
        <v>0</v>
      </c>
      <c r="H88" s="55">
        <v>50</v>
      </c>
      <c r="I88" s="429"/>
      <c r="J88" s="250" t="s">
        <v>122</v>
      </c>
      <c r="K88" s="60">
        <v>756678</v>
      </c>
      <c r="L88" s="293"/>
      <c r="M88" s="55" t="s">
        <v>894</v>
      </c>
      <c r="N88" s="135" t="s">
        <v>1217</v>
      </c>
      <c r="O88" s="18">
        <v>45</v>
      </c>
      <c r="P88" s="18"/>
      <c r="Q88" s="18"/>
      <c r="R88" s="66">
        <v>50</v>
      </c>
      <c r="S88" s="18"/>
      <c r="T88" s="18"/>
      <c r="U88" s="66"/>
      <c r="V88" s="54"/>
      <c r="W88" s="18">
        <f t="shared" si="5"/>
        <v>0</v>
      </c>
      <c r="X88" s="118">
        <v>686.73</v>
      </c>
      <c r="Y88" s="117">
        <v>1250.01</v>
      </c>
      <c r="Z88" s="8">
        <f t="shared" si="6"/>
        <v>34336.5</v>
      </c>
      <c r="AA88" s="8">
        <f t="shared" si="7"/>
        <v>0</v>
      </c>
      <c r="AB88" s="37"/>
    </row>
    <row r="89" spans="1:28" s="132" customFormat="1" x14ac:dyDescent="0.25">
      <c r="A89" s="18" t="s">
        <v>1277</v>
      </c>
      <c r="B89" s="18" t="s">
        <v>1278</v>
      </c>
      <c r="C89" s="18"/>
      <c r="D89" s="18">
        <v>100</v>
      </c>
      <c r="E89" s="18">
        <v>300</v>
      </c>
      <c r="F89" s="106">
        <v>300</v>
      </c>
      <c r="G89" s="54">
        <f>VLOOKUP(A89,'[1]yourspreadsheetname (1)'!$A$2:$C$968, 3, FALSE)</f>
        <v>1300</v>
      </c>
      <c r="H89" s="66">
        <v>3200</v>
      </c>
      <c r="I89" s="169"/>
      <c r="J89" s="173" t="s">
        <v>122</v>
      </c>
      <c r="K89" s="96">
        <v>756678</v>
      </c>
      <c r="L89" s="274"/>
      <c r="M89" s="66" t="s">
        <v>259</v>
      </c>
      <c r="N89" s="135" t="s">
        <v>1217</v>
      </c>
      <c r="O89" s="18">
        <v>46</v>
      </c>
      <c r="P89" s="18" t="s">
        <v>1238</v>
      </c>
      <c r="Q89" s="18" t="s">
        <v>1982</v>
      </c>
      <c r="R89" s="66">
        <f>((F89*15)-G89-I89)/2</f>
        <v>1600</v>
      </c>
      <c r="S89" s="18"/>
      <c r="T89" s="66"/>
      <c r="U89" s="66">
        <v>1600</v>
      </c>
      <c r="V89" s="66">
        <v>400</v>
      </c>
      <c r="W89" s="18">
        <f t="shared" si="5"/>
        <v>2000</v>
      </c>
      <c r="X89" s="117">
        <v>990</v>
      </c>
      <c r="Y89" s="117">
        <v>1753.97</v>
      </c>
      <c r="Z89" s="8">
        <f t="shared" si="6"/>
        <v>1584000</v>
      </c>
      <c r="AA89" s="8">
        <f t="shared" si="7"/>
        <v>3507940</v>
      </c>
      <c r="AB89" s="37"/>
    </row>
    <row r="90" spans="1:28" s="132" customFormat="1" x14ac:dyDescent="0.25">
      <c r="A90" s="18" t="s">
        <v>1279</v>
      </c>
      <c r="B90" s="18" t="s">
        <v>1280</v>
      </c>
      <c r="C90" s="18">
        <v>1</v>
      </c>
      <c r="D90" s="6">
        <v>2</v>
      </c>
      <c r="E90" s="6">
        <v>4</v>
      </c>
      <c r="F90" s="106">
        <v>0</v>
      </c>
      <c r="G90" s="54">
        <f>VLOOKUP(A90,'[1]yourspreadsheetname (1)'!$A$2:$C$968, 3, FALSE)</f>
        <v>0</v>
      </c>
      <c r="H90" s="66">
        <v>32</v>
      </c>
      <c r="I90" s="169"/>
      <c r="J90" s="173" t="s">
        <v>122</v>
      </c>
      <c r="K90" s="66"/>
      <c r="L90" s="274"/>
      <c r="M90" s="66"/>
      <c r="N90" s="21"/>
      <c r="O90" s="18"/>
      <c r="P90" s="321"/>
      <c r="Q90" s="18"/>
      <c r="R90" s="66">
        <f>((F90*15)-G90-I90)/2</f>
        <v>0</v>
      </c>
      <c r="S90" s="18"/>
      <c r="T90" s="96"/>
      <c r="U90" s="63"/>
      <c r="V90" s="63"/>
      <c r="W90" s="18">
        <f t="shared" si="5"/>
        <v>0</v>
      </c>
      <c r="X90" s="118">
        <v>225</v>
      </c>
      <c r="Y90" s="117">
        <v>213.2</v>
      </c>
      <c r="Z90" s="8">
        <f t="shared" si="6"/>
        <v>0</v>
      </c>
      <c r="AA90" s="8">
        <f t="shared" si="7"/>
        <v>0</v>
      </c>
      <c r="AB90" s="37"/>
    </row>
    <row r="91" spans="1:28" s="132" customFormat="1" x14ac:dyDescent="0.25">
      <c r="A91" s="286" t="s">
        <v>1281</v>
      </c>
      <c r="B91" s="18" t="s">
        <v>1282</v>
      </c>
      <c r="C91" s="31"/>
      <c r="D91" s="31"/>
      <c r="E91" s="76">
        <v>0.6</v>
      </c>
      <c r="F91" s="106">
        <v>0</v>
      </c>
      <c r="G91" s="54">
        <f>VLOOKUP(A91,'[1]yourspreadsheetname (1)'!$A$2:$C$968, 3, FALSE)</f>
        <v>10</v>
      </c>
      <c r="H91" s="66">
        <v>4</v>
      </c>
      <c r="I91" s="169"/>
      <c r="J91" s="173" t="s">
        <v>122</v>
      </c>
      <c r="K91" s="66"/>
      <c r="L91" s="274"/>
      <c r="M91" s="66"/>
      <c r="N91" s="18"/>
      <c r="O91" s="18"/>
      <c r="P91" s="6"/>
      <c r="Q91" s="18"/>
      <c r="R91" s="66">
        <v>0</v>
      </c>
      <c r="S91" s="18"/>
      <c r="T91" s="173"/>
      <c r="U91" s="68"/>
      <c r="V91" s="170"/>
      <c r="W91" s="18">
        <f t="shared" si="5"/>
        <v>0</v>
      </c>
      <c r="X91" s="118"/>
      <c r="Y91" s="117"/>
      <c r="Z91" s="8">
        <f t="shared" si="6"/>
        <v>0</v>
      </c>
      <c r="AA91" s="8">
        <f t="shared" si="7"/>
        <v>0</v>
      </c>
      <c r="AB91" s="37"/>
    </row>
    <row r="92" spans="1:28" s="132" customFormat="1" x14ac:dyDescent="0.25">
      <c r="A92" s="18" t="s">
        <v>1283</v>
      </c>
      <c r="B92" s="18" t="s">
        <v>1284</v>
      </c>
      <c r="C92" s="12"/>
      <c r="D92" s="18">
        <v>0</v>
      </c>
      <c r="E92" s="18">
        <v>24</v>
      </c>
      <c r="F92" s="353">
        <v>0</v>
      </c>
      <c r="G92" s="54">
        <v>0</v>
      </c>
      <c r="H92" s="66">
        <v>0</v>
      </c>
      <c r="I92" s="340"/>
      <c r="J92" s="173" t="s">
        <v>122</v>
      </c>
      <c r="K92" s="66"/>
      <c r="L92" s="341"/>
      <c r="M92" s="323"/>
      <c r="N92" s="135"/>
      <c r="O92" s="18"/>
      <c r="P92" s="18"/>
      <c r="Q92" s="74"/>
      <c r="R92" s="66">
        <f t="shared" ref="R92:R99" si="8">((F92*15)-G92-I92)/2</f>
        <v>0</v>
      </c>
      <c r="S92" s="29"/>
      <c r="T92" s="63"/>
      <c r="U92" s="63"/>
      <c r="V92" s="63"/>
      <c r="W92" s="18">
        <f t="shared" si="5"/>
        <v>0</v>
      </c>
      <c r="X92" s="155">
        <v>569</v>
      </c>
      <c r="Y92" s="162">
        <v>393</v>
      </c>
      <c r="Z92" s="8">
        <f t="shared" si="6"/>
        <v>0</v>
      </c>
      <c r="AA92" s="8">
        <f t="shared" si="7"/>
        <v>0</v>
      </c>
      <c r="AB92" s="37"/>
    </row>
    <row r="93" spans="1:28" s="132" customFormat="1" x14ac:dyDescent="0.25">
      <c r="A93" s="18" t="s">
        <v>1285</v>
      </c>
      <c r="B93" s="18" t="s">
        <v>1286</v>
      </c>
      <c r="C93" s="18">
        <v>20</v>
      </c>
      <c r="D93" s="18">
        <v>0</v>
      </c>
      <c r="E93" s="18">
        <v>10</v>
      </c>
      <c r="F93" s="106"/>
      <c r="G93" s="54">
        <f>VLOOKUP(A93,'[1]yourspreadsheetname (1)'!$A$2:$C$968, 3, FALSE)</f>
        <v>0</v>
      </c>
      <c r="H93" s="66">
        <v>50</v>
      </c>
      <c r="I93" s="169"/>
      <c r="J93" s="173" t="s">
        <v>122</v>
      </c>
      <c r="K93" s="66"/>
      <c r="L93" s="274"/>
      <c r="M93" s="323"/>
      <c r="N93" s="21"/>
      <c r="O93" s="18"/>
      <c r="P93" s="18"/>
      <c r="Q93" s="18"/>
      <c r="R93" s="66">
        <f t="shared" si="8"/>
        <v>0</v>
      </c>
      <c r="S93" s="18"/>
      <c r="T93" s="63"/>
      <c r="U93" s="63"/>
      <c r="V93" s="63"/>
      <c r="W93" s="18">
        <f t="shared" si="5"/>
        <v>0</v>
      </c>
      <c r="X93" s="153">
        <v>239.13</v>
      </c>
      <c r="Y93" s="117">
        <v>215.83</v>
      </c>
      <c r="Z93" s="8">
        <f t="shared" si="6"/>
        <v>0</v>
      </c>
      <c r="AA93" s="8">
        <f t="shared" si="7"/>
        <v>0</v>
      </c>
      <c r="AB93" s="37"/>
    </row>
    <row r="94" spans="1:28" s="116" customFormat="1" x14ac:dyDescent="0.25">
      <c r="A94" s="18" t="s">
        <v>1287</v>
      </c>
      <c r="B94" s="18" t="s">
        <v>1288</v>
      </c>
      <c r="C94" s="18"/>
      <c r="D94" s="18"/>
      <c r="E94" s="18"/>
      <c r="F94" s="106">
        <v>0</v>
      </c>
      <c r="G94" s="54">
        <v>0</v>
      </c>
      <c r="H94" s="66">
        <v>0</v>
      </c>
      <c r="I94" s="169"/>
      <c r="J94" s="173" t="s">
        <v>122</v>
      </c>
      <c r="K94" s="66"/>
      <c r="L94" s="274"/>
      <c r="M94" s="66"/>
      <c r="N94" s="18"/>
      <c r="O94" s="18"/>
      <c r="P94" s="24"/>
      <c r="Q94" s="6"/>
      <c r="R94" s="66">
        <f t="shared" si="8"/>
        <v>0</v>
      </c>
      <c r="S94" s="18"/>
      <c r="T94" s="66"/>
      <c r="U94" s="66"/>
      <c r="V94" s="66"/>
      <c r="W94" s="18">
        <f t="shared" si="5"/>
        <v>0</v>
      </c>
      <c r="X94" s="118"/>
      <c r="Y94" s="117"/>
      <c r="Z94" s="8">
        <f t="shared" si="6"/>
        <v>0</v>
      </c>
      <c r="AA94" s="8">
        <f t="shared" si="7"/>
        <v>0</v>
      </c>
      <c r="AB94" s="37"/>
    </row>
    <row r="95" spans="1:28" s="116" customFormat="1" x14ac:dyDescent="0.25">
      <c r="A95" s="18" t="s">
        <v>1289</v>
      </c>
      <c r="B95" s="6" t="s">
        <v>1290</v>
      </c>
      <c r="C95" s="6"/>
      <c r="D95" s="18"/>
      <c r="E95" s="18">
        <v>0</v>
      </c>
      <c r="F95" s="352">
        <v>0</v>
      </c>
      <c r="G95" s="54">
        <f>VLOOKUP(A95,'[1]yourspreadsheetname (1)'!$A$2:$C$968, 3, FALSE)</f>
        <v>0</v>
      </c>
      <c r="H95" s="66">
        <v>0</v>
      </c>
      <c r="I95" s="169"/>
      <c r="J95" s="173" t="s">
        <v>122</v>
      </c>
      <c r="K95" s="66"/>
      <c r="L95" s="274"/>
      <c r="M95" s="66"/>
      <c r="N95" s="13"/>
      <c r="O95" s="18"/>
      <c r="P95" s="18"/>
      <c r="Q95" s="18"/>
      <c r="R95" s="66">
        <f t="shared" si="8"/>
        <v>0</v>
      </c>
      <c r="S95" s="18"/>
      <c r="T95" s="66"/>
      <c r="U95" s="66"/>
      <c r="V95" s="66"/>
      <c r="W95" s="18">
        <f t="shared" si="5"/>
        <v>0</v>
      </c>
      <c r="X95" s="118"/>
      <c r="Y95" s="117"/>
      <c r="Z95" s="8">
        <f t="shared" si="6"/>
        <v>0</v>
      </c>
      <c r="AA95" s="8">
        <f t="shared" si="7"/>
        <v>0</v>
      </c>
      <c r="AB95" s="37"/>
    </row>
    <row r="96" spans="1:28" s="116" customFormat="1" x14ac:dyDescent="0.25">
      <c r="A96" s="18"/>
      <c r="B96" s="18" t="s">
        <v>1291</v>
      </c>
      <c r="C96" s="18"/>
      <c r="D96" s="18"/>
      <c r="E96" s="18">
        <v>0</v>
      </c>
      <c r="F96" s="333">
        <v>0</v>
      </c>
      <c r="G96" s="54">
        <v>0</v>
      </c>
      <c r="H96" s="66">
        <v>0</v>
      </c>
      <c r="I96" s="169"/>
      <c r="J96" s="173" t="s">
        <v>122</v>
      </c>
      <c r="K96" s="66"/>
      <c r="L96" s="274"/>
      <c r="M96" s="66"/>
      <c r="N96" s="13"/>
      <c r="O96" s="18"/>
      <c r="P96" s="18"/>
      <c r="Q96" s="18"/>
      <c r="R96" s="66">
        <f t="shared" si="8"/>
        <v>0</v>
      </c>
      <c r="S96" s="18"/>
      <c r="T96" s="63"/>
      <c r="U96" s="63"/>
      <c r="V96" s="63"/>
      <c r="W96" s="18">
        <f t="shared" si="5"/>
        <v>0</v>
      </c>
      <c r="X96" s="118"/>
      <c r="Y96" s="117"/>
      <c r="Z96" s="8">
        <f t="shared" si="6"/>
        <v>0</v>
      </c>
      <c r="AA96" s="8">
        <f t="shared" si="7"/>
        <v>0</v>
      </c>
      <c r="AB96" s="37"/>
    </row>
    <row r="97" spans="1:28" s="116" customFormat="1" x14ac:dyDescent="0.25">
      <c r="A97" s="18"/>
      <c r="B97" s="12" t="s">
        <v>1292</v>
      </c>
      <c r="C97" s="12"/>
      <c r="D97" s="18"/>
      <c r="E97" s="18">
        <v>0</v>
      </c>
      <c r="F97" s="333">
        <v>0</v>
      </c>
      <c r="G97" s="54">
        <v>0</v>
      </c>
      <c r="H97" s="66">
        <v>0</v>
      </c>
      <c r="I97" s="169"/>
      <c r="J97" s="173" t="s">
        <v>122</v>
      </c>
      <c r="K97" s="66"/>
      <c r="L97" s="274"/>
      <c r="M97" s="66"/>
      <c r="N97" s="13"/>
      <c r="O97" s="18"/>
      <c r="P97" s="18"/>
      <c r="Q97" s="18"/>
      <c r="R97" s="66">
        <f t="shared" si="8"/>
        <v>0</v>
      </c>
      <c r="S97" s="18"/>
      <c r="T97" s="66"/>
      <c r="U97" s="66"/>
      <c r="V97" s="66"/>
      <c r="W97" s="18">
        <f t="shared" si="5"/>
        <v>0</v>
      </c>
      <c r="X97" s="118"/>
      <c r="Y97" s="117"/>
      <c r="Z97" s="8">
        <f t="shared" si="6"/>
        <v>0</v>
      </c>
      <c r="AA97" s="8">
        <f t="shared" si="7"/>
        <v>0</v>
      </c>
      <c r="AB97" s="37"/>
    </row>
    <row r="98" spans="1:28" s="116" customFormat="1" x14ac:dyDescent="0.25">
      <c r="A98" s="6" t="s">
        <v>1293</v>
      </c>
      <c r="B98" s="6" t="s">
        <v>1294</v>
      </c>
      <c r="C98" s="6">
        <v>5</v>
      </c>
      <c r="D98" s="6"/>
      <c r="E98" s="6">
        <v>0</v>
      </c>
      <c r="F98" s="333">
        <v>0</v>
      </c>
      <c r="G98" s="54">
        <v>0</v>
      </c>
      <c r="H98" s="66">
        <v>0</v>
      </c>
      <c r="I98" s="169"/>
      <c r="J98" s="173" t="s">
        <v>122</v>
      </c>
      <c r="K98" s="66"/>
      <c r="L98" s="274"/>
      <c r="M98" s="66"/>
      <c r="N98" s="13"/>
      <c r="O98" s="18"/>
      <c r="P98" s="18"/>
      <c r="Q98" s="18"/>
      <c r="R98" s="66">
        <f t="shared" si="8"/>
        <v>0</v>
      </c>
      <c r="S98" s="18"/>
      <c r="T98" s="63"/>
      <c r="U98" s="63"/>
      <c r="V98" s="63"/>
      <c r="W98" s="18">
        <f t="shared" si="5"/>
        <v>0</v>
      </c>
      <c r="X98" s="118"/>
      <c r="Y98" s="117"/>
      <c r="Z98" s="8">
        <f t="shared" si="6"/>
        <v>0</v>
      </c>
      <c r="AA98" s="8">
        <f t="shared" si="7"/>
        <v>0</v>
      </c>
      <c r="AB98" s="37"/>
    </row>
    <row r="99" spans="1:28" s="116" customFormat="1" x14ac:dyDescent="0.25">
      <c r="A99" s="135" t="s">
        <v>1295</v>
      </c>
      <c r="B99" s="13" t="s">
        <v>1296</v>
      </c>
      <c r="C99" s="13"/>
      <c r="D99" s="18"/>
      <c r="E99" s="18">
        <v>0</v>
      </c>
      <c r="F99" s="333">
        <v>0</v>
      </c>
      <c r="G99" s="54">
        <v>0</v>
      </c>
      <c r="H99" s="66">
        <v>0</v>
      </c>
      <c r="I99" s="169"/>
      <c r="J99" s="173" t="s">
        <v>122</v>
      </c>
      <c r="K99" s="66"/>
      <c r="L99" s="274"/>
      <c r="M99" s="66"/>
      <c r="N99" s="13"/>
      <c r="O99" s="18"/>
      <c r="P99" s="18"/>
      <c r="Q99" s="18"/>
      <c r="R99" s="66">
        <f t="shared" si="8"/>
        <v>0</v>
      </c>
      <c r="S99" s="18"/>
      <c r="T99" s="18"/>
      <c r="U99" s="63"/>
      <c r="V99" s="63"/>
      <c r="W99" s="18">
        <f t="shared" ref="W99:W106" si="9">U99+V99</f>
        <v>0</v>
      </c>
      <c r="X99" s="118"/>
      <c r="Y99" s="117"/>
      <c r="Z99" s="8">
        <f t="shared" ref="Z99:Z106" si="10">R99*X99</f>
        <v>0</v>
      </c>
      <c r="AA99" s="8">
        <f t="shared" si="7"/>
        <v>0</v>
      </c>
      <c r="AB99" s="37"/>
    </row>
    <row r="100" spans="1:28" s="116" customFormat="1" x14ac:dyDescent="0.25">
      <c r="A100" s="18" t="s">
        <v>1297</v>
      </c>
      <c r="B100" s="12" t="s">
        <v>1298</v>
      </c>
      <c r="C100" s="18"/>
      <c r="D100" s="18"/>
      <c r="E100" s="18">
        <v>4</v>
      </c>
      <c r="F100" s="106">
        <v>4</v>
      </c>
      <c r="G100" s="54">
        <f>VLOOKUP(A100,'[1]yourspreadsheetname (1)'!$A$2:$C$968, 3, FALSE)</f>
        <v>50</v>
      </c>
      <c r="H100" s="66">
        <v>30</v>
      </c>
      <c r="I100" s="169">
        <v>6</v>
      </c>
      <c r="J100" s="173" t="s">
        <v>122</v>
      </c>
      <c r="K100" s="66"/>
      <c r="L100" s="274"/>
      <c r="M100" s="68"/>
      <c r="N100" s="18"/>
      <c r="O100" s="12"/>
      <c r="P100" s="18"/>
      <c r="Q100" s="18"/>
      <c r="R100" s="66">
        <v>0</v>
      </c>
      <c r="S100" s="18"/>
      <c r="T100" s="63"/>
      <c r="U100" s="63"/>
      <c r="V100" s="63"/>
      <c r="W100" s="18">
        <f t="shared" si="9"/>
        <v>0</v>
      </c>
      <c r="X100" s="152"/>
      <c r="Y100" s="153"/>
      <c r="Z100" s="8">
        <f t="shared" si="10"/>
        <v>0</v>
      </c>
      <c r="AA100" s="8">
        <f t="shared" si="7"/>
        <v>0</v>
      </c>
      <c r="AB100" s="279"/>
    </row>
    <row r="101" spans="1:28" s="116" customFormat="1" x14ac:dyDescent="0.25">
      <c r="A101" s="287" t="s">
        <v>1299</v>
      </c>
      <c r="B101" s="12" t="s">
        <v>1300</v>
      </c>
      <c r="C101" s="12"/>
      <c r="D101" s="18"/>
      <c r="E101" s="18">
        <v>0</v>
      </c>
      <c r="F101" s="333">
        <v>0</v>
      </c>
      <c r="G101" s="54">
        <f>VLOOKUP(A101,'[1]yourspreadsheetname (1)'!$A$2:$C$968, 3, FALSE)</f>
        <v>0</v>
      </c>
      <c r="H101" s="66">
        <v>0</v>
      </c>
      <c r="I101" s="169"/>
      <c r="J101" s="173" t="s">
        <v>122</v>
      </c>
      <c r="K101" s="66"/>
      <c r="L101" s="274"/>
      <c r="M101" s="66"/>
      <c r="N101" s="13"/>
      <c r="O101" s="18"/>
      <c r="P101" s="18"/>
      <c r="Q101" s="18"/>
      <c r="R101" s="66">
        <f>((F101*15)-G101-I101)/2</f>
        <v>0</v>
      </c>
      <c r="S101" s="18"/>
      <c r="T101" s="18"/>
      <c r="U101" s="66"/>
      <c r="V101" s="63"/>
      <c r="W101" s="18">
        <f t="shared" si="9"/>
        <v>0</v>
      </c>
      <c r="X101" s="118"/>
      <c r="Y101" s="117"/>
      <c r="Z101" s="8">
        <f t="shared" si="10"/>
        <v>0</v>
      </c>
      <c r="AA101" s="8">
        <f t="shared" si="7"/>
        <v>0</v>
      </c>
      <c r="AB101" s="37"/>
    </row>
    <row r="102" spans="1:28" s="116" customFormat="1" x14ac:dyDescent="0.25">
      <c r="A102" s="472" t="s">
        <v>1301</v>
      </c>
      <c r="B102" s="28" t="s">
        <v>1302</v>
      </c>
      <c r="C102" s="28">
        <v>3</v>
      </c>
      <c r="D102" s="365">
        <v>20</v>
      </c>
      <c r="E102" s="28">
        <v>20</v>
      </c>
      <c r="F102" s="284">
        <v>20</v>
      </c>
      <c r="G102" s="54">
        <f>VLOOKUP(A102,'[1]yourspreadsheetname (1)'!$A$2:$C$968, 3, FALSE)</f>
        <v>225</v>
      </c>
      <c r="H102" s="66">
        <v>120</v>
      </c>
      <c r="I102" s="209">
        <v>120</v>
      </c>
      <c r="J102" s="173" t="s">
        <v>122</v>
      </c>
      <c r="K102" s="66"/>
      <c r="L102" s="471"/>
      <c r="M102" s="63"/>
      <c r="N102" s="135"/>
      <c r="O102" s="18"/>
      <c r="P102" s="77"/>
      <c r="Q102" s="36"/>
      <c r="R102" s="66">
        <v>0</v>
      </c>
      <c r="S102" s="77"/>
      <c r="T102" s="63"/>
      <c r="U102" s="272"/>
      <c r="V102" s="272"/>
      <c r="W102" s="18">
        <f t="shared" si="9"/>
        <v>0</v>
      </c>
      <c r="X102" s="162">
        <v>18900</v>
      </c>
      <c r="Y102" s="162">
        <v>18792</v>
      </c>
      <c r="Z102" s="8">
        <f t="shared" si="10"/>
        <v>0</v>
      </c>
      <c r="AA102" s="8">
        <f t="shared" si="7"/>
        <v>0</v>
      </c>
      <c r="AB102" s="37"/>
    </row>
    <row r="103" spans="1:28" x14ac:dyDescent="0.25">
      <c r="A103" s="18" t="s">
        <v>1303</v>
      </c>
      <c r="B103" s="18" t="s">
        <v>1304</v>
      </c>
      <c r="C103" s="18">
        <v>150</v>
      </c>
      <c r="D103" s="18">
        <v>80</v>
      </c>
      <c r="E103" s="18">
        <v>0</v>
      </c>
      <c r="F103" s="333"/>
      <c r="G103" s="54">
        <f>VLOOKUP(A103,'[1]yourspreadsheetname (1)'!$A$2:$C$968, 3, FALSE)</f>
        <v>0</v>
      </c>
      <c r="H103" s="66">
        <v>0</v>
      </c>
      <c r="I103" s="169"/>
      <c r="J103" s="173" t="s">
        <v>122</v>
      </c>
      <c r="K103" s="66"/>
      <c r="L103" s="274"/>
      <c r="M103" s="66"/>
      <c r="N103" s="13"/>
      <c r="O103" s="18"/>
      <c r="P103" s="18"/>
      <c r="Q103" s="18"/>
      <c r="R103" s="66">
        <f>((F103*15)-G103-I103)/2</f>
        <v>0</v>
      </c>
      <c r="S103" s="18"/>
      <c r="T103" s="18"/>
      <c r="U103" s="63"/>
      <c r="V103" s="63"/>
      <c r="W103" s="18">
        <f t="shared" si="9"/>
        <v>0</v>
      </c>
      <c r="X103" s="118"/>
      <c r="Y103" s="117"/>
      <c r="Z103" s="8">
        <f t="shared" si="10"/>
        <v>0</v>
      </c>
      <c r="AA103" s="8">
        <f t="shared" si="7"/>
        <v>0</v>
      </c>
      <c r="AB103" s="37"/>
    </row>
    <row r="104" spans="1:28" s="116" customFormat="1" x14ac:dyDescent="0.25">
      <c r="A104" s="20" t="s">
        <v>1305</v>
      </c>
      <c r="B104" s="20" t="s">
        <v>1306</v>
      </c>
      <c r="C104" s="20">
        <v>150</v>
      </c>
      <c r="D104" s="20">
        <v>90</v>
      </c>
      <c r="E104" s="20">
        <v>0</v>
      </c>
      <c r="F104" s="470">
        <v>0</v>
      </c>
      <c r="G104" s="54">
        <f>VLOOKUP(A104,'[1]yourspreadsheetname (1)'!$A$2:$C$968, 3, FALSE)</f>
        <v>0</v>
      </c>
      <c r="H104" s="66">
        <v>0</v>
      </c>
      <c r="I104" s="334"/>
      <c r="J104" s="354" t="s">
        <v>122</v>
      </c>
      <c r="K104" s="66"/>
      <c r="L104" s="335"/>
      <c r="M104" s="258"/>
      <c r="N104" s="467"/>
      <c r="O104" s="20"/>
      <c r="P104" s="20"/>
      <c r="Q104" s="20"/>
      <c r="R104" s="66">
        <f>((F104*15)-G104-I104)/2</f>
        <v>0</v>
      </c>
      <c r="S104" s="20"/>
      <c r="T104" s="20"/>
      <c r="U104" s="63"/>
      <c r="V104" s="63"/>
      <c r="W104" s="18">
        <f t="shared" si="9"/>
        <v>0</v>
      </c>
      <c r="X104" s="322"/>
      <c r="Y104" s="191"/>
      <c r="Z104" s="8">
        <f t="shared" si="10"/>
        <v>0</v>
      </c>
      <c r="AA104" s="8">
        <f t="shared" si="7"/>
        <v>0</v>
      </c>
      <c r="AB104" s="355"/>
    </row>
    <row r="105" spans="1:28" x14ac:dyDescent="0.25">
      <c r="A105" s="77" t="s">
        <v>1307</v>
      </c>
      <c r="B105" s="12" t="s">
        <v>1308</v>
      </c>
      <c r="C105" s="36"/>
      <c r="D105" s="12">
        <v>6</v>
      </c>
      <c r="E105" s="77">
        <v>5</v>
      </c>
      <c r="F105" s="173">
        <v>2</v>
      </c>
      <c r="G105" s="54">
        <f>VLOOKUP(A105,'[1]yourspreadsheetname (1)'!$A$2:$C$968, 3, FALSE)</f>
        <v>29</v>
      </c>
      <c r="H105" s="66">
        <v>30</v>
      </c>
      <c r="I105" s="66"/>
      <c r="J105" s="173" t="s">
        <v>122</v>
      </c>
      <c r="K105" s="66"/>
      <c r="L105" s="66"/>
      <c r="M105" s="66"/>
      <c r="N105" s="13"/>
      <c r="O105" s="18"/>
      <c r="P105" s="18"/>
      <c r="Q105" s="106"/>
      <c r="R105" s="66">
        <v>0</v>
      </c>
      <c r="S105" s="37"/>
      <c r="T105" s="18"/>
      <c r="U105" s="474"/>
      <c r="V105" s="474"/>
      <c r="W105" s="18">
        <f t="shared" si="9"/>
        <v>0</v>
      </c>
      <c r="X105" s="118"/>
      <c r="Y105" s="117"/>
      <c r="Z105" s="8">
        <f t="shared" si="10"/>
        <v>0</v>
      </c>
      <c r="AA105" s="8">
        <f t="shared" si="7"/>
        <v>0</v>
      </c>
      <c r="AB105" s="18"/>
    </row>
    <row r="106" spans="1:28" s="4" customFormat="1" x14ac:dyDescent="0.25">
      <c r="A106" s="18" t="s">
        <v>1309</v>
      </c>
      <c r="B106" s="18" t="s">
        <v>1310</v>
      </c>
      <c r="C106" s="18"/>
      <c r="D106" s="106"/>
      <c r="E106" s="106">
        <v>5</v>
      </c>
      <c r="F106" s="77">
        <v>3</v>
      </c>
      <c r="G106" s="54">
        <f>VLOOKUP(A106,'[1]yourspreadsheetname (1)'!$A$2:$C$968, 3, FALSE)</f>
        <v>30</v>
      </c>
      <c r="H106" s="66">
        <v>40</v>
      </c>
      <c r="I106" s="209">
        <v>0</v>
      </c>
      <c r="J106" s="173" t="s">
        <v>122</v>
      </c>
      <c r="K106" s="66"/>
      <c r="L106" s="471"/>
      <c r="M106" s="63"/>
      <c r="N106" s="21"/>
      <c r="O106" s="18"/>
      <c r="P106" s="36"/>
      <c r="Q106" s="36"/>
      <c r="R106" s="66">
        <v>0</v>
      </c>
      <c r="S106" s="36"/>
      <c r="T106" s="473"/>
      <c r="U106" s="63"/>
      <c r="V106" s="63"/>
      <c r="W106" s="18">
        <f t="shared" si="9"/>
        <v>0</v>
      </c>
      <c r="X106" s="162">
        <v>320</v>
      </c>
      <c r="Y106" s="162">
        <v>744.17</v>
      </c>
      <c r="Z106" s="8">
        <f t="shared" si="10"/>
        <v>0</v>
      </c>
      <c r="AA106" s="8">
        <f t="shared" si="7"/>
        <v>0</v>
      </c>
      <c r="AB106" s="679"/>
    </row>
    <row r="107" spans="1:28" x14ac:dyDescent="0.25">
      <c r="F107" s="32"/>
      <c r="G107" s="32"/>
      <c r="H107" s="32"/>
      <c r="I107" s="32"/>
      <c r="J107" s="32"/>
      <c r="K107" s="32"/>
      <c r="L107" s="32"/>
      <c r="M107" s="32"/>
      <c r="N107" s="61"/>
      <c r="O107" s="22"/>
      <c r="P107" s="22"/>
      <c r="Q107" s="22"/>
      <c r="R107" s="22"/>
      <c r="S107" s="22"/>
      <c r="T107" s="22"/>
      <c r="U107" s="22"/>
      <c r="V107" s="22"/>
      <c r="W107" s="22"/>
      <c r="X107" s="268"/>
      <c r="Y107" s="269"/>
      <c r="Z107" s="30">
        <f>SUM(Z3:Z106)</f>
        <v>416105815.82000005</v>
      </c>
      <c r="AA107" s="30">
        <f>SUM(AA3:AA106)</f>
        <v>338857799.60000002</v>
      </c>
      <c r="AB107" s="22"/>
    </row>
    <row r="108" spans="1:28" x14ac:dyDescent="0.25">
      <c r="F108" s="32"/>
      <c r="G108" s="32"/>
      <c r="H108" s="32"/>
      <c r="I108" s="32"/>
      <c r="J108" s="32"/>
      <c r="K108" s="32"/>
      <c r="L108" s="32"/>
      <c r="M108" s="32"/>
      <c r="N108" s="61"/>
      <c r="O108" s="22"/>
      <c r="P108" s="22"/>
      <c r="Q108" s="22"/>
      <c r="R108" s="22"/>
      <c r="S108" s="22"/>
      <c r="T108" s="22"/>
      <c r="U108" s="22"/>
      <c r="V108" s="22"/>
      <c r="W108" s="22"/>
      <c r="X108" s="268"/>
      <c r="Y108" s="269"/>
      <c r="Z108" s="30"/>
      <c r="AA108" s="30"/>
      <c r="AB108" s="22"/>
    </row>
    <row r="109" spans="1:28" x14ac:dyDescent="0.25">
      <c r="F109" s="32"/>
      <c r="G109" s="32"/>
      <c r="H109" s="32"/>
      <c r="I109" s="32"/>
      <c r="J109" s="32"/>
      <c r="K109" s="32"/>
      <c r="L109" s="32"/>
      <c r="M109" s="32"/>
      <c r="N109" s="61"/>
      <c r="O109" s="22"/>
      <c r="P109" s="22"/>
      <c r="Q109" s="22"/>
      <c r="R109" s="22"/>
      <c r="S109" s="22"/>
      <c r="T109" s="22"/>
      <c r="U109" s="22"/>
      <c r="V109" s="22"/>
      <c r="W109" s="22"/>
      <c r="X109" s="268"/>
      <c r="Y109" s="269"/>
      <c r="Z109" s="30"/>
      <c r="AA109" s="30"/>
      <c r="AB109" s="22"/>
    </row>
    <row r="110" spans="1:28" x14ac:dyDescent="0.25">
      <c r="F110" s="32"/>
      <c r="G110" s="32"/>
      <c r="H110" s="32"/>
      <c r="I110" s="32"/>
      <c r="J110" s="32"/>
      <c r="K110" s="32"/>
      <c r="L110" s="32"/>
      <c r="M110" s="32"/>
      <c r="N110" s="61"/>
      <c r="O110" s="22"/>
      <c r="P110" s="22"/>
      <c r="Q110" s="22"/>
      <c r="R110" s="22"/>
      <c r="S110" s="22"/>
      <c r="T110" s="22"/>
      <c r="U110" s="22"/>
      <c r="V110" s="22"/>
      <c r="W110" s="22"/>
      <c r="X110" s="268"/>
      <c r="Y110" s="269"/>
      <c r="Z110" s="30"/>
      <c r="AA110" s="30"/>
      <c r="AB110" s="22"/>
    </row>
    <row r="111" spans="1:28" x14ac:dyDescent="0.25">
      <c r="F111" s="32"/>
      <c r="G111" s="32"/>
      <c r="H111" s="32"/>
      <c r="I111" s="32"/>
      <c r="J111" s="32"/>
      <c r="K111" s="32"/>
      <c r="L111" s="32"/>
      <c r="M111" s="32"/>
      <c r="N111" s="61"/>
      <c r="O111" s="22"/>
      <c r="P111" s="22"/>
      <c r="Q111" s="22"/>
      <c r="R111" s="22"/>
      <c r="S111" s="22"/>
      <c r="T111" s="22"/>
      <c r="U111" s="22"/>
      <c r="V111" s="22"/>
      <c r="W111" s="22"/>
      <c r="X111" s="268"/>
      <c r="Y111" s="269"/>
      <c r="Z111" s="30"/>
      <c r="AA111" s="30"/>
      <c r="AB111" s="22"/>
    </row>
    <row r="112" spans="1:28" x14ac:dyDescent="0.25">
      <c r="F112" s="32"/>
      <c r="G112" s="32"/>
      <c r="H112" s="32"/>
      <c r="I112" s="32"/>
      <c r="J112" s="32"/>
      <c r="K112" s="32"/>
      <c r="L112" s="32"/>
      <c r="M112" s="32"/>
      <c r="N112" s="61"/>
      <c r="O112" s="22"/>
      <c r="P112" s="22"/>
      <c r="Q112" s="22"/>
      <c r="R112" s="22"/>
      <c r="S112" s="22"/>
      <c r="T112" s="22"/>
      <c r="U112" s="22"/>
      <c r="V112" s="22"/>
      <c r="W112" s="22"/>
      <c r="X112" s="268"/>
      <c r="Y112" s="269"/>
      <c r="Z112" s="30"/>
      <c r="AA112" s="30"/>
      <c r="AB112" s="22"/>
    </row>
    <row r="113" spans="6:28" x14ac:dyDescent="0.25">
      <c r="F113" s="32"/>
      <c r="G113" s="32"/>
      <c r="H113" s="32"/>
      <c r="I113" s="32"/>
      <c r="J113" s="32"/>
      <c r="K113" s="32"/>
      <c r="L113" s="32"/>
      <c r="M113" s="32"/>
      <c r="N113" s="61"/>
      <c r="O113" s="22"/>
      <c r="P113" s="22"/>
      <c r="Q113" s="22"/>
      <c r="R113" s="22"/>
      <c r="S113" s="22"/>
      <c r="T113" s="22"/>
      <c r="U113" s="22"/>
      <c r="V113" s="22"/>
      <c r="W113" s="22"/>
      <c r="X113" s="268"/>
      <c r="Y113" s="269"/>
      <c r="Z113" s="30"/>
      <c r="AA113" s="30"/>
      <c r="AB113" s="22"/>
    </row>
    <row r="114" spans="6:28" x14ac:dyDescent="0.25">
      <c r="F114" s="32"/>
      <c r="G114" s="32"/>
      <c r="H114" s="32"/>
      <c r="I114" s="32"/>
      <c r="J114" s="32"/>
      <c r="K114" s="32"/>
      <c r="L114" s="32"/>
      <c r="M114" s="32"/>
      <c r="N114" s="61"/>
      <c r="O114" s="22"/>
      <c r="P114" s="22"/>
      <c r="Q114" s="22"/>
      <c r="R114" s="22"/>
      <c r="S114" s="22"/>
      <c r="T114" s="22"/>
      <c r="U114" s="22"/>
      <c r="V114" s="22"/>
      <c r="W114" s="22"/>
      <c r="X114" s="268"/>
      <c r="Y114" s="269"/>
      <c r="Z114" s="30"/>
      <c r="AA114" s="30"/>
      <c r="AB114" s="22"/>
    </row>
    <row r="115" spans="6:28" x14ac:dyDescent="0.25">
      <c r="F115" s="32"/>
      <c r="G115" s="32"/>
      <c r="H115" s="32"/>
      <c r="I115" s="32"/>
      <c r="J115" s="32"/>
      <c r="K115" s="32"/>
      <c r="L115" s="32"/>
      <c r="M115" s="32"/>
      <c r="N115" s="61"/>
      <c r="O115" s="22"/>
      <c r="P115" s="22"/>
      <c r="Q115" s="22"/>
      <c r="R115" s="22"/>
      <c r="S115" s="22"/>
      <c r="T115" s="22"/>
      <c r="U115" s="22"/>
      <c r="V115" s="22"/>
      <c r="W115" s="22"/>
      <c r="X115" s="268"/>
      <c r="Y115" s="269"/>
      <c r="Z115" s="30"/>
      <c r="AA115" s="30"/>
      <c r="AB115" s="22"/>
    </row>
    <row r="116" spans="6:28" x14ac:dyDescent="0.25">
      <c r="F116" s="32"/>
      <c r="G116" s="32"/>
      <c r="H116" s="32"/>
      <c r="I116" s="32"/>
      <c r="J116" s="32"/>
      <c r="K116" s="32"/>
      <c r="L116" s="32"/>
      <c r="M116" s="32"/>
      <c r="N116" s="61"/>
      <c r="O116" s="22"/>
      <c r="P116" s="22"/>
      <c r="Q116" s="22"/>
      <c r="R116" s="22"/>
      <c r="S116" s="22"/>
      <c r="T116" s="22"/>
      <c r="U116" s="22"/>
      <c r="V116" s="22"/>
      <c r="W116" s="22"/>
      <c r="X116" s="268"/>
      <c r="Y116" s="269"/>
      <c r="Z116" s="30"/>
      <c r="AA116" s="30"/>
      <c r="AB116" s="22"/>
    </row>
    <row r="117" spans="6:28" x14ac:dyDescent="0.25">
      <c r="F117" s="32"/>
      <c r="G117" s="32"/>
      <c r="H117" s="32"/>
      <c r="I117" s="32"/>
      <c r="J117" s="32"/>
      <c r="K117" s="32"/>
      <c r="L117" s="32"/>
      <c r="M117" s="32"/>
      <c r="N117" s="61"/>
      <c r="O117" s="22"/>
      <c r="P117" s="22"/>
      <c r="Q117" s="22"/>
      <c r="R117" s="22"/>
      <c r="S117" s="22"/>
      <c r="T117" s="22"/>
      <c r="U117" s="22"/>
      <c r="V117" s="22"/>
      <c r="W117" s="22"/>
      <c r="X117" s="268"/>
      <c r="Y117" s="269"/>
      <c r="Z117" s="30"/>
      <c r="AA117" s="30"/>
      <c r="AB117" s="22"/>
    </row>
    <row r="118" spans="6:28" x14ac:dyDescent="0.25">
      <c r="F118" s="32"/>
      <c r="G118" s="32"/>
      <c r="H118" s="32"/>
      <c r="I118" s="32"/>
      <c r="J118" s="32"/>
      <c r="K118" s="32"/>
      <c r="L118" s="32"/>
      <c r="M118" s="32"/>
      <c r="N118" s="61"/>
      <c r="O118" s="22"/>
      <c r="P118" s="22"/>
      <c r="Q118" s="22"/>
      <c r="R118" s="22"/>
      <c r="S118" s="22"/>
      <c r="T118" s="22"/>
      <c r="U118" s="22"/>
      <c r="V118" s="22"/>
      <c r="W118" s="22"/>
      <c r="X118" s="268"/>
      <c r="Y118" s="269"/>
      <c r="Z118" s="30"/>
      <c r="AA118" s="30"/>
      <c r="AB118" s="22"/>
    </row>
    <row r="119" spans="6:28" x14ac:dyDescent="0.25">
      <c r="F119" s="32"/>
      <c r="G119" s="32"/>
      <c r="H119" s="32"/>
      <c r="I119" s="32"/>
      <c r="J119" s="32"/>
      <c r="K119" s="32"/>
      <c r="L119" s="32"/>
      <c r="M119" s="32"/>
      <c r="N119" s="61"/>
      <c r="O119" s="22"/>
      <c r="P119" s="22"/>
      <c r="Q119" s="22"/>
      <c r="R119" s="22"/>
      <c r="S119" s="22"/>
      <c r="T119" s="22"/>
      <c r="U119" s="22"/>
      <c r="V119" s="22"/>
      <c r="W119" s="22"/>
      <c r="X119" s="268"/>
      <c r="Y119" s="269"/>
      <c r="Z119" s="30"/>
      <c r="AA119" s="30"/>
      <c r="AB119" s="22"/>
    </row>
    <row r="120" spans="6:28" x14ac:dyDescent="0.25">
      <c r="F120" s="32"/>
      <c r="G120" s="32"/>
      <c r="H120" s="32"/>
      <c r="I120" s="32"/>
      <c r="J120" s="32"/>
      <c r="K120" s="32"/>
      <c r="L120" s="32"/>
      <c r="M120" s="32"/>
      <c r="N120" s="61"/>
      <c r="O120" s="22"/>
      <c r="P120" s="22"/>
      <c r="Q120" s="22"/>
      <c r="R120" s="22"/>
      <c r="S120" s="22"/>
      <c r="T120" s="22"/>
      <c r="U120" s="22"/>
      <c r="V120" s="22"/>
      <c r="W120" s="22"/>
      <c r="X120" s="268"/>
      <c r="Y120" s="269"/>
      <c r="Z120" s="30"/>
      <c r="AA120" s="30"/>
      <c r="AB120" s="22"/>
    </row>
    <row r="121" spans="6:28" x14ac:dyDescent="0.25">
      <c r="F121" s="32"/>
      <c r="G121" s="32"/>
      <c r="H121" s="32"/>
      <c r="I121" s="32"/>
      <c r="J121" s="32"/>
      <c r="K121" s="32"/>
      <c r="L121" s="32"/>
      <c r="M121" s="32"/>
      <c r="N121" s="61"/>
      <c r="O121" s="22"/>
      <c r="P121" s="22"/>
      <c r="Q121" s="22"/>
      <c r="R121" s="22"/>
      <c r="S121" s="22"/>
      <c r="T121" s="22"/>
      <c r="U121" s="22"/>
      <c r="V121" s="22"/>
      <c r="W121" s="22"/>
      <c r="X121" s="268"/>
      <c r="Y121" s="269"/>
      <c r="Z121" s="30"/>
      <c r="AA121" s="30"/>
      <c r="AB121" s="22"/>
    </row>
    <row r="122" spans="6:28" x14ac:dyDescent="0.25">
      <c r="F122" s="32"/>
      <c r="G122" s="32"/>
      <c r="H122" s="32"/>
      <c r="I122" s="32"/>
      <c r="J122" s="32"/>
      <c r="K122" s="32"/>
      <c r="L122" s="32"/>
      <c r="M122" s="32"/>
      <c r="N122" s="61"/>
      <c r="O122" s="22"/>
      <c r="P122" s="22"/>
      <c r="Q122" s="22"/>
      <c r="R122" s="22"/>
      <c r="S122" s="22"/>
      <c r="T122" s="22"/>
      <c r="U122" s="22"/>
      <c r="V122" s="22"/>
      <c r="W122" s="22"/>
      <c r="X122" s="268"/>
      <c r="Y122" s="269"/>
      <c r="Z122" s="30"/>
      <c r="AA122" s="30"/>
      <c r="AB122" s="22"/>
    </row>
    <row r="123" spans="6:28" x14ac:dyDescent="0.25">
      <c r="F123" s="32"/>
      <c r="G123" s="32"/>
      <c r="H123" s="32"/>
      <c r="I123" s="32"/>
      <c r="J123" s="32"/>
      <c r="K123" s="32"/>
      <c r="L123" s="32"/>
      <c r="M123" s="32"/>
      <c r="N123" s="61"/>
      <c r="O123" s="22"/>
      <c r="P123" s="22"/>
      <c r="Q123" s="22"/>
      <c r="R123" s="22"/>
      <c r="S123" s="22"/>
      <c r="T123" s="22"/>
      <c r="U123" s="22"/>
      <c r="V123" s="22"/>
      <c r="W123" s="22"/>
      <c r="X123" s="268"/>
      <c r="Y123" s="269"/>
      <c r="Z123" s="30"/>
      <c r="AA123" s="30"/>
      <c r="AB123" s="22"/>
    </row>
    <row r="124" spans="6:28" x14ac:dyDescent="0.25">
      <c r="F124" s="32"/>
      <c r="G124" s="32"/>
      <c r="H124" s="32"/>
      <c r="I124" s="32"/>
      <c r="J124" s="32"/>
      <c r="K124" s="32"/>
      <c r="L124" s="32"/>
      <c r="M124" s="32"/>
      <c r="N124" s="61"/>
      <c r="O124" s="22"/>
      <c r="P124" s="22"/>
      <c r="Q124" s="22"/>
      <c r="R124" s="22"/>
      <c r="S124" s="22"/>
      <c r="T124" s="22"/>
      <c r="U124" s="22"/>
      <c r="V124" s="22"/>
      <c r="W124" s="22"/>
      <c r="X124" s="268"/>
      <c r="Y124" s="269"/>
      <c r="Z124" s="30"/>
      <c r="AA124" s="30"/>
      <c r="AB124" s="22"/>
    </row>
    <row r="125" spans="6:28" x14ac:dyDescent="0.25">
      <c r="F125" s="32"/>
      <c r="G125" s="32"/>
      <c r="H125" s="32"/>
      <c r="I125" s="32"/>
      <c r="J125" s="32"/>
      <c r="K125" s="32"/>
      <c r="L125" s="32"/>
      <c r="M125" s="32"/>
      <c r="N125" s="61"/>
      <c r="O125" s="22"/>
      <c r="P125" s="22"/>
      <c r="Q125" s="22"/>
      <c r="R125" s="22"/>
      <c r="S125" s="22"/>
      <c r="T125" s="22"/>
      <c r="U125" s="22"/>
      <c r="V125" s="22"/>
      <c r="W125" s="22"/>
      <c r="X125" s="268"/>
      <c r="Y125" s="269"/>
      <c r="Z125" s="30"/>
      <c r="AA125" s="30"/>
      <c r="AB125" s="22"/>
    </row>
    <row r="126" spans="6:28" x14ac:dyDescent="0.25">
      <c r="F126" s="32"/>
      <c r="G126" s="32"/>
      <c r="H126" s="32"/>
      <c r="I126" s="32"/>
      <c r="J126" s="32"/>
      <c r="K126" s="32"/>
      <c r="L126" s="32"/>
      <c r="M126" s="32"/>
      <c r="N126" s="61"/>
      <c r="O126" s="22"/>
      <c r="P126" s="22"/>
      <c r="Q126" s="22"/>
      <c r="R126" s="22"/>
      <c r="S126" s="22"/>
      <c r="T126" s="22"/>
      <c r="U126" s="22"/>
      <c r="V126" s="22"/>
      <c r="W126" s="22"/>
      <c r="X126" s="268"/>
      <c r="Y126" s="269"/>
      <c r="Z126" s="30"/>
      <c r="AA126" s="30"/>
      <c r="AB126" s="22"/>
    </row>
    <row r="127" spans="6:28" x14ac:dyDescent="0.25">
      <c r="F127" s="32"/>
      <c r="G127" s="32"/>
      <c r="H127" s="32"/>
      <c r="I127" s="32"/>
      <c r="J127" s="32"/>
      <c r="K127" s="32"/>
      <c r="L127" s="32"/>
      <c r="M127" s="32"/>
      <c r="N127" s="61"/>
      <c r="O127" s="22"/>
      <c r="P127" s="22"/>
      <c r="Q127" s="22"/>
      <c r="R127" s="22"/>
      <c r="S127" s="22"/>
      <c r="T127" s="22"/>
      <c r="U127" s="22"/>
      <c r="V127" s="22"/>
      <c r="W127" s="22"/>
      <c r="X127" s="268"/>
      <c r="Y127" s="269"/>
      <c r="Z127" s="30"/>
      <c r="AA127" s="30"/>
      <c r="AB127" s="22"/>
    </row>
    <row r="128" spans="6:28" x14ac:dyDescent="0.25">
      <c r="F128" s="32"/>
      <c r="G128" s="32"/>
      <c r="H128" s="32"/>
      <c r="I128" s="32"/>
      <c r="J128" s="32"/>
      <c r="K128" s="32"/>
      <c r="L128" s="32"/>
      <c r="M128" s="32"/>
      <c r="N128" s="61"/>
      <c r="O128" s="22"/>
      <c r="P128" s="22"/>
      <c r="Q128" s="22"/>
      <c r="R128" s="22"/>
      <c r="S128" s="22"/>
      <c r="T128" s="22"/>
      <c r="U128" s="22"/>
      <c r="V128" s="22"/>
      <c r="W128" s="22"/>
      <c r="X128" s="268"/>
      <c r="Y128" s="269"/>
      <c r="Z128" s="30"/>
      <c r="AA128" s="30"/>
      <c r="AB128" s="22"/>
    </row>
    <row r="129" spans="6:28" x14ac:dyDescent="0.25"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22"/>
      <c r="Q129" s="22"/>
      <c r="R129" s="22"/>
      <c r="S129" s="22"/>
      <c r="T129" s="22"/>
      <c r="U129" s="22"/>
      <c r="V129" s="22"/>
      <c r="W129" s="22"/>
      <c r="X129" s="268"/>
      <c r="Y129" s="269"/>
      <c r="Z129" s="30"/>
      <c r="AA129" s="30"/>
      <c r="AB129" s="22"/>
    </row>
    <row r="130" spans="6:28" x14ac:dyDescent="0.25"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22"/>
      <c r="Q130" s="22"/>
      <c r="R130" s="22"/>
      <c r="S130" s="22"/>
      <c r="T130" s="22"/>
      <c r="U130" s="22"/>
      <c r="V130" s="22"/>
      <c r="W130" s="22"/>
      <c r="X130" s="268"/>
      <c r="Y130" s="269"/>
      <c r="Z130" s="30"/>
      <c r="AA130" s="30"/>
      <c r="AB130" s="22"/>
    </row>
    <row r="131" spans="6:28" x14ac:dyDescent="0.25"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22"/>
      <c r="Q131" s="22"/>
      <c r="R131" s="22"/>
      <c r="S131" s="22"/>
      <c r="T131" s="22"/>
      <c r="U131" s="22"/>
      <c r="V131" s="22"/>
      <c r="W131" s="22"/>
      <c r="X131" s="268"/>
      <c r="Y131" s="269"/>
      <c r="Z131" s="30"/>
      <c r="AA131" s="30"/>
      <c r="AB131" s="22"/>
    </row>
    <row r="132" spans="6:28" x14ac:dyDescent="0.25"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22"/>
      <c r="Q132" s="22"/>
      <c r="R132" s="22"/>
      <c r="S132" s="22"/>
      <c r="T132" s="22"/>
      <c r="U132" s="22"/>
      <c r="V132" s="22"/>
      <c r="W132" s="22"/>
      <c r="X132" s="268"/>
      <c r="Y132" s="269"/>
      <c r="Z132" s="30"/>
      <c r="AA132" s="30"/>
      <c r="AB132" s="22"/>
    </row>
    <row r="133" spans="6:28" x14ac:dyDescent="0.25"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22"/>
      <c r="Q133" s="22"/>
      <c r="R133" s="22"/>
      <c r="S133" s="22"/>
      <c r="T133" s="22"/>
      <c r="U133" s="22"/>
      <c r="V133" s="22"/>
      <c r="W133" s="22"/>
      <c r="X133" s="268"/>
      <c r="Y133" s="269"/>
      <c r="Z133" s="30"/>
      <c r="AA133" s="30"/>
      <c r="AB133" s="22"/>
    </row>
    <row r="134" spans="6:28" x14ac:dyDescent="0.25"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22"/>
      <c r="Q134" s="22"/>
      <c r="R134" s="22"/>
      <c r="S134" s="22"/>
      <c r="T134" s="22"/>
      <c r="U134" s="22"/>
      <c r="V134" s="22"/>
      <c r="W134" s="22"/>
      <c r="X134" s="268"/>
      <c r="Y134" s="269"/>
      <c r="Z134" s="30"/>
      <c r="AA134" s="30"/>
      <c r="AB134" s="22"/>
    </row>
    <row r="135" spans="6:28" x14ac:dyDescent="0.25"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22"/>
      <c r="Q135" s="22"/>
      <c r="R135" s="22"/>
      <c r="S135" s="22"/>
      <c r="T135" s="22"/>
      <c r="U135" s="22"/>
      <c r="V135" s="22"/>
      <c r="W135" s="22"/>
      <c r="X135" s="268"/>
      <c r="Y135" s="269"/>
      <c r="Z135" s="30"/>
      <c r="AA135" s="30"/>
      <c r="AB135" s="22"/>
    </row>
    <row r="136" spans="6:28" x14ac:dyDescent="0.25"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22"/>
      <c r="Q136" s="22"/>
      <c r="R136" s="22"/>
      <c r="S136" s="22"/>
      <c r="T136" s="22"/>
      <c r="U136" s="22"/>
      <c r="V136" s="22"/>
      <c r="W136" s="22"/>
      <c r="X136" s="268"/>
      <c r="Y136" s="269"/>
      <c r="Z136" s="30"/>
      <c r="AA136" s="30"/>
      <c r="AB136" s="22"/>
    </row>
    <row r="137" spans="6:28" x14ac:dyDescent="0.25"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22"/>
      <c r="Q137" s="22"/>
      <c r="R137" s="22"/>
      <c r="S137" s="22"/>
      <c r="T137" s="22"/>
      <c r="U137" s="22"/>
      <c r="V137" s="22"/>
      <c r="W137" s="22"/>
      <c r="X137" s="268"/>
      <c r="Y137" s="269"/>
      <c r="Z137" s="30"/>
      <c r="AA137" s="30"/>
      <c r="AB137" s="22"/>
    </row>
    <row r="138" spans="6:28" x14ac:dyDescent="0.25"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22"/>
      <c r="Q138" s="22"/>
      <c r="R138" s="22"/>
      <c r="S138" s="22"/>
      <c r="T138" s="22"/>
      <c r="U138" s="22"/>
      <c r="V138" s="22"/>
      <c r="W138" s="22"/>
      <c r="X138" s="268"/>
      <c r="Y138" s="269"/>
      <c r="Z138" s="30"/>
      <c r="AA138" s="30"/>
      <c r="AB138" s="22"/>
    </row>
    <row r="139" spans="6:28" x14ac:dyDescent="0.25"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22"/>
      <c r="Q139" s="22"/>
      <c r="R139" s="22"/>
      <c r="S139" s="22"/>
      <c r="T139" s="22"/>
      <c r="U139" s="22"/>
      <c r="V139" s="22"/>
      <c r="W139" s="22"/>
      <c r="X139" s="268"/>
      <c r="Y139" s="269"/>
      <c r="Z139" s="30"/>
      <c r="AA139" s="30"/>
      <c r="AB139" s="22"/>
    </row>
    <row r="140" spans="6:28" x14ac:dyDescent="0.25"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22"/>
      <c r="Q140" s="22"/>
      <c r="R140" s="22"/>
      <c r="S140" s="22"/>
      <c r="T140" s="22"/>
      <c r="U140" s="22"/>
      <c r="V140" s="22"/>
      <c r="W140" s="22"/>
      <c r="X140" s="268"/>
      <c r="Y140" s="269"/>
      <c r="Z140" s="30"/>
      <c r="AA140" s="30"/>
      <c r="AB140" s="22"/>
    </row>
    <row r="141" spans="6:28" x14ac:dyDescent="0.25"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22"/>
      <c r="Q141" s="22"/>
      <c r="R141" s="22"/>
      <c r="S141" s="22"/>
      <c r="T141" s="22"/>
      <c r="U141" s="22"/>
      <c r="V141" s="22"/>
      <c r="W141" s="22"/>
      <c r="X141" s="268"/>
      <c r="Y141" s="269"/>
      <c r="Z141" s="30"/>
      <c r="AA141" s="30"/>
      <c r="AB141" s="22"/>
    </row>
    <row r="142" spans="6:28" x14ac:dyDescent="0.25"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22"/>
      <c r="Q142" s="22"/>
      <c r="R142" s="22"/>
      <c r="S142" s="22"/>
      <c r="T142" s="22"/>
      <c r="U142" s="22"/>
      <c r="V142" s="22"/>
      <c r="W142" s="22"/>
      <c r="X142" s="268"/>
      <c r="Y142" s="269"/>
      <c r="Z142" s="30"/>
      <c r="AA142" s="30"/>
      <c r="AB142" s="22"/>
    </row>
    <row r="143" spans="6:28" x14ac:dyDescent="0.25"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22"/>
      <c r="Q143" s="22"/>
      <c r="R143" s="22"/>
      <c r="S143" s="22"/>
      <c r="T143" s="22"/>
      <c r="U143" s="22"/>
      <c r="V143" s="22"/>
      <c r="W143" s="22"/>
      <c r="X143" s="268"/>
      <c r="Y143" s="269"/>
      <c r="Z143" s="30"/>
      <c r="AA143" s="30"/>
      <c r="AB143" s="22"/>
    </row>
    <row r="144" spans="6:28" x14ac:dyDescent="0.25"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22"/>
      <c r="Q144" s="22"/>
      <c r="R144" s="22"/>
      <c r="S144" s="22"/>
      <c r="T144" s="22"/>
      <c r="U144" s="22"/>
      <c r="V144" s="22"/>
      <c r="W144" s="22"/>
      <c r="X144" s="268"/>
      <c r="Y144" s="269"/>
      <c r="Z144" s="30"/>
      <c r="AA144" s="30"/>
      <c r="AB144" s="22"/>
    </row>
    <row r="145" spans="6:28" x14ac:dyDescent="0.25"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22"/>
      <c r="Q145" s="22"/>
      <c r="R145" s="22"/>
      <c r="S145" s="22"/>
      <c r="T145" s="22"/>
      <c r="U145" s="22"/>
      <c r="V145" s="22"/>
      <c r="W145" s="22"/>
      <c r="X145" s="268"/>
      <c r="Y145" s="269"/>
      <c r="Z145" s="30"/>
      <c r="AA145" s="30"/>
      <c r="AB145" s="22"/>
    </row>
    <row r="146" spans="6:28" x14ac:dyDescent="0.25"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22"/>
      <c r="Q146" s="22"/>
      <c r="R146" s="22"/>
      <c r="S146" s="22"/>
      <c r="T146" s="22"/>
      <c r="U146" s="22"/>
      <c r="V146" s="22"/>
      <c r="W146" s="22"/>
      <c r="X146" s="268"/>
      <c r="Y146" s="269"/>
      <c r="Z146" s="30"/>
      <c r="AA146" s="30"/>
      <c r="AB146" s="22"/>
    </row>
    <row r="147" spans="6:28" x14ac:dyDescent="0.25"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22"/>
      <c r="Q147" s="22"/>
      <c r="R147" s="22"/>
      <c r="S147" s="22"/>
      <c r="T147" s="22"/>
      <c r="U147" s="22"/>
      <c r="V147" s="22"/>
      <c r="W147" s="22"/>
      <c r="X147" s="268"/>
      <c r="Y147" s="269"/>
      <c r="Z147" s="30"/>
      <c r="AA147" s="30"/>
      <c r="AB147" s="22"/>
    </row>
    <row r="148" spans="6:28" x14ac:dyDescent="0.25"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22"/>
      <c r="Q148" s="22"/>
      <c r="R148" s="22"/>
      <c r="S148" s="22"/>
      <c r="T148" s="22"/>
      <c r="U148" s="22"/>
      <c r="V148" s="22"/>
      <c r="W148" s="22"/>
      <c r="X148" s="268"/>
      <c r="Y148" s="269"/>
      <c r="Z148" s="30"/>
      <c r="AA148" s="30"/>
      <c r="AB148" s="22"/>
    </row>
    <row r="149" spans="6:28" x14ac:dyDescent="0.25"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22"/>
      <c r="Q149" s="22"/>
      <c r="R149" s="22"/>
      <c r="S149" s="22"/>
      <c r="T149" s="22"/>
      <c r="U149" s="22"/>
      <c r="V149" s="22"/>
      <c r="W149" s="22"/>
      <c r="X149" s="268"/>
      <c r="Y149" s="269"/>
      <c r="Z149" s="30"/>
      <c r="AA149" s="30"/>
      <c r="AB149" s="22"/>
    </row>
    <row r="150" spans="6:28" x14ac:dyDescent="0.25"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22"/>
      <c r="Q150" s="22"/>
      <c r="R150" s="22"/>
      <c r="S150" s="22"/>
      <c r="T150" s="22"/>
      <c r="U150" s="22"/>
      <c r="V150" s="22"/>
      <c r="W150" s="22"/>
      <c r="X150" s="268"/>
      <c r="Y150" s="269"/>
      <c r="Z150" s="30"/>
      <c r="AA150" s="30"/>
      <c r="AB150" s="22"/>
    </row>
    <row r="151" spans="6:28" x14ac:dyDescent="0.25"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22"/>
      <c r="Q151" s="22"/>
      <c r="R151" s="22"/>
      <c r="S151" s="22"/>
      <c r="T151" s="22"/>
      <c r="U151" s="22"/>
      <c r="V151" s="22"/>
      <c r="W151" s="22"/>
      <c r="X151" s="268"/>
      <c r="Y151" s="269"/>
      <c r="Z151" s="30"/>
      <c r="AA151" s="30"/>
      <c r="AB151" s="22"/>
    </row>
    <row r="152" spans="6:28" x14ac:dyDescent="0.25"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22"/>
      <c r="Q152" s="22"/>
      <c r="R152" s="22"/>
      <c r="S152" s="22"/>
      <c r="T152" s="22"/>
      <c r="U152" s="22"/>
      <c r="V152" s="22"/>
      <c r="W152" s="22"/>
      <c r="X152" s="268"/>
      <c r="Y152" s="269"/>
      <c r="Z152" s="30"/>
      <c r="AA152" s="30"/>
      <c r="AB152" s="22"/>
    </row>
    <row r="153" spans="6:28" x14ac:dyDescent="0.25"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22"/>
      <c r="Q153" s="22"/>
      <c r="R153" s="22"/>
      <c r="S153" s="22"/>
      <c r="T153" s="22"/>
      <c r="U153" s="22"/>
      <c r="V153" s="22"/>
      <c r="W153" s="22"/>
      <c r="X153" s="268"/>
      <c r="Y153" s="269"/>
      <c r="Z153" s="30"/>
      <c r="AA153" s="30"/>
      <c r="AB153" s="22"/>
    </row>
    <row r="154" spans="6:28" x14ac:dyDescent="0.25"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22"/>
      <c r="Q154" s="22"/>
      <c r="R154" s="22"/>
      <c r="S154" s="22"/>
      <c r="T154" s="22"/>
      <c r="U154" s="22"/>
      <c r="V154" s="22"/>
      <c r="W154" s="22"/>
      <c r="X154" s="268"/>
      <c r="Y154" s="269"/>
      <c r="Z154" s="30"/>
      <c r="AA154" s="30"/>
      <c r="AB154" s="22"/>
    </row>
    <row r="155" spans="6:28" x14ac:dyDescent="0.25"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22"/>
      <c r="Q155" s="22"/>
      <c r="R155" s="22"/>
      <c r="S155" s="22"/>
      <c r="T155" s="22"/>
      <c r="U155" s="22"/>
      <c r="V155" s="22"/>
      <c r="W155" s="22"/>
      <c r="X155" s="268"/>
      <c r="Y155" s="269"/>
      <c r="Z155" s="30"/>
      <c r="AA155" s="30"/>
      <c r="AB155" s="22"/>
    </row>
    <row r="156" spans="6:28" x14ac:dyDescent="0.25"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22"/>
      <c r="Q156" s="22"/>
      <c r="R156" s="22"/>
      <c r="S156" s="22"/>
      <c r="T156" s="22"/>
      <c r="U156" s="22"/>
      <c r="V156" s="22"/>
      <c r="W156" s="22"/>
      <c r="X156" s="268"/>
      <c r="Y156" s="269"/>
      <c r="Z156" s="30"/>
      <c r="AA156" s="30"/>
      <c r="AB156" s="22"/>
    </row>
    <row r="157" spans="6:28" x14ac:dyDescent="0.25"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22"/>
      <c r="Q157" s="22"/>
      <c r="R157" s="22"/>
      <c r="S157" s="22"/>
      <c r="T157" s="22"/>
      <c r="U157" s="22"/>
      <c r="V157" s="22"/>
      <c r="W157" s="22"/>
      <c r="X157" s="268"/>
      <c r="Y157" s="269"/>
      <c r="Z157" s="30"/>
      <c r="AA157" s="30"/>
      <c r="AB157" s="22"/>
    </row>
    <row r="158" spans="6:28" x14ac:dyDescent="0.25"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22"/>
      <c r="Q158" s="22"/>
      <c r="R158" s="22"/>
      <c r="S158" s="22"/>
      <c r="T158" s="22"/>
      <c r="U158" s="22"/>
      <c r="V158" s="22"/>
      <c r="W158" s="22"/>
      <c r="X158" s="268"/>
      <c r="Y158" s="269"/>
      <c r="Z158" s="30"/>
      <c r="AA158" s="30"/>
      <c r="AB158" s="22"/>
    </row>
    <row r="159" spans="6:28" x14ac:dyDescent="0.25"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</sheetData>
  <autoFilter ref="A1:AB2">
    <filterColumn colId="20" showButton="0"/>
    <filterColumn colId="21" showButton="0"/>
    <sortState ref="A4:AB106">
      <sortCondition ref="K1:K2"/>
    </sortState>
  </autoFilter>
  <mergeCells count="27">
    <mergeCell ref="F1:F2"/>
    <mergeCell ref="D1:D2"/>
    <mergeCell ref="U1:V1"/>
    <mergeCell ref="I1:I2"/>
    <mergeCell ref="G1:G2"/>
    <mergeCell ref="J1:J2"/>
    <mergeCell ref="H1:H2"/>
    <mergeCell ref="T1:T2"/>
    <mergeCell ref="R1:R2"/>
    <mergeCell ref="P1:P2"/>
    <mergeCell ref="S1:S2"/>
    <mergeCell ref="A1:A2"/>
    <mergeCell ref="B1:B2"/>
    <mergeCell ref="L1:L2"/>
    <mergeCell ref="N1:N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</mergeCells>
  <pageMargins left="0.7" right="0.7" top="0.75" bottom="0.75" header="0.3" footer="0.3"/>
  <pageSetup orientation="portrait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B120"/>
  <sheetViews>
    <sheetView topLeftCell="J1" zoomScale="85" zoomScaleNormal="85" workbookViewId="0">
      <pane ySplit="2" topLeftCell="A3" activePane="bottomLeft" state="frozen"/>
      <selection pane="bottomLeft" activeCell="V4" sqref="V4"/>
    </sheetView>
  </sheetViews>
  <sheetFormatPr baseColWidth="10" defaultColWidth="11.42578125" defaultRowHeight="15" x14ac:dyDescent="0.25"/>
  <cols>
    <col min="1" max="1" width="15" customWidth="1"/>
    <col min="2" max="2" width="67" customWidth="1"/>
    <col min="3" max="3" width="14.42578125" customWidth="1"/>
    <col min="4" max="6" width="12.7109375" customWidth="1"/>
    <col min="7" max="7" width="14" customWidth="1"/>
    <col min="8" max="8" width="12.42578125" customWidth="1"/>
    <col min="9" max="9" width="10.7109375" customWidth="1"/>
    <col min="10" max="10" width="14" customWidth="1"/>
    <col min="11" max="11" width="7.85546875" customWidth="1"/>
    <col min="12" max="12" width="9.85546875" hidden="1" customWidth="1"/>
    <col min="13" max="13" width="14.28515625" customWidth="1"/>
    <col min="14" max="14" width="8.28515625" customWidth="1"/>
    <col min="15" max="15" width="7.5703125" customWidth="1"/>
    <col min="16" max="16" width="7.28515625" customWidth="1"/>
    <col min="17" max="17" width="7.42578125" customWidth="1"/>
    <col min="18" max="20" width="18.5703125" customWidth="1"/>
    <col min="21" max="21" width="13.140625" customWidth="1"/>
    <col min="22" max="22" width="12" customWidth="1"/>
    <col min="23" max="23" width="21.42578125" customWidth="1"/>
    <col min="24" max="24" width="13.28515625" customWidth="1"/>
    <col min="25" max="25" width="16.5703125" customWidth="1"/>
    <col min="26" max="26" width="17" customWidth="1"/>
    <col min="27" max="27" width="14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63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85" t="s">
        <v>886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5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4" customFormat="1" ht="36.75" customHeight="1" x14ac:dyDescent="0.25">
      <c r="A3" s="12" t="s">
        <v>243</v>
      </c>
      <c r="B3" s="138" t="s">
        <v>1311</v>
      </c>
      <c r="C3" s="7">
        <v>23000</v>
      </c>
      <c r="D3" s="7"/>
      <c r="E3" s="7">
        <v>21000</v>
      </c>
      <c r="F3" s="7">
        <v>18000</v>
      </c>
      <c r="G3" s="54">
        <v>26000</v>
      </c>
      <c r="H3" s="7">
        <f>61015+170000</f>
        <v>231015</v>
      </c>
      <c r="I3" s="7">
        <v>80000</v>
      </c>
      <c r="J3" s="18" t="s">
        <v>1312</v>
      </c>
      <c r="K3" s="18">
        <v>756656</v>
      </c>
      <c r="L3" s="7"/>
      <c r="M3" s="18" t="s">
        <v>263</v>
      </c>
      <c r="N3" s="25" t="s">
        <v>1313</v>
      </c>
      <c r="O3" s="18">
        <v>1</v>
      </c>
      <c r="P3" s="7" t="s">
        <v>1314</v>
      </c>
      <c r="Q3" s="18" t="s">
        <v>1997</v>
      </c>
      <c r="R3" s="18">
        <f>((F3*15)-G3-I3)/2</f>
        <v>82000</v>
      </c>
      <c r="S3" s="18"/>
      <c r="T3" s="18"/>
      <c r="U3" s="18">
        <v>82000</v>
      </c>
      <c r="V3" s="18">
        <v>16000</v>
      </c>
      <c r="W3" s="7">
        <f t="shared" ref="W3:W23" si="0">U3+V3</f>
        <v>98000</v>
      </c>
      <c r="X3" s="8">
        <v>1500</v>
      </c>
      <c r="Y3" s="8">
        <v>1797</v>
      </c>
      <c r="Z3" s="9">
        <f t="shared" ref="Z3:Z23" si="1">R3*X3</f>
        <v>123000000</v>
      </c>
      <c r="AA3" s="9">
        <f t="shared" ref="AA3:AA23" si="2">W3*Y3</f>
        <v>176106000</v>
      </c>
      <c r="AB3" s="18"/>
    </row>
    <row r="4" spans="1:28" s="4" customFormat="1" ht="39.75" customHeight="1" x14ac:dyDescent="0.25">
      <c r="A4" s="108" t="s">
        <v>1315</v>
      </c>
      <c r="B4" s="138" t="s">
        <v>1316</v>
      </c>
      <c r="C4" s="7">
        <v>5000</v>
      </c>
      <c r="D4" s="7"/>
      <c r="E4" s="7">
        <v>13000</v>
      </c>
      <c r="F4" s="7">
        <v>15000</v>
      </c>
      <c r="G4" s="54">
        <f>VLOOKUP(A4,'[1]yourspreadsheetname (1)'!$A$2:$C$968, 3, FALSE)</f>
        <v>28760</v>
      </c>
      <c r="H4" s="7">
        <v>77500</v>
      </c>
      <c r="I4" s="7"/>
      <c r="J4" s="18" t="s">
        <v>1312</v>
      </c>
      <c r="K4" s="18">
        <v>756656</v>
      </c>
      <c r="L4" s="7"/>
      <c r="M4" s="18" t="s">
        <v>283</v>
      </c>
      <c r="N4" s="25" t="s">
        <v>1313</v>
      </c>
      <c r="O4" s="7">
        <v>2</v>
      </c>
      <c r="P4" s="58" t="s">
        <v>1317</v>
      </c>
      <c r="Q4" s="5" t="s">
        <v>1996</v>
      </c>
      <c r="R4" s="18">
        <v>100000</v>
      </c>
      <c r="S4" s="18"/>
      <c r="T4" s="18"/>
      <c r="U4" s="7">
        <v>100000</v>
      </c>
      <c r="V4" s="5">
        <v>20000</v>
      </c>
      <c r="W4" s="7">
        <f t="shared" si="0"/>
        <v>120000</v>
      </c>
      <c r="X4" s="8">
        <v>1268</v>
      </c>
      <c r="Y4" s="8">
        <v>1714</v>
      </c>
      <c r="Z4" s="9">
        <f t="shared" si="1"/>
        <v>126800000</v>
      </c>
      <c r="AA4" s="9">
        <f t="shared" si="2"/>
        <v>205680000</v>
      </c>
      <c r="AB4" s="5"/>
    </row>
    <row r="5" spans="1:28" s="4" customFormat="1" ht="36" customHeight="1" x14ac:dyDescent="0.25">
      <c r="A5" s="550" t="s">
        <v>398</v>
      </c>
      <c r="B5" s="551" t="s">
        <v>399</v>
      </c>
      <c r="C5" s="56">
        <v>3500</v>
      </c>
      <c r="D5" s="56"/>
      <c r="E5" s="56">
        <v>2000</v>
      </c>
      <c r="F5" s="56">
        <v>2000</v>
      </c>
      <c r="G5" s="92">
        <v>0</v>
      </c>
      <c r="H5" s="56">
        <v>12000</v>
      </c>
      <c r="I5" s="56">
        <v>12000</v>
      </c>
      <c r="J5" s="55" t="s">
        <v>1312</v>
      </c>
      <c r="K5" s="55">
        <v>756657</v>
      </c>
      <c r="L5" s="56"/>
      <c r="M5" s="56" t="s">
        <v>263</v>
      </c>
      <c r="N5" s="64"/>
      <c r="O5" s="62">
        <v>1</v>
      </c>
      <c r="P5" s="58"/>
      <c r="Q5" s="7"/>
      <c r="R5" s="18">
        <f>((F5*15)-G5-I5)/2</f>
        <v>9000</v>
      </c>
      <c r="S5" s="12"/>
      <c r="T5" s="18"/>
      <c r="U5" s="7"/>
      <c r="V5" s="7"/>
      <c r="W5" s="7">
        <f t="shared" si="0"/>
        <v>0</v>
      </c>
      <c r="X5" s="8">
        <v>1125.3599999999999</v>
      </c>
      <c r="Y5" s="8">
        <v>2486</v>
      </c>
      <c r="Z5" s="9">
        <f t="shared" si="1"/>
        <v>10128240</v>
      </c>
      <c r="AA5" s="9">
        <f t="shared" si="2"/>
        <v>0</v>
      </c>
      <c r="AB5" s="5"/>
    </row>
    <row r="6" spans="1:28" s="4" customFormat="1" ht="23.25" customHeight="1" x14ac:dyDescent="0.25">
      <c r="A6" s="552" t="s">
        <v>400</v>
      </c>
      <c r="B6" s="551" t="s">
        <v>401</v>
      </c>
      <c r="C6" s="55">
        <v>450</v>
      </c>
      <c r="D6" s="55"/>
      <c r="E6" s="55">
        <v>600</v>
      </c>
      <c r="F6" s="55">
        <v>900</v>
      </c>
      <c r="G6" s="92">
        <v>500</v>
      </c>
      <c r="H6" s="56">
        <v>7200</v>
      </c>
      <c r="I6" s="55">
        <v>3600</v>
      </c>
      <c r="J6" s="55" t="s">
        <v>1312</v>
      </c>
      <c r="K6" s="55">
        <v>756657</v>
      </c>
      <c r="L6" s="55"/>
      <c r="M6" s="55" t="s">
        <v>263</v>
      </c>
      <c r="N6" s="25"/>
      <c r="O6" s="7">
        <v>2</v>
      </c>
      <c r="P6" s="24"/>
      <c r="Q6" s="18"/>
      <c r="R6" s="18">
        <v>5000</v>
      </c>
      <c r="S6" s="12"/>
      <c r="T6" s="18"/>
      <c r="U6" s="18"/>
      <c r="V6" s="18"/>
      <c r="W6" s="7">
        <f t="shared" si="0"/>
        <v>0</v>
      </c>
      <c r="X6" s="8">
        <v>2136</v>
      </c>
      <c r="Y6" s="8">
        <v>2988</v>
      </c>
      <c r="Z6" s="9">
        <f t="shared" si="1"/>
        <v>10680000</v>
      </c>
      <c r="AA6" s="9">
        <f t="shared" si="2"/>
        <v>0</v>
      </c>
      <c r="AB6" s="18"/>
    </row>
    <row r="7" spans="1:28" s="4" customFormat="1" ht="31.5" customHeight="1" x14ac:dyDescent="0.25">
      <c r="A7" s="12" t="s">
        <v>245</v>
      </c>
      <c r="B7" s="138" t="s">
        <v>1318</v>
      </c>
      <c r="C7" s="7"/>
      <c r="D7" s="7"/>
      <c r="E7" s="7">
        <v>3000</v>
      </c>
      <c r="F7" s="7">
        <v>2500</v>
      </c>
      <c r="G7" s="54">
        <v>9600</v>
      </c>
      <c r="H7" s="7">
        <v>33037</v>
      </c>
      <c r="I7" s="7">
        <v>14000</v>
      </c>
      <c r="J7" s="18" t="s">
        <v>1312</v>
      </c>
      <c r="K7" s="18">
        <v>756657</v>
      </c>
      <c r="L7" s="7"/>
      <c r="M7" s="18" t="s">
        <v>263</v>
      </c>
      <c r="N7" s="25" t="s">
        <v>1319</v>
      </c>
      <c r="O7" s="18">
        <v>3</v>
      </c>
      <c r="P7" s="7" t="s">
        <v>1320</v>
      </c>
      <c r="Q7" s="18"/>
      <c r="R7" s="18">
        <v>7000</v>
      </c>
      <c r="S7" s="7"/>
      <c r="T7" s="18"/>
      <c r="U7" s="18">
        <v>7000</v>
      </c>
      <c r="V7" s="18"/>
      <c r="W7" s="7">
        <f t="shared" si="0"/>
        <v>7000</v>
      </c>
      <c r="X7" s="8">
        <v>1600</v>
      </c>
      <c r="Y7" s="8">
        <v>1935</v>
      </c>
      <c r="Z7" s="9">
        <f t="shared" si="1"/>
        <v>11200000</v>
      </c>
      <c r="AA7" s="9">
        <f t="shared" si="2"/>
        <v>13545000</v>
      </c>
      <c r="AB7" s="18"/>
    </row>
    <row r="8" spans="1:28" s="116" customFormat="1" ht="31.5" customHeight="1" x14ac:dyDescent="0.25">
      <c r="A8" s="552" t="s">
        <v>402</v>
      </c>
      <c r="B8" s="551" t="s">
        <v>403</v>
      </c>
      <c r="C8" s="56"/>
      <c r="D8" s="56"/>
      <c r="E8" s="56">
        <v>200</v>
      </c>
      <c r="F8" s="56">
        <v>500</v>
      </c>
      <c r="G8" s="92">
        <v>0</v>
      </c>
      <c r="H8" s="56">
        <v>2400</v>
      </c>
      <c r="I8" s="56"/>
      <c r="J8" s="55" t="s">
        <v>1312</v>
      </c>
      <c r="K8" s="55">
        <v>756657</v>
      </c>
      <c r="L8" s="56"/>
      <c r="M8" s="55" t="s">
        <v>263</v>
      </c>
      <c r="N8" s="211"/>
      <c r="O8" s="62">
        <v>4</v>
      </c>
      <c r="P8" s="62"/>
      <c r="Q8" s="66"/>
      <c r="R8" s="18">
        <v>3800</v>
      </c>
      <c r="S8" s="7"/>
      <c r="T8" s="66"/>
      <c r="U8" s="66"/>
      <c r="V8" s="66"/>
      <c r="W8" s="62">
        <f t="shared" si="0"/>
        <v>0</v>
      </c>
      <c r="X8" s="65">
        <v>1250</v>
      </c>
      <c r="Y8" s="65">
        <v>2802.3</v>
      </c>
      <c r="Z8" s="9">
        <f t="shared" si="1"/>
        <v>4750000</v>
      </c>
      <c r="AA8" s="168">
        <f t="shared" si="2"/>
        <v>0</v>
      </c>
      <c r="AB8" s="66"/>
    </row>
    <row r="9" spans="1:28" s="4" customFormat="1" ht="31.5" customHeight="1" x14ac:dyDescent="0.25">
      <c r="A9" s="553" t="s">
        <v>404</v>
      </c>
      <c r="B9" s="551" t="s">
        <v>405</v>
      </c>
      <c r="C9" s="56"/>
      <c r="D9" s="56"/>
      <c r="E9" s="56">
        <v>200</v>
      </c>
      <c r="F9" s="56">
        <v>500</v>
      </c>
      <c r="G9" s="92">
        <v>1890</v>
      </c>
      <c r="H9" s="56">
        <v>2100</v>
      </c>
      <c r="I9" s="56"/>
      <c r="J9" s="55" t="s">
        <v>1312</v>
      </c>
      <c r="K9" s="55">
        <v>756657</v>
      </c>
      <c r="L9" s="56"/>
      <c r="M9" s="55" t="s">
        <v>263</v>
      </c>
      <c r="N9" s="25"/>
      <c r="O9" s="18">
        <v>5</v>
      </c>
      <c r="P9" s="7"/>
      <c r="Q9" s="18"/>
      <c r="R9" s="18">
        <v>2800</v>
      </c>
      <c r="S9" s="18"/>
      <c r="T9" s="18"/>
      <c r="U9" s="18"/>
      <c r="V9" s="18"/>
      <c r="W9" s="7">
        <f t="shared" si="0"/>
        <v>0</v>
      </c>
      <c r="X9" s="8">
        <v>1465</v>
      </c>
      <c r="Y9" s="8">
        <v>1885</v>
      </c>
      <c r="Z9" s="9">
        <f t="shared" si="1"/>
        <v>4102000</v>
      </c>
      <c r="AA9" s="9">
        <f t="shared" si="2"/>
        <v>0</v>
      </c>
      <c r="AB9" s="18"/>
    </row>
    <row r="10" spans="1:28" s="4" customFormat="1" ht="30.75" customHeight="1" x14ac:dyDescent="0.25">
      <c r="A10" s="12" t="s">
        <v>241</v>
      </c>
      <c r="B10" s="138" t="s">
        <v>1321</v>
      </c>
      <c r="C10" s="7"/>
      <c r="D10" s="7"/>
      <c r="E10" s="7">
        <v>700</v>
      </c>
      <c r="F10" s="7">
        <v>800</v>
      </c>
      <c r="G10" s="54">
        <v>2580</v>
      </c>
      <c r="H10" s="7">
        <v>8400</v>
      </c>
      <c r="I10" s="7">
        <v>200</v>
      </c>
      <c r="J10" s="18" t="s">
        <v>1312</v>
      </c>
      <c r="K10" s="18">
        <v>756657</v>
      </c>
      <c r="L10" s="7"/>
      <c r="M10" s="18" t="s">
        <v>263</v>
      </c>
      <c r="N10" s="25" t="s">
        <v>1319</v>
      </c>
      <c r="O10" s="7">
        <v>6</v>
      </c>
      <c r="P10" s="7" t="s">
        <v>1320</v>
      </c>
      <c r="Q10" s="18"/>
      <c r="R10" s="18">
        <v>4600</v>
      </c>
      <c r="S10" s="18"/>
      <c r="T10" s="18"/>
      <c r="U10" s="18">
        <v>4600</v>
      </c>
      <c r="V10" s="18"/>
      <c r="W10" s="7">
        <f t="shared" si="0"/>
        <v>4600</v>
      </c>
      <c r="X10" s="8">
        <v>1669</v>
      </c>
      <c r="Y10" s="8">
        <v>1895</v>
      </c>
      <c r="Z10" s="9">
        <f t="shared" si="1"/>
        <v>7677400</v>
      </c>
      <c r="AA10" s="9">
        <f t="shared" si="2"/>
        <v>8717000</v>
      </c>
      <c r="AB10" s="18"/>
    </row>
    <row r="11" spans="1:28" s="4" customFormat="1" x14ac:dyDescent="0.25">
      <c r="A11" s="657" t="s">
        <v>247</v>
      </c>
      <c r="B11" s="92" t="s">
        <v>248</v>
      </c>
      <c r="C11" s="55">
        <v>40</v>
      </c>
      <c r="D11" s="55"/>
      <c r="E11" s="55">
        <v>90</v>
      </c>
      <c r="F11" s="55">
        <v>150</v>
      </c>
      <c r="G11" s="92">
        <v>600</v>
      </c>
      <c r="H11" s="56">
        <v>900</v>
      </c>
      <c r="I11" s="55">
        <v>200</v>
      </c>
      <c r="J11" s="55" t="s">
        <v>1312</v>
      </c>
      <c r="K11" s="55">
        <v>756657</v>
      </c>
      <c r="L11" s="55"/>
      <c r="M11" s="243" t="s">
        <v>285</v>
      </c>
      <c r="N11" s="432"/>
      <c r="O11" s="55">
        <v>7</v>
      </c>
      <c r="P11" s="7"/>
      <c r="Q11" s="6"/>
      <c r="R11" s="18">
        <v>700</v>
      </c>
      <c r="S11" s="18"/>
      <c r="T11" s="18"/>
      <c r="U11" s="18"/>
      <c r="V11" s="6"/>
      <c r="W11" s="7">
        <f t="shared" si="0"/>
        <v>0</v>
      </c>
      <c r="X11" s="47">
        <v>2998.5</v>
      </c>
      <c r="Y11" s="8">
        <v>1865.64</v>
      </c>
      <c r="Z11" s="9">
        <f t="shared" si="1"/>
        <v>2098950</v>
      </c>
      <c r="AA11" s="9">
        <f t="shared" si="2"/>
        <v>0</v>
      </c>
      <c r="AB11" s="31"/>
    </row>
    <row r="12" spans="1:28" s="4" customFormat="1" ht="19.5" customHeight="1" x14ac:dyDescent="0.25">
      <c r="A12" s="421" t="s">
        <v>329</v>
      </c>
      <c r="B12" s="93" t="s">
        <v>330</v>
      </c>
      <c r="C12" s="55"/>
      <c r="D12" s="55"/>
      <c r="E12" s="55">
        <v>800</v>
      </c>
      <c r="F12" s="55">
        <v>720</v>
      </c>
      <c r="G12" s="92">
        <v>1000</v>
      </c>
      <c r="H12" s="56">
        <v>9600</v>
      </c>
      <c r="I12" s="55">
        <v>3600</v>
      </c>
      <c r="J12" s="55" t="s">
        <v>1312</v>
      </c>
      <c r="K12" s="55">
        <v>756657</v>
      </c>
      <c r="L12" s="56"/>
      <c r="M12" s="55" t="s">
        <v>285</v>
      </c>
      <c r="N12" s="432"/>
      <c r="O12" s="55">
        <v>8</v>
      </c>
      <c r="P12" s="7"/>
      <c r="Q12" s="18"/>
      <c r="R12" s="18">
        <f>((F12*15)-G12-I12)/2</f>
        <v>3100</v>
      </c>
      <c r="S12" s="18"/>
      <c r="T12" s="18"/>
      <c r="U12" s="18"/>
      <c r="V12" s="18"/>
      <c r="W12" s="7">
        <f t="shared" si="0"/>
        <v>0</v>
      </c>
      <c r="X12" s="47">
        <v>1960</v>
      </c>
      <c r="Y12" s="8">
        <v>1874.2</v>
      </c>
      <c r="Z12" s="9">
        <f t="shared" si="1"/>
        <v>6076000</v>
      </c>
      <c r="AA12" s="9">
        <f t="shared" si="2"/>
        <v>0</v>
      </c>
      <c r="AB12" s="31"/>
    </row>
    <row r="13" spans="1:28" s="4" customFormat="1" ht="18" customHeight="1" x14ac:dyDescent="0.25">
      <c r="A13" s="55" t="s">
        <v>406</v>
      </c>
      <c r="B13" s="92" t="s">
        <v>1322</v>
      </c>
      <c r="C13" s="55">
        <v>240</v>
      </c>
      <c r="D13" s="55">
        <v>60</v>
      </c>
      <c r="E13" s="55">
        <v>40</v>
      </c>
      <c r="F13" s="55">
        <v>100</v>
      </c>
      <c r="G13" s="92">
        <v>0</v>
      </c>
      <c r="H13" s="56">
        <v>408</v>
      </c>
      <c r="I13" s="55"/>
      <c r="J13" s="55" t="s">
        <v>1312</v>
      </c>
      <c r="K13" s="55">
        <v>756657</v>
      </c>
      <c r="L13" s="55"/>
      <c r="M13" s="55" t="s">
        <v>263</v>
      </c>
      <c r="N13" s="25"/>
      <c r="O13" s="7">
        <v>9</v>
      </c>
      <c r="P13" s="7"/>
      <c r="Q13" s="18"/>
      <c r="R13" s="18">
        <f>((F13*15)-G13-I13)/2</f>
        <v>750</v>
      </c>
      <c r="S13" s="18"/>
      <c r="T13" s="18"/>
      <c r="U13" s="18"/>
      <c r="V13" s="18"/>
      <c r="W13" s="18">
        <f t="shared" si="0"/>
        <v>0</v>
      </c>
      <c r="X13" s="47">
        <v>1896</v>
      </c>
      <c r="Y13" s="8">
        <v>4653.75</v>
      </c>
      <c r="Z13" s="9">
        <f t="shared" si="1"/>
        <v>1422000</v>
      </c>
      <c r="AA13" s="8">
        <f t="shared" si="2"/>
        <v>0</v>
      </c>
      <c r="AB13" s="680"/>
    </row>
    <row r="14" spans="1:28" s="4" customFormat="1" x14ac:dyDescent="0.25">
      <c r="A14" s="504" t="s">
        <v>331</v>
      </c>
      <c r="B14" s="504" t="s">
        <v>332</v>
      </c>
      <c r="C14" s="55"/>
      <c r="D14" s="55"/>
      <c r="E14" s="55">
        <v>16</v>
      </c>
      <c r="F14" s="55">
        <v>40</v>
      </c>
      <c r="G14" s="92">
        <v>0</v>
      </c>
      <c r="H14" s="56">
        <v>100</v>
      </c>
      <c r="I14" s="55"/>
      <c r="J14" s="55" t="s">
        <v>1312</v>
      </c>
      <c r="K14" s="55">
        <v>756657</v>
      </c>
      <c r="L14" s="56"/>
      <c r="M14" s="55" t="s">
        <v>285</v>
      </c>
      <c r="N14" s="432"/>
      <c r="O14" s="55">
        <v>10</v>
      </c>
      <c r="P14" s="7"/>
      <c r="Q14" s="18"/>
      <c r="R14" s="18">
        <f>((F14*15)-G14-I14)/2</f>
        <v>300</v>
      </c>
      <c r="S14" s="18"/>
      <c r="T14" s="18"/>
      <c r="U14" s="18"/>
      <c r="V14" s="18"/>
      <c r="W14" s="18">
        <f t="shared" si="0"/>
        <v>0</v>
      </c>
      <c r="X14" s="45">
        <v>4412.3500000000004</v>
      </c>
      <c r="Y14" s="8">
        <v>4412.3500000000004</v>
      </c>
      <c r="Z14" s="9">
        <f t="shared" si="1"/>
        <v>1323705</v>
      </c>
      <c r="AA14" s="8">
        <f t="shared" si="2"/>
        <v>0</v>
      </c>
      <c r="AB14" s="680"/>
    </row>
    <row r="15" spans="1:28" s="4" customFormat="1" ht="21" customHeight="1" x14ac:dyDescent="0.25">
      <c r="A15" s="657" t="s">
        <v>249</v>
      </c>
      <c r="B15" s="55" t="s">
        <v>250</v>
      </c>
      <c r="C15" s="92"/>
      <c r="D15" s="55"/>
      <c r="E15" s="55">
        <v>10</v>
      </c>
      <c r="F15" s="55">
        <v>10</v>
      </c>
      <c r="G15" s="92">
        <v>60</v>
      </c>
      <c r="H15" s="56">
        <v>120</v>
      </c>
      <c r="I15" s="55"/>
      <c r="J15" s="55" t="s">
        <v>1312</v>
      </c>
      <c r="K15" s="55">
        <v>756657</v>
      </c>
      <c r="L15" s="55"/>
      <c r="M15" s="93" t="s">
        <v>285</v>
      </c>
      <c r="N15" s="432"/>
      <c r="O15" s="55">
        <v>11</v>
      </c>
      <c r="P15" s="18"/>
      <c r="Q15" s="18"/>
      <c r="R15" s="18">
        <v>50</v>
      </c>
      <c r="S15" s="18"/>
      <c r="T15" s="18"/>
      <c r="U15" s="18"/>
      <c r="V15" s="6"/>
      <c r="W15" s="7">
        <f t="shared" si="0"/>
        <v>0</v>
      </c>
      <c r="X15" s="47">
        <v>3606.4</v>
      </c>
      <c r="Y15" s="8">
        <v>3543</v>
      </c>
      <c r="Z15" s="9">
        <f t="shared" si="1"/>
        <v>180320</v>
      </c>
      <c r="AA15" s="9">
        <f t="shared" si="2"/>
        <v>0</v>
      </c>
      <c r="AB15" s="31"/>
    </row>
    <row r="16" spans="1:28" ht="21.75" customHeight="1" x14ac:dyDescent="0.25">
      <c r="A16" s="659" t="s">
        <v>251</v>
      </c>
      <c r="B16" s="92" t="s">
        <v>252</v>
      </c>
      <c r="C16" s="56">
        <v>150</v>
      </c>
      <c r="D16" s="429"/>
      <c r="E16" s="429">
        <v>100</v>
      </c>
      <c r="F16" s="429">
        <v>90</v>
      </c>
      <c r="G16" s="92">
        <v>560</v>
      </c>
      <c r="H16" s="56">
        <v>300</v>
      </c>
      <c r="I16" s="429">
        <v>0</v>
      </c>
      <c r="J16" s="55" t="s">
        <v>1312</v>
      </c>
      <c r="K16" s="55">
        <v>756657</v>
      </c>
      <c r="L16" s="293"/>
      <c r="M16" s="55" t="s">
        <v>285</v>
      </c>
      <c r="N16" s="432"/>
      <c r="O16" s="56">
        <v>12</v>
      </c>
      <c r="P16" s="7"/>
      <c r="Q16" s="18"/>
      <c r="R16" s="18">
        <v>400</v>
      </c>
      <c r="S16" s="18"/>
      <c r="T16" s="18"/>
      <c r="U16" s="18"/>
      <c r="V16" s="18"/>
      <c r="W16" s="18">
        <f t="shared" si="0"/>
        <v>0</v>
      </c>
      <c r="X16" s="47">
        <v>3500</v>
      </c>
      <c r="Y16" s="9">
        <v>2194.54</v>
      </c>
      <c r="Z16" s="9">
        <f t="shared" si="1"/>
        <v>1400000</v>
      </c>
      <c r="AA16" s="30">
        <f t="shared" si="2"/>
        <v>0</v>
      </c>
      <c r="AB16" s="31"/>
    </row>
    <row r="17" spans="1:28" s="4" customFormat="1" ht="34.5" customHeight="1" x14ac:dyDescent="0.25">
      <c r="A17" s="163" t="s">
        <v>1323</v>
      </c>
      <c r="B17" s="164" t="s">
        <v>1324</v>
      </c>
      <c r="C17" s="18">
        <v>4500</v>
      </c>
      <c r="D17" s="18">
        <v>1000</v>
      </c>
      <c r="E17" s="22"/>
      <c r="F17" s="22">
        <v>0</v>
      </c>
      <c r="G17" s="54">
        <v>0</v>
      </c>
      <c r="H17" s="7">
        <v>0</v>
      </c>
      <c r="I17" s="18"/>
      <c r="J17" s="167" t="s">
        <v>1312</v>
      </c>
      <c r="K17" s="18"/>
      <c r="L17" s="18"/>
      <c r="M17" s="18"/>
      <c r="N17" s="13"/>
      <c r="O17" s="18"/>
      <c r="P17" s="18"/>
      <c r="Q17" s="18"/>
      <c r="R17" s="18">
        <f t="shared" ref="R17:R23" si="3">((F17*15)-G17-I17)/2</f>
        <v>0</v>
      </c>
      <c r="S17" s="18"/>
      <c r="T17" s="18"/>
      <c r="U17" s="18"/>
      <c r="V17" s="18"/>
      <c r="W17" s="18">
        <f t="shared" si="0"/>
        <v>0</v>
      </c>
      <c r="X17" s="8">
        <v>1755</v>
      </c>
      <c r="Y17" s="8">
        <v>1698</v>
      </c>
      <c r="Z17" s="9">
        <f t="shared" si="1"/>
        <v>0</v>
      </c>
      <c r="AA17" s="30">
        <f t="shared" si="2"/>
        <v>0</v>
      </c>
      <c r="AB17" s="18"/>
    </row>
    <row r="18" spans="1:28" s="4" customFormat="1" ht="23.25" customHeight="1" x14ac:dyDescent="0.25">
      <c r="A18" s="72" t="s">
        <v>1325</v>
      </c>
      <c r="B18" s="138" t="s">
        <v>1326</v>
      </c>
      <c r="C18" s="18">
        <v>23000</v>
      </c>
      <c r="D18" s="18"/>
      <c r="E18" s="18"/>
      <c r="F18" s="18">
        <v>0</v>
      </c>
      <c r="G18" s="54">
        <f>VLOOKUP(A18,'[1]yourspreadsheetname (1)'!$A$2:$C$968, 3, FALSE)</f>
        <v>0</v>
      </c>
      <c r="H18" s="7">
        <v>0</v>
      </c>
      <c r="I18" s="18"/>
      <c r="J18" s="18" t="s">
        <v>1312</v>
      </c>
      <c r="K18" s="12"/>
      <c r="L18" s="18"/>
      <c r="M18" s="18"/>
      <c r="N18" s="13"/>
      <c r="O18" s="18"/>
      <c r="P18" s="24"/>
      <c r="Q18" s="18"/>
      <c r="R18" s="18">
        <f t="shared" si="3"/>
        <v>0</v>
      </c>
      <c r="S18" s="18"/>
      <c r="T18" s="18"/>
      <c r="U18" s="18"/>
      <c r="V18" s="18"/>
      <c r="W18" s="18">
        <f t="shared" si="0"/>
        <v>0</v>
      </c>
      <c r="X18" s="8"/>
      <c r="Y18" s="8"/>
      <c r="Z18" s="9">
        <f t="shared" si="1"/>
        <v>0</v>
      </c>
      <c r="AA18" s="30">
        <f t="shared" si="2"/>
        <v>0</v>
      </c>
      <c r="AB18" s="32"/>
    </row>
    <row r="19" spans="1:28" s="4" customFormat="1" ht="30.75" customHeight="1" x14ac:dyDescent="0.25">
      <c r="A19" s="285" t="s">
        <v>1327</v>
      </c>
      <c r="B19" s="164" t="s">
        <v>1328</v>
      </c>
      <c r="C19" s="7"/>
      <c r="D19" s="7"/>
      <c r="E19" s="7"/>
      <c r="F19" s="7">
        <v>0</v>
      </c>
      <c r="G19" s="54">
        <f>VLOOKUP(A19,'[1]yourspreadsheetname (1)'!$A$2:$C$968, 3, FALSE)</f>
        <v>0</v>
      </c>
      <c r="H19" s="7">
        <v>0</v>
      </c>
      <c r="I19" s="7"/>
      <c r="J19" s="18" t="s">
        <v>1312</v>
      </c>
      <c r="K19" s="18"/>
      <c r="L19" s="7"/>
      <c r="M19" s="18"/>
      <c r="N19" s="25"/>
      <c r="O19" s="18"/>
      <c r="P19" s="58"/>
      <c r="Q19" s="6"/>
      <c r="R19" s="18">
        <f t="shared" si="3"/>
        <v>0</v>
      </c>
      <c r="S19" s="18"/>
      <c r="T19" s="18"/>
      <c r="U19" s="18"/>
      <c r="V19" s="6"/>
      <c r="W19" s="7">
        <f t="shared" si="0"/>
        <v>0</v>
      </c>
      <c r="X19" s="8">
        <v>919.62</v>
      </c>
      <c r="Y19" s="8">
        <v>2424.11</v>
      </c>
      <c r="Z19" s="9">
        <f t="shared" si="1"/>
        <v>0</v>
      </c>
      <c r="AA19" s="30">
        <f t="shared" si="2"/>
        <v>0</v>
      </c>
      <c r="AB19" s="6"/>
    </row>
    <row r="20" spans="1:28" s="4" customFormat="1" ht="23.25" customHeight="1" x14ac:dyDescent="0.25">
      <c r="A20" s="108" t="s">
        <v>1329</v>
      </c>
      <c r="B20" s="138" t="s">
        <v>1330</v>
      </c>
      <c r="C20" s="676"/>
      <c r="D20" s="676"/>
      <c r="E20" s="676"/>
      <c r="F20" s="676">
        <v>0</v>
      </c>
      <c r="G20" s="54">
        <f>VLOOKUP(A20,'[1]yourspreadsheetname (1)'!$A$2:$C$968, 3, FALSE)</f>
        <v>0</v>
      </c>
      <c r="H20" s="7">
        <v>0</v>
      </c>
      <c r="I20" s="676"/>
      <c r="J20" s="18" t="s">
        <v>1312</v>
      </c>
      <c r="K20" s="29"/>
      <c r="L20" s="676"/>
      <c r="M20" s="29"/>
      <c r="N20" s="6"/>
      <c r="O20" s="29"/>
      <c r="P20" s="676"/>
      <c r="Q20" s="676"/>
      <c r="R20" s="18">
        <f t="shared" si="3"/>
        <v>0</v>
      </c>
      <c r="S20" s="676"/>
      <c r="T20" s="676"/>
      <c r="U20" s="676"/>
      <c r="V20" s="676"/>
      <c r="W20" s="18">
        <f t="shared" si="0"/>
        <v>0</v>
      </c>
      <c r="X20" s="8"/>
      <c r="Y20" s="8"/>
      <c r="Z20" s="9">
        <f t="shared" si="1"/>
        <v>0</v>
      </c>
      <c r="AA20" s="30">
        <f t="shared" si="2"/>
        <v>0</v>
      </c>
      <c r="AB20" s="157"/>
    </row>
    <row r="21" spans="1:28" s="4" customFormat="1" ht="23.25" customHeight="1" x14ac:dyDescent="0.25">
      <c r="A21" s="139" t="s">
        <v>1331</v>
      </c>
      <c r="B21" s="138" t="s">
        <v>1332</v>
      </c>
      <c r="C21" s="18"/>
      <c r="D21" s="18"/>
      <c r="E21" s="18"/>
      <c r="F21" s="18">
        <v>0</v>
      </c>
      <c r="G21" s="54">
        <f>VLOOKUP(A21,'[1]yourspreadsheetname (1)'!$A$2:$C$968, 3, FALSE)</f>
        <v>0</v>
      </c>
      <c r="H21" s="7">
        <v>0</v>
      </c>
      <c r="I21" s="18"/>
      <c r="J21" s="18" t="s">
        <v>1312</v>
      </c>
      <c r="K21" s="29"/>
      <c r="L21" s="18"/>
      <c r="M21" s="18"/>
      <c r="N21" s="6"/>
      <c r="O21" s="18"/>
      <c r="P21" s="24"/>
      <c r="Q21" s="18"/>
      <c r="R21" s="18">
        <f t="shared" si="3"/>
        <v>0</v>
      </c>
      <c r="S21" s="18"/>
      <c r="T21" s="18"/>
      <c r="U21" s="18"/>
      <c r="V21" s="18"/>
      <c r="W21" s="18">
        <f t="shared" si="0"/>
        <v>0</v>
      </c>
      <c r="X21" s="8"/>
      <c r="Y21" s="8"/>
      <c r="Z21" s="9">
        <f t="shared" si="1"/>
        <v>0</v>
      </c>
      <c r="AA21" s="30">
        <f t="shared" si="2"/>
        <v>0</v>
      </c>
      <c r="AB21" s="32"/>
    </row>
    <row r="22" spans="1:28" s="4" customFormat="1" ht="24" x14ac:dyDescent="0.25">
      <c r="A22" s="139" t="s">
        <v>1333</v>
      </c>
      <c r="B22" s="138" t="s">
        <v>1334</v>
      </c>
      <c r="C22" s="18">
        <v>1000</v>
      </c>
      <c r="D22" s="18">
        <v>500</v>
      </c>
      <c r="E22" s="18"/>
      <c r="F22" s="18"/>
      <c r="G22" s="54">
        <v>0</v>
      </c>
      <c r="H22" s="7">
        <v>0</v>
      </c>
      <c r="I22" s="18"/>
      <c r="J22" s="18" t="s">
        <v>1312</v>
      </c>
      <c r="K22" s="18"/>
      <c r="L22" s="18"/>
      <c r="M22" s="18"/>
      <c r="N22" s="13"/>
      <c r="O22" s="18"/>
      <c r="P22" s="18"/>
      <c r="Q22" s="18"/>
      <c r="R22" s="18">
        <f t="shared" si="3"/>
        <v>0</v>
      </c>
      <c r="S22" s="18"/>
      <c r="T22" s="18"/>
      <c r="U22" s="18"/>
      <c r="V22" s="18"/>
      <c r="W22" s="18">
        <f t="shared" si="0"/>
        <v>0</v>
      </c>
      <c r="X22" s="8"/>
      <c r="Y22" s="8"/>
      <c r="Z22" s="9">
        <f t="shared" si="1"/>
        <v>0</v>
      </c>
      <c r="AA22" s="30">
        <f t="shared" si="2"/>
        <v>0</v>
      </c>
      <c r="AB22" s="22"/>
    </row>
    <row r="23" spans="1:28" s="4" customFormat="1" ht="24" customHeight="1" x14ac:dyDescent="0.25">
      <c r="A23" s="18" t="s">
        <v>1335</v>
      </c>
      <c r="B23" s="18" t="s">
        <v>1336</v>
      </c>
      <c r="C23" s="12"/>
      <c r="D23" s="18"/>
      <c r="E23" s="18"/>
      <c r="F23" s="18"/>
      <c r="G23" s="54">
        <v>0</v>
      </c>
      <c r="H23" s="7">
        <v>0</v>
      </c>
      <c r="I23" s="18"/>
      <c r="J23" s="18" t="s">
        <v>1312</v>
      </c>
      <c r="K23" s="18"/>
      <c r="L23" s="18"/>
      <c r="M23" s="13"/>
      <c r="N23" s="13"/>
      <c r="O23" s="18"/>
      <c r="P23" s="18"/>
      <c r="Q23" s="18"/>
      <c r="R23" s="18">
        <f t="shared" si="3"/>
        <v>0</v>
      </c>
      <c r="S23" s="18"/>
      <c r="T23" s="18"/>
      <c r="U23" s="18"/>
      <c r="V23" s="6"/>
      <c r="W23" s="18">
        <f t="shared" si="0"/>
        <v>0</v>
      </c>
      <c r="X23" s="47"/>
      <c r="Y23" s="8"/>
      <c r="Z23" s="9">
        <f t="shared" si="1"/>
        <v>0</v>
      </c>
      <c r="AA23" s="30">
        <f t="shared" si="2"/>
        <v>0</v>
      </c>
      <c r="AB23" s="680"/>
    </row>
    <row r="24" spans="1:28" s="4" customFormat="1" ht="34.5" customHeight="1" x14ac:dyDescent="0.25">
      <c r="A24" s="176"/>
      <c r="B24" s="177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61"/>
      <c r="O24" s="22"/>
      <c r="P24" s="22"/>
      <c r="Q24" s="22"/>
      <c r="R24" s="22"/>
      <c r="S24" s="22"/>
      <c r="T24" s="22"/>
      <c r="U24" s="22"/>
      <c r="V24" s="22"/>
      <c r="W24" s="22"/>
      <c r="X24" s="30"/>
      <c r="Y24" s="30"/>
      <c r="Z24" s="30">
        <f>SUM(Z3:Z23)</f>
        <v>310838615</v>
      </c>
      <c r="AA24" s="30">
        <f>SUM(AA3:AA23)</f>
        <v>404048000</v>
      </c>
      <c r="AB24" s="22"/>
    </row>
    <row r="25" spans="1:28" s="4" customFormat="1" x14ac:dyDescent="0.25">
      <c r="A25" s="680"/>
      <c r="B25" s="178"/>
      <c r="C25" s="680"/>
      <c r="D25" s="680"/>
      <c r="E25" s="680"/>
      <c r="F25" s="680"/>
      <c r="G25" s="680"/>
      <c r="H25" s="680"/>
      <c r="I25" s="680"/>
      <c r="J25" s="680"/>
      <c r="K25" s="680"/>
      <c r="L25" s="22"/>
      <c r="M25" s="99" t="s">
        <v>1337</v>
      </c>
      <c r="N25" s="98"/>
      <c r="O25" s="98"/>
      <c r="P25" s="98"/>
      <c r="Q25" s="98"/>
      <c r="R25" s="680"/>
      <c r="S25" s="680"/>
      <c r="T25" s="680"/>
      <c r="U25" s="680"/>
      <c r="V25" s="680"/>
      <c r="W25" s="680"/>
      <c r="X25" s="680"/>
      <c r="Y25" s="680"/>
      <c r="Z25" s="680"/>
      <c r="AA25" s="680"/>
      <c r="AB25" s="680"/>
    </row>
    <row r="26" spans="1:28" x14ac:dyDescent="0.25">
      <c r="L26" s="22"/>
    </row>
    <row r="27" spans="1:28" ht="71.25" customHeight="1" x14ac:dyDescent="0.25">
      <c r="B27" s="97" t="s">
        <v>1338</v>
      </c>
      <c r="L27" s="22"/>
    </row>
    <row r="28" spans="1:28" x14ac:dyDescent="0.25">
      <c r="L28" s="22"/>
    </row>
    <row r="29" spans="1:28" x14ac:dyDescent="0.25">
      <c r="L29" s="22"/>
    </row>
    <row r="30" spans="1:28" x14ac:dyDescent="0.25">
      <c r="L30" s="22"/>
    </row>
    <row r="31" spans="1:28" x14ac:dyDescent="0.25">
      <c r="L31" s="22"/>
    </row>
    <row r="32" spans="1:28" x14ac:dyDescent="0.25">
      <c r="L32" s="22"/>
    </row>
    <row r="33" spans="12:12" x14ac:dyDescent="0.25">
      <c r="L33" s="70"/>
    </row>
    <row r="34" spans="12:12" x14ac:dyDescent="0.25">
      <c r="L34" s="70"/>
    </row>
    <row r="35" spans="12:12" x14ac:dyDescent="0.25">
      <c r="L35" s="70"/>
    </row>
    <row r="36" spans="12:12" x14ac:dyDescent="0.25">
      <c r="L36" s="70"/>
    </row>
    <row r="37" spans="12:12" x14ac:dyDescent="0.25">
      <c r="L37" s="70"/>
    </row>
    <row r="38" spans="12:12" x14ac:dyDescent="0.25">
      <c r="L38" s="70"/>
    </row>
    <row r="39" spans="12:12" x14ac:dyDescent="0.25">
      <c r="L39" s="70"/>
    </row>
    <row r="40" spans="12:12" x14ac:dyDescent="0.25">
      <c r="L40" s="70"/>
    </row>
    <row r="41" spans="12:12" x14ac:dyDescent="0.25">
      <c r="L41" s="70"/>
    </row>
    <row r="42" spans="12:12" x14ac:dyDescent="0.25">
      <c r="L42" s="70"/>
    </row>
    <row r="43" spans="12:12" x14ac:dyDescent="0.25">
      <c r="L43" s="70"/>
    </row>
    <row r="44" spans="12:12" x14ac:dyDescent="0.25">
      <c r="L44" s="22"/>
    </row>
    <row r="45" spans="12:12" x14ac:dyDescent="0.25">
      <c r="L45" s="680"/>
    </row>
    <row r="46" spans="12:12" x14ac:dyDescent="0.25">
      <c r="L46" s="680"/>
    </row>
    <row r="47" spans="12:12" x14ac:dyDescent="0.25">
      <c r="L47" s="680"/>
    </row>
    <row r="48" spans="12:12" x14ac:dyDescent="0.25">
      <c r="L48" s="680"/>
    </row>
    <row r="49" spans="12:12" x14ac:dyDescent="0.25">
      <c r="L49" s="680"/>
    </row>
    <row r="50" spans="12:12" x14ac:dyDescent="0.25">
      <c r="L50" s="680"/>
    </row>
    <row r="51" spans="12:12" x14ac:dyDescent="0.25">
      <c r="L51" s="680"/>
    </row>
    <row r="52" spans="12:12" x14ac:dyDescent="0.25">
      <c r="L52" s="680"/>
    </row>
    <row r="53" spans="12:12" x14ac:dyDescent="0.25">
      <c r="L53" s="680"/>
    </row>
    <row r="54" spans="12:12" x14ac:dyDescent="0.25">
      <c r="L54" s="680"/>
    </row>
    <row r="55" spans="12:12" x14ac:dyDescent="0.25">
      <c r="L55" s="680"/>
    </row>
    <row r="56" spans="12:12" x14ac:dyDescent="0.25">
      <c r="L56" s="680"/>
    </row>
    <row r="57" spans="12:12" x14ac:dyDescent="0.25">
      <c r="L57" s="680"/>
    </row>
    <row r="105" spans="13:28" x14ac:dyDescent="0.25"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AB105" s="2"/>
    </row>
    <row r="106" spans="13:28" x14ac:dyDescent="0.25"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AB106" s="2"/>
    </row>
    <row r="107" spans="13:28" x14ac:dyDescent="0.25"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AB107" s="2"/>
    </row>
    <row r="108" spans="13:28" x14ac:dyDescent="0.25"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AB108" s="2"/>
    </row>
    <row r="109" spans="13:28" x14ac:dyDescent="0.25"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AB109" s="2"/>
    </row>
    <row r="110" spans="13:28" x14ac:dyDescent="0.25"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AB110" s="2"/>
    </row>
    <row r="111" spans="13:28" x14ac:dyDescent="0.25"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AB111" s="2"/>
    </row>
    <row r="112" spans="13:28" x14ac:dyDescent="0.25"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AB112" s="2"/>
    </row>
    <row r="113" spans="13:28" x14ac:dyDescent="0.25"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AB113" s="2"/>
    </row>
    <row r="114" spans="13:28" x14ac:dyDescent="0.25"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AB114" s="2"/>
    </row>
    <row r="115" spans="13:28" x14ac:dyDescent="0.25"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AB115" s="2"/>
    </row>
    <row r="116" spans="13:28" x14ac:dyDescent="0.25"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AB116" s="2"/>
    </row>
    <row r="117" spans="13:28" x14ac:dyDescent="0.25"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AB117" s="2"/>
    </row>
    <row r="118" spans="13:28" x14ac:dyDescent="0.25"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B118" s="2"/>
    </row>
    <row r="119" spans="13:28" x14ac:dyDescent="0.25"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B119" s="2"/>
    </row>
    <row r="120" spans="13:28" x14ac:dyDescent="0.25"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B120" s="2"/>
    </row>
  </sheetData>
  <autoFilter ref="A2:AB23">
    <sortState ref="A4:AB23">
      <sortCondition ref="K2:K23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 tint="0.499984740745262"/>
  </sheetPr>
  <dimension ref="A1:AB152"/>
  <sheetViews>
    <sheetView topLeftCell="F1" zoomScale="85" zoomScaleNormal="85" workbookViewId="0">
      <pane ySplit="2" topLeftCell="A3" activePane="bottomLeft" state="frozen"/>
      <selection pane="bottomLeft" activeCell="P23" sqref="P23"/>
    </sheetView>
  </sheetViews>
  <sheetFormatPr baseColWidth="10" defaultColWidth="11.42578125" defaultRowHeight="15" x14ac:dyDescent="0.25"/>
  <cols>
    <col min="1" max="1" width="15" customWidth="1"/>
    <col min="2" max="2" width="58.42578125" customWidth="1"/>
    <col min="3" max="3" width="16.7109375" customWidth="1"/>
    <col min="4" max="4" width="14" customWidth="1"/>
    <col min="5" max="6" width="15.7109375" customWidth="1"/>
    <col min="7" max="7" width="14" customWidth="1"/>
    <col min="8" max="8" width="9.7109375" customWidth="1"/>
    <col min="9" max="10" width="11.7109375" customWidth="1"/>
    <col min="11" max="11" width="10.5703125" style="288" customWidth="1"/>
    <col min="12" max="12" width="9.85546875" style="288" customWidth="1"/>
    <col min="13" max="13" width="17.42578125" style="288" customWidth="1"/>
    <col min="14" max="14" width="7.7109375" style="288" customWidth="1"/>
    <col min="15" max="15" width="10.28515625" customWidth="1"/>
    <col min="16" max="16" width="9.28515625" customWidth="1"/>
    <col min="17" max="17" width="10" customWidth="1"/>
    <col min="18" max="18" width="18" customWidth="1"/>
    <col min="19" max="19" width="16.5703125" customWidth="1"/>
    <col min="20" max="20" width="17.42578125" customWidth="1"/>
    <col min="21" max="21" width="13.7109375" customWidth="1"/>
    <col min="22" max="22" width="15.42578125" customWidth="1"/>
    <col min="23" max="23" width="20.5703125" customWidth="1"/>
    <col min="24" max="24" width="15" bestFit="1" customWidth="1"/>
    <col min="25" max="25" width="16.5703125" customWidth="1"/>
    <col min="26" max="26" width="16.85546875" customWidth="1"/>
    <col min="27" max="27" width="14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1339</v>
      </c>
      <c r="E1" s="771" t="s">
        <v>79</v>
      </c>
      <c r="F1" s="771" t="s">
        <v>80</v>
      </c>
      <c r="G1" s="763" t="s">
        <v>81</v>
      </c>
      <c r="H1" s="782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8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90" customFormat="1" x14ac:dyDescent="0.25">
      <c r="A3" s="538" t="s">
        <v>408</v>
      </c>
      <c r="B3" s="539" t="s">
        <v>1340</v>
      </c>
      <c r="C3" s="244"/>
      <c r="D3" s="244"/>
      <c r="E3" s="247">
        <v>50</v>
      </c>
      <c r="F3" s="247">
        <v>50</v>
      </c>
      <c r="G3" s="92">
        <v>0</v>
      </c>
      <c r="H3" s="247">
        <v>0</v>
      </c>
      <c r="I3" s="244"/>
      <c r="J3" s="244"/>
      <c r="K3" s="247">
        <v>756675</v>
      </c>
      <c r="L3" s="55"/>
      <c r="M3" s="55" t="s">
        <v>285</v>
      </c>
      <c r="N3" s="19"/>
      <c r="O3" s="536">
        <v>1</v>
      </c>
      <c r="P3" s="217"/>
      <c r="Q3" s="64"/>
      <c r="R3" s="18">
        <v>400</v>
      </c>
      <c r="S3" s="31"/>
      <c r="T3" s="31"/>
      <c r="U3" s="31"/>
      <c r="V3" s="31"/>
      <c r="W3" s="19">
        <f t="shared" ref="W3:W38" si="0">U3+V3</f>
        <v>0</v>
      </c>
      <c r="X3" s="31">
        <v>13999</v>
      </c>
      <c r="Y3" s="122"/>
      <c r="Z3" s="122">
        <f t="shared" ref="Z3:Z38" si="1">R3*X3</f>
        <v>5599600</v>
      </c>
      <c r="AA3" s="122">
        <f>W3*Y3</f>
        <v>0</v>
      </c>
      <c r="AB3" s="31"/>
    </row>
    <row r="4" spans="1:28" s="90" customFormat="1" x14ac:dyDescent="0.25">
      <c r="A4" s="12" t="s">
        <v>1341</v>
      </c>
      <c r="B4" s="12" t="s">
        <v>1342</v>
      </c>
      <c r="C4" s="12"/>
      <c r="D4" s="12"/>
      <c r="E4" s="12">
        <v>20</v>
      </c>
      <c r="F4" s="12">
        <v>100</v>
      </c>
      <c r="G4" s="54">
        <f>VLOOKUP(A4,'[1]yourspreadsheetname (1)'!$A$2:$C$968, 3, FALSE)</f>
        <v>0</v>
      </c>
      <c r="H4" s="19">
        <v>60</v>
      </c>
      <c r="I4" s="12"/>
      <c r="J4" s="12"/>
      <c r="K4" s="19">
        <v>756675</v>
      </c>
      <c r="L4" s="54"/>
      <c r="M4" s="66" t="s">
        <v>263</v>
      </c>
      <c r="N4" s="13"/>
      <c r="O4" s="537">
        <v>2</v>
      </c>
      <c r="P4" s="217" t="s">
        <v>1343</v>
      </c>
      <c r="Q4" s="64"/>
      <c r="R4" s="18">
        <f>((F4*15)-G4-I4)/2</f>
        <v>750</v>
      </c>
      <c r="S4" s="12"/>
      <c r="T4" s="12"/>
      <c r="U4" s="12">
        <v>750</v>
      </c>
      <c r="V4" s="12"/>
      <c r="W4" s="19">
        <f t="shared" si="0"/>
        <v>750</v>
      </c>
      <c r="X4" s="216">
        <v>1323</v>
      </c>
      <c r="Y4" s="122">
        <v>1520.75</v>
      </c>
      <c r="Z4" s="122">
        <f t="shared" si="1"/>
        <v>992250</v>
      </c>
      <c r="AA4" s="122">
        <v>1140562.5</v>
      </c>
      <c r="AB4" s="12"/>
    </row>
    <row r="5" spans="1:28" s="90" customFormat="1" x14ac:dyDescent="0.25">
      <c r="A5" s="96" t="s">
        <v>1344</v>
      </c>
      <c r="B5" s="96" t="s">
        <v>1345</v>
      </c>
      <c r="C5" s="54"/>
      <c r="D5" s="54">
        <v>270</v>
      </c>
      <c r="E5" s="54">
        <v>300</v>
      </c>
      <c r="F5" s="54">
        <v>380</v>
      </c>
      <c r="G5" s="54">
        <f>VLOOKUP(A5,'[1]yourspreadsheetname (1)'!$A$2:$C$968, 3, FALSE)</f>
        <v>2746</v>
      </c>
      <c r="H5" s="174">
        <v>1000</v>
      </c>
      <c r="I5" s="54"/>
      <c r="J5" s="54"/>
      <c r="K5" s="19">
        <v>756675</v>
      </c>
      <c r="L5" s="54"/>
      <c r="M5" s="6" t="s">
        <v>1346</v>
      </c>
      <c r="N5" s="64"/>
      <c r="O5" s="536">
        <v>3</v>
      </c>
      <c r="P5" s="217" t="s">
        <v>1347</v>
      </c>
      <c r="Q5" s="13" t="s">
        <v>1995</v>
      </c>
      <c r="R5" s="18">
        <v>1500</v>
      </c>
      <c r="S5" s="12"/>
      <c r="T5" s="12"/>
      <c r="U5" s="12">
        <v>1500</v>
      </c>
      <c r="V5" s="29">
        <v>1500</v>
      </c>
      <c r="W5" s="19">
        <f t="shared" si="0"/>
        <v>3000</v>
      </c>
      <c r="X5" s="216">
        <v>2245.5</v>
      </c>
      <c r="Y5" s="122">
        <v>2780</v>
      </c>
      <c r="Z5" s="122">
        <f t="shared" si="1"/>
        <v>3368250</v>
      </c>
      <c r="AA5" s="122">
        <v>4170000</v>
      </c>
      <c r="AB5" s="29"/>
    </row>
    <row r="6" spans="1:28" s="90" customFormat="1" x14ac:dyDescent="0.25">
      <c r="A6" s="54" t="s">
        <v>1348</v>
      </c>
      <c r="B6" s="54" t="s">
        <v>1349</v>
      </c>
      <c r="C6" s="54">
        <v>1000</v>
      </c>
      <c r="D6" s="54">
        <v>100</v>
      </c>
      <c r="E6" s="54">
        <v>100</v>
      </c>
      <c r="F6" s="54">
        <v>100</v>
      </c>
      <c r="G6" s="54">
        <f>VLOOKUP(A6,'[1]yourspreadsheetname (1)'!$A$2:$C$968, 3, FALSE)</f>
        <v>0</v>
      </c>
      <c r="H6" s="174">
        <v>700</v>
      </c>
      <c r="I6" s="54"/>
      <c r="J6" s="92"/>
      <c r="K6" s="19">
        <v>756675</v>
      </c>
      <c r="L6" s="54"/>
      <c r="M6" s="6" t="s">
        <v>1346</v>
      </c>
      <c r="N6" s="13"/>
      <c r="O6" s="537">
        <v>4</v>
      </c>
      <c r="P6" s="217" t="s">
        <v>1347</v>
      </c>
      <c r="Q6" s="13" t="s">
        <v>1995</v>
      </c>
      <c r="R6" s="18">
        <f>((F6*15)-G6-I6)/2</f>
        <v>750</v>
      </c>
      <c r="S6" s="12"/>
      <c r="T6" s="12"/>
      <c r="U6" s="12">
        <v>750</v>
      </c>
      <c r="V6" s="29">
        <v>150</v>
      </c>
      <c r="W6" s="19">
        <f t="shared" si="0"/>
        <v>900</v>
      </c>
      <c r="X6" s="216">
        <v>2690</v>
      </c>
      <c r="Y6" s="122">
        <v>3195</v>
      </c>
      <c r="Z6" s="122">
        <f t="shared" si="1"/>
        <v>2017500</v>
      </c>
      <c r="AA6" s="122">
        <v>2396250</v>
      </c>
      <c r="AB6" s="29"/>
    </row>
    <row r="7" spans="1:28" s="90" customFormat="1" x14ac:dyDescent="0.25">
      <c r="A7" s="54" t="s">
        <v>1350</v>
      </c>
      <c r="B7" s="54" t="s">
        <v>1351</v>
      </c>
      <c r="C7" s="54">
        <v>40</v>
      </c>
      <c r="D7" s="54"/>
      <c r="E7" s="54">
        <v>30</v>
      </c>
      <c r="F7" s="54">
        <v>30</v>
      </c>
      <c r="G7" s="54">
        <f>VLOOKUP(A7,'[1]yourspreadsheetname (1)'!$A$2:$C$968, 3, FALSE)</f>
        <v>110</v>
      </c>
      <c r="H7" s="174">
        <v>180</v>
      </c>
      <c r="I7" s="54"/>
      <c r="J7" s="12"/>
      <c r="K7" s="19">
        <v>756675</v>
      </c>
      <c r="L7" s="54"/>
      <c r="M7" s="6" t="s">
        <v>1352</v>
      </c>
      <c r="N7" s="13"/>
      <c r="O7" s="536">
        <v>5</v>
      </c>
      <c r="P7" s="217" t="s">
        <v>1353</v>
      </c>
      <c r="Q7" s="13" t="s">
        <v>2006</v>
      </c>
      <c r="R7" s="18">
        <f>((F7*15)-G7-I7)/2</f>
        <v>170</v>
      </c>
      <c r="S7" s="12"/>
      <c r="T7" s="12"/>
      <c r="U7" s="12">
        <v>170</v>
      </c>
      <c r="V7" s="29">
        <v>170</v>
      </c>
      <c r="W7" s="19">
        <f t="shared" si="0"/>
        <v>340</v>
      </c>
      <c r="X7" s="216">
        <v>5945</v>
      </c>
      <c r="Y7" s="122">
        <v>6189.9</v>
      </c>
      <c r="Z7" s="122">
        <f t="shared" si="1"/>
        <v>1010650</v>
      </c>
      <c r="AA7" s="122">
        <v>1052283</v>
      </c>
      <c r="AB7" s="29"/>
    </row>
    <row r="8" spans="1:28" s="90" customFormat="1" x14ac:dyDescent="0.25">
      <c r="A8" s="93" t="s">
        <v>372</v>
      </c>
      <c r="B8" s="93" t="s">
        <v>373</v>
      </c>
      <c r="C8" s="92">
        <v>0</v>
      </c>
      <c r="D8" s="92"/>
      <c r="E8" s="92">
        <v>0.2</v>
      </c>
      <c r="F8" s="92"/>
      <c r="G8" s="92">
        <f>VLOOKUP(A8,'[1]yourspreadsheetname (1)'!$A$2:$C$968, 3, FALSE)</f>
        <v>0</v>
      </c>
      <c r="H8" s="247">
        <v>2</v>
      </c>
      <c r="I8" s="92"/>
      <c r="J8" s="92"/>
      <c r="K8" s="247">
        <v>756675</v>
      </c>
      <c r="L8" s="305"/>
      <c r="M8" s="243" t="s">
        <v>285</v>
      </c>
      <c r="N8" s="64"/>
      <c r="O8" s="537">
        <v>6</v>
      </c>
      <c r="P8" s="217"/>
      <c r="Q8" s="13"/>
      <c r="R8" s="18">
        <v>2</v>
      </c>
      <c r="S8" s="12"/>
      <c r="T8" s="12"/>
      <c r="U8" s="12"/>
      <c r="V8" s="12"/>
      <c r="W8" s="19">
        <f t="shared" si="0"/>
        <v>0</v>
      </c>
      <c r="X8" s="216">
        <v>41000</v>
      </c>
      <c r="Y8" s="122"/>
      <c r="Z8" s="122">
        <f t="shared" si="1"/>
        <v>82000</v>
      </c>
      <c r="AA8" s="122">
        <f>W8*Y8</f>
        <v>0</v>
      </c>
      <c r="AB8" s="122"/>
    </row>
    <row r="9" spans="1:28" s="90" customFormat="1" x14ac:dyDescent="0.25">
      <c r="A9" s="54" t="s">
        <v>1354</v>
      </c>
      <c r="B9" s="54" t="s">
        <v>1355</v>
      </c>
      <c r="C9" s="54">
        <v>50</v>
      </c>
      <c r="D9" s="54">
        <v>100</v>
      </c>
      <c r="E9" s="54">
        <v>80</v>
      </c>
      <c r="F9" s="54">
        <v>100</v>
      </c>
      <c r="G9" s="54">
        <f>VLOOKUP(A9,'[1]yourspreadsheetname (1)'!$A$2:$C$968, 3, FALSE)</f>
        <v>315</v>
      </c>
      <c r="H9" s="174">
        <v>500</v>
      </c>
      <c r="I9" s="54"/>
      <c r="J9" s="12"/>
      <c r="K9" s="19">
        <v>756675</v>
      </c>
      <c r="L9" s="54"/>
      <c r="M9" s="63" t="s">
        <v>1346</v>
      </c>
      <c r="N9" s="13"/>
      <c r="O9" s="536">
        <v>7</v>
      </c>
      <c r="P9" s="217" t="s">
        <v>1356</v>
      </c>
      <c r="Q9" s="13" t="s">
        <v>1993</v>
      </c>
      <c r="R9" s="18">
        <v>600</v>
      </c>
      <c r="S9" s="12"/>
      <c r="T9" s="12"/>
      <c r="U9" s="12">
        <v>600</v>
      </c>
      <c r="V9" s="29">
        <v>300</v>
      </c>
      <c r="W9" s="19">
        <f t="shared" si="0"/>
        <v>900</v>
      </c>
      <c r="X9" s="216">
        <v>7650</v>
      </c>
      <c r="Y9" s="122">
        <v>8830</v>
      </c>
      <c r="Z9" s="122">
        <f t="shared" si="1"/>
        <v>4590000</v>
      </c>
      <c r="AA9" s="122">
        <v>5298000</v>
      </c>
      <c r="AB9" s="29"/>
    </row>
    <row r="10" spans="1:28" s="90" customFormat="1" ht="21.75" customHeight="1" x14ac:dyDescent="0.25">
      <c r="A10" s="54" t="s">
        <v>1357</v>
      </c>
      <c r="B10" s="54" t="s">
        <v>1358</v>
      </c>
      <c r="C10" s="54">
        <v>40</v>
      </c>
      <c r="D10" s="54">
        <v>20</v>
      </c>
      <c r="E10" s="54">
        <v>40</v>
      </c>
      <c r="F10" s="54">
        <v>30</v>
      </c>
      <c r="G10" s="54">
        <v>45</v>
      </c>
      <c r="H10" s="174">
        <v>480</v>
      </c>
      <c r="I10" s="54"/>
      <c r="J10" s="12"/>
      <c r="K10" s="19">
        <v>756675</v>
      </c>
      <c r="L10" s="54"/>
      <c r="M10" s="63" t="s">
        <v>1346</v>
      </c>
      <c r="N10" s="13"/>
      <c r="O10" s="537">
        <v>8</v>
      </c>
      <c r="P10" s="217" t="s">
        <v>1347</v>
      </c>
      <c r="Q10" s="13"/>
      <c r="R10" s="18">
        <v>250</v>
      </c>
      <c r="S10" s="12"/>
      <c r="T10" s="12"/>
      <c r="U10" s="12">
        <v>250</v>
      </c>
      <c r="V10" s="12"/>
      <c r="W10" s="19">
        <f t="shared" si="0"/>
        <v>250</v>
      </c>
      <c r="X10" s="216">
        <v>12920</v>
      </c>
      <c r="Y10" s="122">
        <v>10530</v>
      </c>
      <c r="Z10" s="122">
        <f t="shared" si="1"/>
        <v>3230000</v>
      </c>
      <c r="AA10" s="122">
        <v>2632500</v>
      </c>
      <c r="AB10" s="12"/>
    </row>
    <row r="11" spans="1:28" s="90" customFormat="1" ht="39.4" customHeight="1" x14ac:dyDescent="0.25">
      <c r="A11" s="92" t="s">
        <v>418</v>
      </c>
      <c r="B11" s="92" t="s">
        <v>1359</v>
      </c>
      <c r="C11" s="92">
        <v>5</v>
      </c>
      <c r="D11" s="92"/>
      <c r="E11" s="92">
        <v>5</v>
      </c>
      <c r="F11" s="92">
        <v>5</v>
      </c>
      <c r="G11" s="92">
        <f>VLOOKUP(A11,'[1]yourspreadsheetname (1)'!$A$2:$C$968, 3, FALSE)</f>
        <v>30</v>
      </c>
      <c r="H11" s="247">
        <v>30</v>
      </c>
      <c r="I11" s="92">
        <v>10</v>
      </c>
      <c r="J11" s="540"/>
      <c r="K11" s="247">
        <v>756675</v>
      </c>
      <c r="L11" s="92"/>
      <c r="M11" s="243" t="s">
        <v>285</v>
      </c>
      <c r="N11" s="13"/>
      <c r="O11" s="536">
        <v>9</v>
      </c>
      <c r="P11" s="217"/>
      <c r="Q11" s="13"/>
      <c r="R11" s="18">
        <v>20</v>
      </c>
      <c r="S11" s="12"/>
      <c r="T11" s="12"/>
      <c r="U11" s="12"/>
      <c r="V11" s="12"/>
      <c r="W11" s="19">
        <f t="shared" si="0"/>
        <v>0</v>
      </c>
      <c r="X11" s="216">
        <v>215000</v>
      </c>
      <c r="Y11" s="122"/>
      <c r="Z11" s="122">
        <f t="shared" si="1"/>
        <v>4300000</v>
      </c>
      <c r="AA11" s="122">
        <f>W11*Y11</f>
        <v>0</v>
      </c>
      <c r="AB11" s="29"/>
    </row>
    <row r="12" spans="1:28" s="90" customFormat="1" x14ac:dyDescent="0.25">
      <c r="A12" s="92" t="s">
        <v>374</v>
      </c>
      <c r="B12" s="92" t="s">
        <v>375</v>
      </c>
      <c r="C12" s="92"/>
      <c r="D12" s="92"/>
      <c r="E12" s="92">
        <v>5</v>
      </c>
      <c r="F12" s="92">
        <v>5</v>
      </c>
      <c r="G12" s="92">
        <v>0</v>
      </c>
      <c r="H12" s="247">
        <v>30</v>
      </c>
      <c r="I12" s="92"/>
      <c r="J12" s="92"/>
      <c r="K12" s="247">
        <v>756675</v>
      </c>
      <c r="L12" s="92"/>
      <c r="M12" s="243" t="s">
        <v>285</v>
      </c>
      <c r="N12" s="64"/>
      <c r="O12" s="537">
        <v>10</v>
      </c>
      <c r="P12" s="217"/>
      <c r="Q12" s="13"/>
      <c r="R12" s="18">
        <v>50</v>
      </c>
      <c r="S12" s="12"/>
      <c r="T12" s="12"/>
      <c r="U12" s="12"/>
      <c r="V12" s="12"/>
      <c r="W12" s="19">
        <f t="shared" si="0"/>
        <v>0</v>
      </c>
      <c r="X12" s="280">
        <v>19260</v>
      </c>
      <c r="Y12" s="281"/>
      <c r="Z12" s="122">
        <f t="shared" si="1"/>
        <v>963000</v>
      </c>
      <c r="AA12" s="122">
        <f>H12*Y12</f>
        <v>0</v>
      </c>
      <c r="AB12" s="122"/>
    </row>
    <row r="13" spans="1:28" s="90" customFormat="1" ht="30" customHeight="1" x14ac:dyDescent="0.25">
      <c r="A13" s="105" t="s">
        <v>1360</v>
      </c>
      <c r="B13" s="54" t="s">
        <v>1361</v>
      </c>
      <c r="C13" s="54">
        <v>15</v>
      </c>
      <c r="D13" s="54">
        <v>25</v>
      </c>
      <c r="E13" s="54">
        <v>40</v>
      </c>
      <c r="F13" s="54">
        <v>40</v>
      </c>
      <c r="G13" s="54">
        <f>VLOOKUP(A13,'[1]yourspreadsheetname (1)'!$A$2:$C$968, 3, FALSE)</f>
        <v>50</v>
      </c>
      <c r="H13" s="174">
        <v>60</v>
      </c>
      <c r="I13" s="54"/>
      <c r="J13" s="12"/>
      <c r="K13" s="19">
        <v>756675</v>
      </c>
      <c r="L13" s="54"/>
      <c r="M13" s="63" t="s">
        <v>1362</v>
      </c>
      <c r="N13" s="13"/>
      <c r="O13" s="536">
        <v>11</v>
      </c>
      <c r="P13" s="217" t="s">
        <v>1356</v>
      </c>
      <c r="Q13" s="13" t="s">
        <v>1993</v>
      </c>
      <c r="R13" s="18">
        <v>300</v>
      </c>
      <c r="S13" s="12"/>
      <c r="T13" s="50"/>
      <c r="U13" s="12">
        <v>300</v>
      </c>
      <c r="V13" s="12">
        <v>150</v>
      </c>
      <c r="W13" s="19">
        <f t="shared" si="0"/>
        <v>450</v>
      </c>
      <c r="X13" s="216">
        <v>8800</v>
      </c>
      <c r="Y13" s="122">
        <v>3185</v>
      </c>
      <c r="Z13" s="122">
        <f t="shared" si="1"/>
        <v>2640000</v>
      </c>
      <c r="AA13" s="122">
        <v>955500</v>
      </c>
      <c r="AB13" s="12"/>
    </row>
    <row r="14" spans="1:28" s="90" customFormat="1" ht="42.75" customHeight="1" x14ac:dyDescent="0.25">
      <c r="A14" s="54" t="s">
        <v>1363</v>
      </c>
      <c r="B14" s="71" t="s">
        <v>1364</v>
      </c>
      <c r="C14" s="54"/>
      <c r="D14" s="54"/>
      <c r="E14" s="54">
        <v>0</v>
      </c>
      <c r="F14" s="54">
        <v>25</v>
      </c>
      <c r="G14" s="54">
        <v>40</v>
      </c>
      <c r="H14" s="174">
        <v>0</v>
      </c>
      <c r="I14" s="54"/>
      <c r="J14" s="12"/>
      <c r="K14" s="19">
        <v>756675</v>
      </c>
      <c r="L14" s="54"/>
      <c r="M14" s="63" t="s">
        <v>712</v>
      </c>
      <c r="N14" s="13"/>
      <c r="O14" s="537">
        <v>12</v>
      </c>
      <c r="P14" s="217" t="s">
        <v>1365</v>
      </c>
      <c r="Q14" s="13"/>
      <c r="R14" s="18">
        <v>150</v>
      </c>
      <c r="S14" s="12"/>
      <c r="T14" s="12"/>
      <c r="U14" s="12">
        <v>150</v>
      </c>
      <c r="V14" s="12"/>
      <c r="W14" s="19">
        <f t="shared" si="0"/>
        <v>150</v>
      </c>
      <c r="X14" s="216">
        <v>195665.7</v>
      </c>
      <c r="Y14" s="122">
        <v>17980</v>
      </c>
      <c r="Z14" s="122">
        <f t="shared" si="1"/>
        <v>29349855</v>
      </c>
      <c r="AA14" s="122">
        <v>2697000</v>
      </c>
      <c r="AB14" s="12"/>
    </row>
    <row r="15" spans="1:28" s="90" customFormat="1" ht="23.25" customHeight="1" x14ac:dyDescent="0.25">
      <c r="A15" s="54" t="s">
        <v>1366</v>
      </c>
      <c r="B15" s="54" t="s">
        <v>1367</v>
      </c>
      <c r="C15" s="54">
        <v>100</v>
      </c>
      <c r="D15" s="54"/>
      <c r="E15" s="54">
        <v>160</v>
      </c>
      <c r="F15" s="54">
        <v>150</v>
      </c>
      <c r="G15" s="54">
        <v>486</v>
      </c>
      <c r="H15" s="174">
        <v>850</v>
      </c>
      <c r="I15" s="54"/>
      <c r="J15" s="12"/>
      <c r="K15" s="19">
        <v>756675</v>
      </c>
      <c r="L15" s="54"/>
      <c r="M15" s="63" t="s">
        <v>1346</v>
      </c>
      <c r="N15" s="13"/>
      <c r="O15" s="536">
        <v>13</v>
      </c>
      <c r="P15" s="217" t="s">
        <v>1347</v>
      </c>
      <c r="Q15" s="13" t="s">
        <v>1995</v>
      </c>
      <c r="R15" s="18">
        <v>900</v>
      </c>
      <c r="S15" s="12"/>
      <c r="T15" s="12"/>
      <c r="U15" s="12">
        <v>900</v>
      </c>
      <c r="V15" s="12">
        <v>450</v>
      </c>
      <c r="W15" s="19">
        <f t="shared" si="0"/>
        <v>1350</v>
      </c>
      <c r="X15" s="216">
        <v>16200</v>
      </c>
      <c r="Y15" s="122">
        <v>17991</v>
      </c>
      <c r="Z15" s="122">
        <f t="shared" si="1"/>
        <v>14580000</v>
      </c>
      <c r="AA15" s="122">
        <v>16191900</v>
      </c>
      <c r="AB15" s="12"/>
    </row>
    <row r="16" spans="1:28" s="90" customFormat="1" ht="24.75" customHeight="1" x14ac:dyDescent="0.25">
      <c r="A16" s="54" t="s">
        <v>1368</v>
      </c>
      <c r="B16" s="54" t="s">
        <v>1369</v>
      </c>
      <c r="C16" s="54"/>
      <c r="D16" s="54"/>
      <c r="E16" s="54">
        <v>0</v>
      </c>
      <c r="F16" s="54">
        <v>50</v>
      </c>
      <c r="G16" s="54">
        <f>VLOOKUP(A16,'[1]yourspreadsheetname (1)'!$A$2:$C$968, 3, FALSE)</f>
        <v>0</v>
      </c>
      <c r="H16" s="174">
        <v>0</v>
      </c>
      <c r="I16" s="54"/>
      <c r="J16" s="12"/>
      <c r="K16" s="19">
        <v>756675</v>
      </c>
      <c r="L16" s="54"/>
      <c r="M16" s="63" t="s">
        <v>263</v>
      </c>
      <c r="N16" s="13"/>
      <c r="O16" s="537">
        <v>14</v>
      </c>
      <c r="P16" s="217" t="s">
        <v>1343</v>
      </c>
      <c r="Q16" s="13" t="s">
        <v>1994</v>
      </c>
      <c r="R16" s="18">
        <v>400</v>
      </c>
      <c r="S16" s="12"/>
      <c r="T16" s="12"/>
      <c r="U16" s="12">
        <v>400</v>
      </c>
      <c r="V16" s="12">
        <v>80</v>
      </c>
      <c r="W16" s="19">
        <f t="shared" si="0"/>
        <v>480</v>
      </c>
      <c r="X16" s="216">
        <v>6900</v>
      </c>
      <c r="Y16" s="122">
        <v>7187</v>
      </c>
      <c r="Z16" s="122">
        <f t="shared" si="1"/>
        <v>2760000</v>
      </c>
      <c r="AA16" s="122">
        <v>2874800</v>
      </c>
      <c r="AB16" s="12"/>
    </row>
    <row r="17" spans="1:28" s="90" customFormat="1" ht="20.25" customHeight="1" x14ac:dyDescent="0.25">
      <c r="A17" s="64" t="s">
        <v>1370</v>
      </c>
      <c r="B17" s="64" t="s">
        <v>1371</v>
      </c>
      <c r="C17" s="54"/>
      <c r="D17" s="54"/>
      <c r="E17" s="54">
        <v>90</v>
      </c>
      <c r="F17" s="54">
        <v>100</v>
      </c>
      <c r="G17" s="54">
        <v>162</v>
      </c>
      <c r="H17" s="174">
        <v>555</v>
      </c>
      <c r="I17" s="54"/>
      <c r="J17" s="54"/>
      <c r="K17" s="19">
        <v>756675</v>
      </c>
      <c r="L17" s="54"/>
      <c r="M17" s="63" t="s">
        <v>263</v>
      </c>
      <c r="N17" s="64"/>
      <c r="O17" s="536">
        <v>15</v>
      </c>
      <c r="P17" s="217" t="s">
        <v>1343</v>
      </c>
      <c r="Q17" s="13" t="s">
        <v>1994</v>
      </c>
      <c r="R17" s="18">
        <v>700</v>
      </c>
      <c r="S17" s="12"/>
      <c r="T17" s="12"/>
      <c r="U17" s="12">
        <v>700</v>
      </c>
      <c r="V17" s="12">
        <v>140</v>
      </c>
      <c r="W17" s="19">
        <f t="shared" si="0"/>
        <v>840</v>
      </c>
      <c r="X17" s="216">
        <v>11385</v>
      </c>
      <c r="Y17" s="122">
        <v>10916.27</v>
      </c>
      <c r="Z17" s="122">
        <f t="shared" si="1"/>
        <v>7969500</v>
      </c>
      <c r="AA17" s="122">
        <v>7641389</v>
      </c>
      <c r="AB17" s="12"/>
    </row>
    <row r="18" spans="1:28" s="90" customFormat="1" ht="21.75" customHeight="1" x14ac:dyDescent="0.25">
      <c r="A18" s="54" t="s">
        <v>1372</v>
      </c>
      <c r="B18" s="54" t="s">
        <v>1373</v>
      </c>
      <c r="C18" s="54"/>
      <c r="D18" s="54"/>
      <c r="E18" s="54">
        <v>1</v>
      </c>
      <c r="F18" s="54">
        <v>5</v>
      </c>
      <c r="G18" s="54">
        <f>VLOOKUP(A18,'[1]yourspreadsheetname (1)'!$A$2:$C$968, 3, FALSE)</f>
        <v>0</v>
      </c>
      <c r="H18" s="174">
        <v>0</v>
      </c>
      <c r="I18" s="54"/>
      <c r="J18" s="92"/>
      <c r="K18" s="19">
        <v>756675</v>
      </c>
      <c r="L18" s="54"/>
      <c r="M18" s="323" t="s">
        <v>263</v>
      </c>
      <c r="N18" s="64"/>
      <c r="O18" s="537">
        <v>16</v>
      </c>
      <c r="P18" s="217" t="s">
        <v>1343</v>
      </c>
      <c r="Q18" s="13" t="s">
        <v>1994</v>
      </c>
      <c r="R18" s="18">
        <v>40</v>
      </c>
      <c r="S18" s="12"/>
      <c r="T18" s="54"/>
      <c r="U18" s="12">
        <v>40</v>
      </c>
      <c r="V18" s="12">
        <v>8</v>
      </c>
      <c r="W18" s="19">
        <f t="shared" si="0"/>
        <v>48</v>
      </c>
      <c r="X18" s="216">
        <v>34827.800000000003</v>
      </c>
      <c r="Y18" s="122">
        <v>31980</v>
      </c>
      <c r="Z18" s="122">
        <f t="shared" si="1"/>
        <v>1393112</v>
      </c>
      <c r="AA18" s="122">
        <v>1279200</v>
      </c>
      <c r="AB18" s="12"/>
    </row>
    <row r="19" spans="1:28" s="73" customFormat="1" ht="26.25" customHeight="1" x14ac:dyDescent="0.25">
      <c r="A19" s="64" t="s">
        <v>1374</v>
      </c>
      <c r="B19" s="64" t="s">
        <v>1935</v>
      </c>
      <c r="C19" s="54">
        <v>15</v>
      </c>
      <c r="D19" s="54">
        <v>10</v>
      </c>
      <c r="E19" s="54">
        <v>12</v>
      </c>
      <c r="F19" s="54">
        <v>20</v>
      </c>
      <c r="G19" s="54">
        <v>9</v>
      </c>
      <c r="H19" s="174">
        <v>97</v>
      </c>
      <c r="I19" s="54"/>
      <c r="J19" s="12"/>
      <c r="K19" s="19">
        <v>756675</v>
      </c>
      <c r="L19" s="54"/>
      <c r="M19" s="63" t="s">
        <v>1346</v>
      </c>
      <c r="N19" s="13"/>
      <c r="O19" s="536">
        <v>17</v>
      </c>
      <c r="P19" s="217" t="s">
        <v>2021</v>
      </c>
      <c r="Q19" s="13" t="s">
        <v>1995</v>
      </c>
      <c r="R19" s="18">
        <v>150</v>
      </c>
      <c r="S19" s="12"/>
      <c r="T19" s="12"/>
      <c r="U19" s="12">
        <v>150</v>
      </c>
      <c r="V19" s="12">
        <v>150</v>
      </c>
      <c r="W19" s="19">
        <f t="shared" si="0"/>
        <v>300</v>
      </c>
      <c r="X19" s="216">
        <v>49375</v>
      </c>
      <c r="Y19" s="122">
        <v>54810</v>
      </c>
      <c r="Z19" s="122">
        <f t="shared" si="1"/>
        <v>7406250</v>
      </c>
      <c r="AA19" s="122">
        <f>W19*Y19</f>
        <v>16443000</v>
      </c>
      <c r="AB19" s="12"/>
    </row>
    <row r="20" spans="1:28" s="73" customFormat="1" ht="26.25" customHeight="1" x14ac:dyDescent="0.25">
      <c r="A20" s="92" t="s">
        <v>410</v>
      </c>
      <c r="B20" s="92" t="s">
        <v>1375</v>
      </c>
      <c r="C20" s="92">
        <v>15</v>
      </c>
      <c r="D20" s="92">
        <v>15</v>
      </c>
      <c r="E20" s="92">
        <v>15</v>
      </c>
      <c r="F20" s="92">
        <v>15</v>
      </c>
      <c r="G20" s="92">
        <v>0</v>
      </c>
      <c r="H20" s="247">
        <v>120</v>
      </c>
      <c r="I20" s="92"/>
      <c r="J20" s="92"/>
      <c r="K20" s="247">
        <v>756675</v>
      </c>
      <c r="L20" s="92"/>
      <c r="M20" s="243" t="s">
        <v>285</v>
      </c>
      <c r="N20" s="13"/>
      <c r="O20" s="537">
        <v>18</v>
      </c>
      <c r="P20" s="229"/>
      <c r="Q20" s="13"/>
      <c r="R20" s="18">
        <v>120</v>
      </c>
      <c r="S20" s="12"/>
      <c r="T20" s="12"/>
      <c r="U20" s="12"/>
      <c r="V20" s="12"/>
      <c r="W20" s="19">
        <f t="shared" si="0"/>
        <v>0</v>
      </c>
      <c r="X20" s="216">
        <v>12855</v>
      </c>
      <c r="Y20" s="122"/>
      <c r="Z20" s="122">
        <f t="shared" si="1"/>
        <v>1542600</v>
      </c>
      <c r="AA20" s="122">
        <f>W20*Y20</f>
        <v>0</v>
      </c>
      <c r="AB20" s="12"/>
    </row>
    <row r="21" spans="1:28" s="73" customFormat="1" x14ac:dyDescent="0.25">
      <c r="A21" s="371" t="s">
        <v>1376</v>
      </c>
      <c r="B21" s="54" t="s">
        <v>1377</v>
      </c>
      <c r="C21" s="54">
        <v>15</v>
      </c>
      <c r="D21" s="54"/>
      <c r="E21" s="54">
        <v>10</v>
      </c>
      <c r="F21" s="54">
        <v>10</v>
      </c>
      <c r="G21" s="54">
        <f>VLOOKUP(A21,'[1]yourspreadsheetname (1)'!$A$2:$C$968, 3, FALSE)</f>
        <v>98</v>
      </c>
      <c r="H21" s="174">
        <v>80</v>
      </c>
      <c r="I21" s="54"/>
      <c r="J21" s="12"/>
      <c r="K21" s="19">
        <v>756675</v>
      </c>
      <c r="L21" s="54"/>
      <c r="M21" s="63" t="s">
        <v>263</v>
      </c>
      <c r="N21" s="13"/>
      <c r="O21" s="536">
        <v>19</v>
      </c>
      <c r="P21" s="229" t="s">
        <v>1343</v>
      </c>
      <c r="Q21" s="13"/>
      <c r="R21" s="18">
        <v>30</v>
      </c>
      <c r="S21" s="12"/>
      <c r="T21" s="12"/>
      <c r="U21" s="12">
        <v>30</v>
      </c>
      <c r="V21" s="12"/>
      <c r="W21" s="19">
        <f t="shared" si="0"/>
        <v>30</v>
      </c>
      <c r="X21" s="216">
        <v>9297</v>
      </c>
      <c r="Y21" s="122">
        <v>9166.3700000000008</v>
      </c>
      <c r="Z21" s="122">
        <f t="shared" si="1"/>
        <v>278910</v>
      </c>
      <c r="AA21" s="122">
        <v>274991.09999999998</v>
      </c>
      <c r="AB21" s="12"/>
    </row>
    <row r="22" spans="1:28" s="73" customFormat="1" x14ac:dyDescent="0.25">
      <c r="A22" s="54" t="s">
        <v>1378</v>
      </c>
      <c r="B22" s="54" t="s">
        <v>1379</v>
      </c>
      <c r="C22" s="54">
        <v>12</v>
      </c>
      <c r="D22" s="54"/>
      <c r="E22" s="54">
        <v>30</v>
      </c>
      <c r="F22" s="54">
        <v>50</v>
      </c>
      <c r="G22" s="54">
        <f>VLOOKUP(A22,'[1]yourspreadsheetname (1)'!$A$2:$C$968, 3, FALSE)</f>
        <v>228</v>
      </c>
      <c r="H22" s="174">
        <v>180</v>
      </c>
      <c r="I22" s="54"/>
      <c r="J22" s="54"/>
      <c r="K22" s="19">
        <v>756675</v>
      </c>
      <c r="L22" s="54"/>
      <c r="M22" s="63" t="s">
        <v>1346</v>
      </c>
      <c r="N22" s="64"/>
      <c r="O22" s="537">
        <v>20</v>
      </c>
      <c r="P22" s="217" t="s">
        <v>2021</v>
      </c>
      <c r="Q22" s="13" t="s">
        <v>1995</v>
      </c>
      <c r="R22" s="18">
        <v>250</v>
      </c>
      <c r="S22" s="12"/>
      <c r="T22" s="12"/>
      <c r="U22" s="12">
        <v>250</v>
      </c>
      <c r="V22" s="12">
        <v>250</v>
      </c>
      <c r="W22" s="19">
        <f t="shared" si="0"/>
        <v>500</v>
      </c>
      <c r="X22" s="216">
        <v>13120</v>
      </c>
      <c r="Y22" s="122">
        <v>12816</v>
      </c>
      <c r="Z22" s="122">
        <f t="shared" si="1"/>
        <v>3280000</v>
      </c>
      <c r="AA22" s="122">
        <f t="shared" ref="AA22:AA35" si="2">W22*Y22</f>
        <v>6408000</v>
      </c>
      <c r="AB22" s="12"/>
    </row>
    <row r="23" spans="1:28" s="90" customFormat="1" x14ac:dyDescent="0.25">
      <c r="A23" s="12" t="s">
        <v>1380</v>
      </c>
      <c r="B23" s="12" t="s">
        <v>1381</v>
      </c>
      <c r="C23" s="12">
        <v>20</v>
      </c>
      <c r="D23" s="12"/>
      <c r="E23" s="12">
        <v>2</v>
      </c>
      <c r="F23" s="12">
        <v>0</v>
      </c>
      <c r="G23" s="54">
        <f>VLOOKUP(A23,'[1]yourspreadsheetname (1)'!$A$2:$C$968, 3, FALSE)</f>
        <v>0</v>
      </c>
      <c r="H23" s="19">
        <v>0</v>
      </c>
      <c r="I23" s="12"/>
      <c r="J23" s="12"/>
      <c r="K23" s="12"/>
      <c r="L23" s="12"/>
      <c r="M23" s="54"/>
      <c r="N23" s="13"/>
      <c r="O23" s="6"/>
      <c r="P23" s="63"/>
      <c r="Q23" s="13"/>
      <c r="R23" s="18">
        <f>((F23*15)-G23-I23)/2</f>
        <v>0</v>
      </c>
      <c r="S23" s="12"/>
      <c r="T23" s="12"/>
      <c r="U23" s="12"/>
      <c r="V23" s="12"/>
      <c r="W23" s="19">
        <f t="shared" si="0"/>
        <v>0</v>
      </c>
      <c r="X23" s="216"/>
      <c r="Y23" s="122"/>
      <c r="Z23" s="122">
        <f t="shared" si="1"/>
        <v>0</v>
      </c>
      <c r="AA23" s="122">
        <f t="shared" si="2"/>
        <v>0</v>
      </c>
      <c r="AB23" s="12"/>
    </row>
    <row r="24" spans="1:28" s="90" customFormat="1" x14ac:dyDescent="0.25">
      <c r="A24" s="54" t="s">
        <v>1382</v>
      </c>
      <c r="B24" s="54" t="s">
        <v>1383</v>
      </c>
      <c r="C24" s="54"/>
      <c r="D24" s="54"/>
      <c r="E24" s="54">
        <v>1</v>
      </c>
      <c r="F24" s="54"/>
      <c r="G24" s="71">
        <f>VLOOKUP(A24,'[1]yourspreadsheetname (1)'!$A$2:$C$968, 3, FALSE)</f>
        <v>0</v>
      </c>
      <c r="H24" s="174">
        <v>0</v>
      </c>
      <c r="I24" s="54"/>
      <c r="J24" s="12"/>
      <c r="K24" s="12"/>
      <c r="L24" s="12"/>
      <c r="M24" s="219"/>
      <c r="N24" s="13"/>
      <c r="O24" s="18"/>
      <c r="P24" s="63"/>
      <c r="Q24" s="13"/>
      <c r="R24" s="18">
        <f>((F24*15)-G24-I24)/2</f>
        <v>0</v>
      </c>
      <c r="S24" s="12"/>
      <c r="T24" s="12"/>
      <c r="U24" s="12"/>
      <c r="V24" s="12"/>
      <c r="W24" s="19">
        <f t="shared" si="0"/>
        <v>0</v>
      </c>
      <c r="X24" s="220"/>
      <c r="Y24" s="122"/>
      <c r="Z24" s="122">
        <f t="shared" si="1"/>
        <v>0</v>
      </c>
      <c r="AA24" s="122">
        <f t="shared" si="2"/>
        <v>0</v>
      </c>
      <c r="AB24" s="217"/>
    </row>
    <row r="25" spans="1:28" s="73" customFormat="1" ht="26.25" customHeight="1" x14ac:dyDescent="0.25">
      <c r="A25" s="54" t="s">
        <v>1384</v>
      </c>
      <c r="B25" s="54" t="s">
        <v>1385</v>
      </c>
      <c r="C25" s="54"/>
      <c r="D25" s="54"/>
      <c r="E25" s="54">
        <v>0</v>
      </c>
      <c r="F25" s="54">
        <v>0</v>
      </c>
      <c r="G25" s="54">
        <v>0</v>
      </c>
      <c r="H25" s="174">
        <v>0</v>
      </c>
      <c r="I25" s="54"/>
      <c r="J25" s="12"/>
      <c r="K25" s="12"/>
      <c r="L25" s="12"/>
      <c r="M25" s="219"/>
      <c r="N25" s="12"/>
      <c r="O25" s="18"/>
      <c r="P25" s="6"/>
      <c r="Q25" s="13"/>
      <c r="R25" s="18">
        <f>((F25*15)-G25-I25)/2</f>
        <v>0</v>
      </c>
      <c r="S25" s="29"/>
      <c r="T25" s="29"/>
      <c r="U25" s="12"/>
      <c r="V25" s="29"/>
      <c r="W25" s="19">
        <f t="shared" si="0"/>
        <v>0</v>
      </c>
      <c r="X25" s="216"/>
      <c r="Y25" s="122"/>
      <c r="Z25" s="122">
        <f t="shared" si="1"/>
        <v>0</v>
      </c>
      <c r="AA25" s="122">
        <f t="shared" si="2"/>
        <v>0</v>
      </c>
      <c r="AB25" s="217"/>
    </row>
    <row r="26" spans="1:28" s="90" customFormat="1" ht="25.5" x14ac:dyDescent="0.25">
      <c r="A26" s="54" t="s">
        <v>1386</v>
      </c>
      <c r="B26" s="54" t="s">
        <v>1387</v>
      </c>
      <c r="C26" s="54">
        <v>20</v>
      </c>
      <c r="D26" s="54">
        <v>0</v>
      </c>
      <c r="E26" s="54">
        <v>0</v>
      </c>
      <c r="F26" s="54">
        <v>10</v>
      </c>
      <c r="G26" s="54">
        <v>250</v>
      </c>
      <c r="H26" s="174">
        <v>0</v>
      </c>
      <c r="I26" s="54"/>
      <c r="J26" s="12"/>
      <c r="K26" s="12"/>
      <c r="L26" s="12"/>
      <c r="M26" s="12"/>
      <c r="N26" s="13"/>
      <c r="O26" s="6"/>
      <c r="P26" s="484"/>
      <c r="Q26" s="13"/>
      <c r="R26" s="18">
        <v>0</v>
      </c>
      <c r="S26" s="12"/>
      <c r="T26" s="12"/>
      <c r="U26" s="12"/>
      <c r="V26" s="12"/>
      <c r="W26" s="19">
        <f t="shared" si="0"/>
        <v>0</v>
      </c>
      <c r="X26" s="216"/>
      <c r="Y26" s="122"/>
      <c r="Z26" s="122">
        <f t="shared" si="1"/>
        <v>0</v>
      </c>
      <c r="AA26" s="122">
        <f t="shared" si="2"/>
        <v>0</v>
      </c>
      <c r="AB26" s="12"/>
    </row>
    <row r="27" spans="1:28" s="73" customFormat="1" x14ac:dyDescent="0.25">
      <c r="A27" s="54" t="s">
        <v>1388</v>
      </c>
      <c r="B27" s="54" t="s">
        <v>1389</v>
      </c>
      <c r="C27" s="54">
        <v>15</v>
      </c>
      <c r="D27" s="54"/>
      <c r="E27" s="54">
        <v>0</v>
      </c>
      <c r="F27" s="54">
        <v>0</v>
      </c>
      <c r="G27" s="54">
        <f>VLOOKUP(A27,'[1]yourspreadsheetname (1)'!$A$2:$C$968, 3, FALSE)</f>
        <v>0</v>
      </c>
      <c r="H27" s="174">
        <v>0</v>
      </c>
      <c r="I27" s="54"/>
      <c r="J27" s="12"/>
      <c r="K27" s="12"/>
      <c r="L27" s="12"/>
      <c r="M27" s="12"/>
      <c r="N27" s="13"/>
      <c r="O27" s="18"/>
      <c r="P27" s="6"/>
      <c r="Q27" s="64"/>
      <c r="R27" s="18">
        <f>((F27*15)-G27-I27)/2</f>
        <v>0</v>
      </c>
      <c r="S27" s="12"/>
      <c r="T27" s="12"/>
      <c r="U27" s="12"/>
      <c r="V27" s="12"/>
      <c r="W27" s="19">
        <f t="shared" si="0"/>
        <v>0</v>
      </c>
      <c r="X27" s="216"/>
      <c r="Y27" s="122"/>
      <c r="Z27" s="122">
        <f t="shared" si="1"/>
        <v>0</v>
      </c>
      <c r="AA27" s="122">
        <f t="shared" si="2"/>
        <v>0</v>
      </c>
      <c r="AB27" s="12"/>
    </row>
    <row r="28" spans="1:28" s="90" customFormat="1" x14ac:dyDescent="0.25">
      <c r="A28" s="54" t="s">
        <v>1390</v>
      </c>
      <c r="B28" s="54" t="s">
        <v>1391</v>
      </c>
      <c r="C28" s="54">
        <v>20</v>
      </c>
      <c r="D28" s="54"/>
      <c r="E28" s="54">
        <v>0</v>
      </c>
      <c r="F28" s="54">
        <v>0</v>
      </c>
      <c r="G28" s="54">
        <f>VLOOKUP(A28,'[1]yourspreadsheetname (1)'!$A$2:$C$968, 3, FALSE)</f>
        <v>0</v>
      </c>
      <c r="H28" s="174">
        <v>0</v>
      </c>
      <c r="I28" s="54"/>
      <c r="J28" s="12"/>
      <c r="K28" s="12"/>
      <c r="L28" s="12"/>
      <c r="M28" s="12"/>
      <c r="N28" s="13"/>
      <c r="O28" s="18"/>
      <c r="P28" s="6"/>
      <c r="Q28" s="13"/>
      <c r="R28" s="18">
        <f>((F28*15)-G28-I28)/2</f>
        <v>0</v>
      </c>
      <c r="S28" s="12"/>
      <c r="T28" s="12"/>
      <c r="U28" s="12"/>
      <c r="V28" s="12"/>
      <c r="W28" s="19">
        <f t="shared" si="0"/>
        <v>0</v>
      </c>
      <c r="X28" s="216"/>
      <c r="Y28" s="122"/>
      <c r="Z28" s="122">
        <f t="shared" si="1"/>
        <v>0</v>
      </c>
      <c r="AA28" s="122">
        <f t="shared" si="2"/>
        <v>0</v>
      </c>
      <c r="AB28" s="12"/>
    </row>
    <row r="29" spans="1:28" s="90" customFormat="1" x14ac:dyDescent="0.25">
      <c r="A29" s="64" t="s">
        <v>1392</v>
      </c>
      <c r="B29" s="64" t="s">
        <v>1393</v>
      </c>
      <c r="C29" s="54">
        <v>12</v>
      </c>
      <c r="D29" s="54"/>
      <c r="E29" s="54">
        <v>0</v>
      </c>
      <c r="F29" s="54">
        <v>0</v>
      </c>
      <c r="G29" s="54">
        <f>VLOOKUP(A29,'[1]yourspreadsheetname (1)'!$A$2:$C$968, 3, FALSE)</f>
        <v>0</v>
      </c>
      <c r="H29" s="174">
        <v>0</v>
      </c>
      <c r="I29" s="54"/>
      <c r="J29" s="12"/>
      <c r="K29" s="12"/>
      <c r="L29" s="12"/>
      <c r="M29" s="12"/>
      <c r="N29" s="13"/>
      <c r="O29" s="18"/>
      <c r="P29" s="6"/>
      <c r="Q29" s="13"/>
      <c r="R29" s="18">
        <f>((F29*15)-G29-I29)/2</f>
        <v>0</v>
      </c>
      <c r="S29" s="12"/>
      <c r="T29" s="12"/>
      <c r="U29" s="12"/>
      <c r="V29" s="12"/>
      <c r="W29" s="19">
        <f t="shared" si="0"/>
        <v>0</v>
      </c>
      <c r="X29" s="216"/>
      <c r="Y29" s="122"/>
      <c r="Z29" s="122">
        <f t="shared" si="1"/>
        <v>0</v>
      </c>
      <c r="AA29" s="122">
        <f t="shared" si="2"/>
        <v>0</v>
      </c>
      <c r="AB29" s="12"/>
    </row>
    <row r="30" spans="1:28" s="90" customFormat="1" x14ac:dyDescent="0.25">
      <c r="A30" s="54" t="s">
        <v>1394</v>
      </c>
      <c r="B30" s="54" t="s">
        <v>1395</v>
      </c>
      <c r="C30" s="54">
        <v>9</v>
      </c>
      <c r="D30" s="54"/>
      <c r="E30" s="54">
        <v>0</v>
      </c>
      <c r="F30" s="54">
        <v>0</v>
      </c>
      <c r="G30" s="54">
        <f>VLOOKUP(A30,'[1]yourspreadsheetname (1)'!$A$2:$C$968, 3, FALSE)</f>
        <v>0</v>
      </c>
      <c r="H30" s="174">
        <v>0</v>
      </c>
      <c r="I30" s="54"/>
      <c r="J30" s="12"/>
      <c r="K30" s="12"/>
      <c r="L30" s="12"/>
      <c r="M30" s="12"/>
      <c r="N30" s="13"/>
      <c r="O30" s="66"/>
      <c r="P30" s="63"/>
      <c r="Q30" s="64"/>
      <c r="R30" s="18">
        <f>((F30*15)-G30-I30)/2</f>
        <v>0</v>
      </c>
      <c r="S30" s="12"/>
      <c r="T30" s="12"/>
      <c r="U30" s="12"/>
      <c r="V30" s="12"/>
      <c r="W30" s="19">
        <f t="shared" si="0"/>
        <v>0</v>
      </c>
      <c r="X30" s="216"/>
      <c r="Y30" s="122"/>
      <c r="Z30" s="122">
        <f t="shared" si="1"/>
        <v>0</v>
      </c>
      <c r="AA30" s="122">
        <f t="shared" si="2"/>
        <v>0</v>
      </c>
      <c r="AB30" s="12"/>
    </row>
    <row r="31" spans="1:28" s="73" customFormat="1" ht="28.5" customHeight="1" x14ac:dyDescent="0.25">
      <c r="A31" s="54" t="s">
        <v>1396</v>
      </c>
      <c r="B31" s="71" t="s">
        <v>1397</v>
      </c>
      <c r="C31" s="54">
        <v>60</v>
      </c>
      <c r="D31" s="54"/>
      <c r="E31" s="54">
        <v>30</v>
      </c>
      <c r="F31" s="54">
        <v>25</v>
      </c>
      <c r="G31" s="54">
        <f>VLOOKUP(A31,'[1]yourspreadsheetname (1)'!$A$2:$C$968, 3, FALSE)</f>
        <v>40</v>
      </c>
      <c r="H31" s="174">
        <v>80</v>
      </c>
      <c r="I31" s="54"/>
      <c r="J31" s="12"/>
      <c r="K31" s="12"/>
      <c r="L31" s="12"/>
      <c r="M31" s="12"/>
      <c r="N31" s="13"/>
      <c r="O31" s="66"/>
      <c r="P31" s="63"/>
      <c r="Q31" s="13"/>
      <c r="R31" s="18">
        <v>150</v>
      </c>
      <c r="S31" s="12"/>
      <c r="T31" s="12"/>
      <c r="U31" s="12"/>
      <c r="V31" s="12"/>
      <c r="W31" s="19">
        <f t="shared" si="0"/>
        <v>0</v>
      </c>
      <c r="X31" s="216">
        <v>29760</v>
      </c>
      <c r="Y31" s="122">
        <v>34000</v>
      </c>
      <c r="Z31" s="122">
        <f t="shared" si="1"/>
        <v>4464000</v>
      </c>
      <c r="AA31" s="122">
        <f t="shared" si="2"/>
        <v>0</v>
      </c>
      <c r="AB31" s="12"/>
    </row>
    <row r="32" spans="1:28" s="73" customFormat="1" x14ac:dyDescent="0.25">
      <c r="A32" s="54" t="s">
        <v>1398</v>
      </c>
      <c r="B32" s="54" t="s">
        <v>1399</v>
      </c>
      <c r="C32" s="54">
        <v>5</v>
      </c>
      <c r="D32" s="54"/>
      <c r="E32" s="54">
        <v>0</v>
      </c>
      <c r="F32" s="54">
        <v>0</v>
      </c>
      <c r="G32" s="54">
        <f>VLOOKUP(A32,'[1]yourspreadsheetname (1)'!$A$2:$C$968, 3, FALSE)</f>
        <v>0</v>
      </c>
      <c r="H32" s="174">
        <v>0</v>
      </c>
      <c r="I32" s="54"/>
      <c r="J32" s="12"/>
      <c r="K32" s="12"/>
      <c r="L32" s="12"/>
      <c r="M32" s="12"/>
      <c r="N32" s="13"/>
      <c r="O32" s="66"/>
      <c r="P32" s="66"/>
      <c r="Q32" s="64"/>
      <c r="R32" s="18">
        <f>((F32*15)-G32-I32)/2</f>
        <v>0</v>
      </c>
      <c r="S32" s="12"/>
      <c r="T32" s="12"/>
      <c r="U32" s="12"/>
      <c r="V32" s="12"/>
      <c r="W32" s="19">
        <f t="shared" si="0"/>
        <v>0</v>
      </c>
      <c r="X32" s="216">
        <v>24750</v>
      </c>
      <c r="Y32" s="122"/>
      <c r="Z32" s="122">
        <f t="shared" si="1"/>
        <v>0</v>
      </c>
      <c r="AA32" s="122">
        <f t="shared" si="2"/>
        <v>0</v>
      </c>
      <c r="AB32" s="12"/>
    </row>
    <row r="33" spans="1:28" s="4" customFormat="1" x14ac:dyDescent="0.25">
      <c r="A33" s="54" t="s">
        <v>1400</v>
      </c>
      <c r="B33" s="54" t="s">
        <v>1401</v>
      </c>
      <c r="C33" s="54">
        <v>15</v>
      </c>
      <c r="D33" s="54"/>
      <c r="E33" s="54">
        <v>0</v>
      </c>
      <c r="F33" s="54">
        <v>0</v>
      </c>
      <c r="G33" s="54">
        <f>VLOOKUP(A33,'[1]yourspreadsheetname (1)'!$A$2:$C$968, 3, FALSE)</f>
        <v>0</v>
      </c>
      <c r="H33" s="174">
        <v>0</v>
      </c>
      <c r="I33" s="54"/>
      <c r="J33" s="12"/>
      <c r="K33" s="12"/>
      <c r="L33" s="12"/>
      <c r="M33" s="12"/>
      <c r="N33" s="13"/>
      <c r="O33" s="258"/>
      <c r="P33" s="258"/>
      <c r="Q33" s="314"/>
      <c r="R33" s="18">
        <f>((F33*15)-G33-I33)/2</f>
        <v>0</v>
      </c>
      <c r="S33" s="12"/>
      <c r="T33" s="12"/>
      <c r="U33" s="12"/>
      <c r="V33" s="12"/>
      <c r="W33" s="19">
        <f t="shared" si="0"/>
        <v>0</v>
      </c>
      <c r="X33" s="216"/>
      <c r="Y33" s="122"/>
      <c r="Z33" s="122">
        <f t="shared" si="1"/>
        <v>0</v>
      </c>
      <c r="AA33" s="122">
        <f t="shared" si="2"/>
        <v>0</v>
      </c>
      <c r="AB33" s="12"/>
    </row>
    <row r="34" spans="1:28" s="4" customFormat="1" x14ac:dyDescent="0.25">
      <c r="A34" s="54" t="s">
        <v>1283</v>
      </c>
      <c r="B34" s="54" t="s">
        <v>1402</v>
      </c>
      <c r="C34" s="54"/>
      <c r="D34" s="54"/>
      <c r="E34" s="54">
        <v>0</v>
      </c>
      <c r="F34" s="54">
        <v>0</v>
      </c>
      <c r="G34" s="54">
        <v>0</v>
      </c>
      <c r="H34" s="174">
        <v>0</v>
      </c>
      <c r="I34" s="54"/>
      <c r="J34" s="12"/>
      <c r="K34" s="12"/>
      <c r="L34" s="12"/>
      <c r="M34" s="13"/>
      <c r="N34" s="13"/>
      <c r="O34" s="36"/>
      <c r="P34" s="74"/>
      <c r="Q34" s="13"/>
      <c r="R34" s="18">
        <f>((F34*15)-G34-I34)/2</f>
        <v>0</v>
      </c>
      <c r="S34" s="12"/>
      <c r="T34" s="12"/>
      <c r="U34" s="12"/>
      <c r="V34" s="29"/>
      <c r="W34" s="19">
        <f t="shared" si="0"/>
        <v>0</v>
      </c>
      <c r="X34" s="218">
        <v>424.5</v>
      </c>
      <c r="Y34" s="122"/>
      <c r="Z34" s="122">
        <f t="shared" si="1"/>
        <v>0</v>
      </c>
      <c r="AA34" s="122">
        <f t="shared" si="2"/>
        <v>0</v>
      </c>
      <c r="AB34" s="217"/>
    </row>
    <row r="35" spans="1:28" s="4" customFormat="1" ht="26.25" customHeight="1" x14ac:dyDescent="0.25">
      <c r="A35" s="54" t="s">
        <v>1403</v>
      </c>
      <c r="B35" s="54" t="s">
        <v>1404</v>
      </c>
      <c r="C35" s="54">
        <v>20</v>
      </c>
      <c r="D35" s="54"/>
      <c r="E35" s="54">
        <v>0</v>
      </c>
      <c r="F35" s="54">
        <v>0</v>
      </c>
      <c r="G35" s="54">
        <f>VLOOKUP(A35,'[1]yourspreadsheetname (1)'!$A$2:$C$968, 3, FALSE)</f>
        <v>0</v>
      </c>
      <c r="H35" s="174">
        <v>0</v>
      </c>
      <c r="I35" s="54"/>
      <c r="J35" s="12"/>
      <c r="K35" s="12"/>
      <c r="L35" s="12"/>
      <c r="M35" s="12"/>
      <c r="N35" s="13"/>
      <c r="O35" s="66"/>
      <c r="P35" s="66"/>
      <c r="Q35" s="64"/>
      <c r="R35" s="18">
        <f>((F35*15)-G35-I35)/2</f>
        <v>0</v>
      </c>
      <c r="S35" s="12"/>
      <c r="T35" s="12"/>
      <c r="U35" s="12"/>
      <c r="V35" s="12"/>
      <c r="W35" s="19">
        <f t="shared" si="0"/>
        <v>0</v>
      </c>
      <c r="X35" s="216"/>
      <c r="Y35" s="122"/>
      <c r="Z35" s="122">
        <f t="shared" si="1"/>
        <v>0</v>
      </c>
      <c r="AA35" s="122">
        <f t="shared" si="2"/>
        <v>0</v>
      </c>
      <c r="AB35" s="12"/>
    </row>
    <row r="36" spans="1:28" s="375" customFormat="1" x14ac:dyDescent="0.25">
      <c r="A36" s="236"/>
      <c r="B36" s="236"/>
      <c r="C36" s="236"/>
      <c r="D36" s="236"/>
      <c r="E36" s="236"/>
      <c r="F36" s="236"/>
      <c r="G36" s="236"/>
      <c r="H36" s="326"/>
      <c r="I36" s="236"/>
      <c r="J36" s="236"/>
      <c r="K36" s="236"/>
      <c r="L36" s="236"/>
      <c r="M36" s="236"/>
      <c r="N36" s="372"/>
      <c r="O36" s="6"/>
      <c r="P36" s="63"/>
      <c r="Q36" s="64"/>
      <c r="R36" s="327"/>
      <c r="S36" s="236"/>
      <c r="T36" s="236"/>
      <c r="U36" s="236"/>
      <c r="V36" s="236"/>
      <c r="W36" s="19">
        <f t="shared" si="0"/>
        <v>0</v>
      </c>
      <c r="X36" s="373"/>
      <c r="Y36" s="374"/>
      <c r="Z36" s="122">
        <f t="shared" si="1"/>
        <v>0</v>
      </c>
      <c r="AA36" s="374"/>
      <c r="AB36" s="236"/>
    </row>
    <row r="37" spans="1:28" s="90" customFormat="1" ht="52.5" customHeight="1" x14ac:dyDescent="0.25">
      <c r="A37" s="18" t="s">
        <v>113</v>
      </c>
      <c r="B37" s="12" t="s">
        <v>114</v>
      </c>
      <c r="C37" s="282"/>
      <c r="D37" s="282"/>
      <c r="E37" s="19">
        <v>116</v>
      </c>
      <c r="F37" s="19">
        <v>120</v>
      </c>
      <c r="G37" s="54">
        <v>120</v>
      </c>
      <c r="H37" s="19">
        <v>1392</v>
      </c>
      <c r="I37" s="282"/>
      <c r="J37" s="282"/>
      <c r="K37" s="19"/>
      <c r="L37" s="66"/>
      <c r="M37" s="19"/>
      <c r="N37" s="19"/>
      <c r="O37" s="680"/>
      <c r="P37" s="14"/>
      <c r="Q37" s="14"/>
      <c r="R37" s="18">
        <v>0</v>
      </c>
      <c r="S37" s="31"/>
      <c r="T37" s="19"/>
      <c r="U37" s="31"/>
      <c r="V37" s="31"/>
      <c r="W37" s="19">
        <f t="shared" si="0"/>
        <v>0</v>
      </c>
      <c r="X37" s="283">
        <v>12970.74</v>
      </c>
      <c r="Y37" s="283">
        <v>12970.74</v>
      </c>
      <c r="Z37" s="122">
        <f t="shared" si="1"/>
        <v>0</v>
      </c>
      <c r="AA37" s="122">
        <f>W37*Y37</f>
        <v>0</v>
      </c>
      <c r="AB37" s="31"/>
    </row>
    <row r="38" spans="1:28" s="90" customFormat="1" ht="52.5" customHeight="1" x14ac:dyDescent="0.25">
      <c r="A38" s="66" t="s">
        <v>1405</v>
      </c>
      <c r="B38" s="54" t="s">
        <v>1406</v>
      </c>
      <c r="C38" s="370"/>
      <c r="D38" s="370"/>
      <c r="E38" s="174">
        <v>4</v>
      </c>
      <c r="F38" s="174">
        <v>4</v>
      </c>
      <c r="G38" s="54">
        <v>0</v>
      </c>
      <c r="H38" s="174">
        <v>48</v>
      </c>
      <c r="I38" s="174"/>
      <c r="J38" s="19"/>
      <c r="K38" s="19"/>
      <c r="L38" s="66"/>
      <c r="M38" s="19"/>
      <c r="N38" s="19"/>
      <c r="O38" s="680"/>
      <c r="P38" s="680"/>
      <c r="Q38" s="680"/>
      <c r="R38" s="18">
        <v>0</v>
      </c>
      <c r="S38" s="31"/>
      <c r="T38" s="19"/>
      <c r="U38" s="31"/>
      <c r="V38" s="31"/>
      <c r="W38" s="19">
        <f t="shared" si="0"/>
        <v>0</v>
      </c>
      <c r="X38" s="283">
        <v>19026.349999999999</v>
      </c>
      <c r="Y38" s="283">
        <v>19026.349999999999</v>
      </c>
      <c r="Z38" s="122">
        <f t="shared" si="1"/>
        <v>0</v>
      </c>
      <c r="AA38" s="122">
        <f>W38*Y38</f>
        <v>0</v>
      </c>
      <c r="AB38" s="31"/>
    </row>
    <row r="39" spans="1:28" x14ac:dyDescent="0.25">
      <c r="L39" s="70"/>
      <c r="O39" s="680"/>
      <c r="P39" s="680"/>
      <c r="Q39" s="680"/>
      <c r="Z39" s="598">
        <f>SUM(Z3:Z38)</f>
        <v>101817477</v>
      </c>
      <c r="AA39" s="598">
        <f>SUM(AA3:AA38)</f>
        <v>71455375.599999994</v>
      </c>
    </row>
    <row r="40" spans="1:28" x14ac:dyDescent="0.25">
      <c r="L40" s="70"/>
      <c r="O40" s="680"/>
      <c r="P40" s="680"/>
      <c r="Q40" s="680"/>
    </row>
    <row r="41" spans="1:28" x14ac:dyDescent="0.25">
      <c r="L41" s="70"/>
      <c r="O41" s="680"/>
      <c r="P41" s="680"/>
      <c r="Q41" s="680"/>
    </row>
    <row r="42" spans="1:28" x14ac:dyDescent="0.25">
      <c r="L42" s="70"/>
      <c r="O42" s="680"/>
      <c r="P42" s="680"/>
      <c r="Q42" s="680"/>
    </row>
    <row r="43" spans="1:28" x14ac:dyDescent="0.25">
      <c r="L43" s="22"/>
      <c r="O43" s="680" t="s">
        <v>750</v>
      </c>
      <c r="P43" s="680"/>
      <c r="Q43" s="680"/>
    </row>
    <row r="44" spans="1:28" x14ac:dyDescent="0.25">
      <c r="L44" s="87"/>
      <c r="O44" s="680" t="s">
        <v>752</v>
      </c>
      <c r="P44" s="680"/>
      <c r="Q44" s="680"/>
    </row>
    <row r="45" spans="1:28" x14ac:dyDescent="0.25">
      <c r="L45" s="87"/>
      <c r="O45" s="680" t="s">
        <v>754</v>
      </c>
      <c r="P45" s="680"/>
      <c r="Q45" s="680"/>
    </row>
    <row r="46" spans="1:28" x14ac:dyDescent="0.25">
      <c r="L46" s="87"/>
      <c r="O46" s="680" t="s">
        <v>756</v>
      </c>
      <c r="P46" s="680"/>
      <c r="Q46" s="680"/>
    </row>
    <row r="47" spans="1:28" x14ac:dyDescent="0.25">
      <c r="L47" s="87"/>
      <c r="P47" s="680"/>
      <c r="Q47" s="680"/>
    </row>
    <row r="48" spans="1:28" x14ac:dyDescent="0.25">
      <c r="L48" s="87"/>
      <c r="P48" s="680"/>
      <c r="Q48" s="680"/>
    </row>
    <row r="49" spans="12:17" x14ac:dyDescent="0.25">
      <c r="L49" s="87"/>
      <c r="P49" s="680"/>
      <c r="Q49" s="680"/>
    </row>
    <row r="50" spans="12:17" x14ac:dyDescent="0.25">
      <c r="L50" s="87"/>
    </row>
    <row r="51" spans="12:17" x14ac:dyDescent="0.25">
      <c r="L51" s="87"/>
    </row>
    <row r="52" spans="12:17" x14ac:dyDescent="0.25">
      <c r="L52" s="87"/>
    </row>
    <row r="53" spans="12:17" x14ac:dyDescent="0.25">
      <c r="L53" s="87"/>
    </row>
    <row r="54" spans="12:17" x14ac:dyDescent="0.25">
      <c r="L54" s="87"/>
    </row>
    <row r="55" spans="12:17" x14ac:dyDescent="0.25">
      <c r="L55" s="87"/>
    </row>
    <row r="56" spans="12:17" x14ac:dyDescent="0.25">
      <c r="L56" s="87"/>
    </row>
    <row r="126" spans="18:28" x14ac:dyDescent="0.25">
      <c r="R126" s="2"/>
      <c r="S126" s="2"/>
      <c r="T126" s="2"/>
      <c r="U126" s="2"/>
      <c r="V126" s="2"/>
      <c r="W126" s="2"/>
      <c r="X126" s="2"/>
      <c r="Y126" s="2"/>
      <c r="AB126" s="2"/>
    </row>
    <row r="127" spans="18:28" x14ac:dyDescent="0.25">
      <c r="R127" s="2"/>
      <c r="S127" s="2"/>
      <c r="T127" s="2"/>
      <c r="U127" s="2"/>
      <c r="V127" s="2"/>
      <c r="W127" s="2"/>
      <c r="X127" s="2"/>
      <c r="Y127" s="2"/>
      <c r="AB127" s="2"/>
    </row>
    <row r="128" spans="18:28" x14ac:dyDescent="0.25">
      <c r="R128" s="2"/>
      <c r="S128" s="2"/>
      <c r="T128" s="2"/>
      <c r="U128" s="2"/>
      <c r="V128" s="2"/>
      <c r="W128" s="2"/>
      <c r="X128" s="2"/>
      <c r="Y128" s="2"/>
      <c r="AB128" s="2"/>
    </row>
    <row r="129" spans="16:28" x14ac:dyDescent="0.25">
      <c r="R129" s="2"/>
      <c r="S129" s="2"/>
      <c r="T129" s="2"/>
      <c r="U129" s="2"/>
      <c r="V129" s="2"/>
      <c r="W129" s="2"/>
      <c r="X129" s="2"/>
      <c r="Y129" s="2"/>
      <c r="AB129" s="2"/>
    </row>
    <row r="130" spans="16:28" x14ac:dyDescent="0.25">
      <c r="R130" s="2"/>
      <c r="S130" s="2"/>
      <c r="T130" s="2"/>
      <c r="U130" s="2"/>
      <c r="V130" s="2"/>
      <c r="W130" s="2"/>
      <c r="X130" s="2"/>
      <c r="Y130" s="2"/>
      <c r="AB130" s="2"/>
    </row>
    <row r="131" spans="16:28" x14ac:dyDescent="0.25">
      <c r="R131" s="2"/>
      <c r="S131" s="2"/>
      <c r="T131" s="2"/>
      <c r="U131" s="2"/>
      <c r="V131" s="2"/>
      <c r="W131" s="2"/>
      <c r="X131" s="2"/>
      <c r="Y131" s="2"/>
      <c r="AB131" s="2"/>
    </row>
    <row r="132" spans="16:28" x14ac:dyDescent="0.25">
      <c r="R132" s="2"/>
      <c r="S132" s="2"/>
      <c r="T132" s="2"/>
      <c r="U132" s="2"/>
      <c r="V132" s="2"/>
      <c r="W132" s="2"/>
      <c r="X132" s="2"/>
      <c r="Y132" s="2"/>
      <c r="AB132" s="2"/>
    </row>
    <row r="133" spans="16:28" x14ac:dyDescent="0.25">
      <c r="R133" s="2"/>
      <c r="S133" s="2"/>
      <c r="T133" s="2"/>
      <c r="U133" s="2"/>
      <c r="V133" s="2"/>
      <c r="W133" s="2"/>
      <c r="X133" s="2"/>
      <c r="Y133" s="2"/>
      <c r="AB133" s="2"/>
    </row>
    <row r="134" spans="16:28" x14ac:dyDescent="0.25">
      <c r="R134" s="2"/>
      <c r="S134" s="2"/>
      <c r="T134" s="2"/>
      <c r="U134" s="2"/>
      <c r="V134" s="2"/>
      <c r="W134" s="2"/>
      <c r="X134" s="2"/>
      <c r="Y134" s="2"/>
      <c r="AB134" s="2"/>
    </row>
    <row r="135" spans="16:28" x14ac:dyDescent="0.25">
      <c r="R135" s="2"/>
      <c r="S135" s="2"/>
      <c r="T135" s="2"/>
      <c r="U135" s="2"/>
      <c r="V135" s="2"/>
      <c r="W135" s="2"/>
      <c r="X135" s="2"/>
      <c r="Y135" s="2"/>
      <c r="AB135" s="2"/>
    </row>
    <row r="136" spans="16:28" x14ac:dyDescent="0.25">
      <c r="R136" s="2"/>
      <c r="S136" s="2"/>
      <c r="T136" s="2"/>
      <c r="U136" s="2"/>
      <c r="V136" s="2"/>
      <c r="W136" s="2"/>
      <c r="X136" s="2"/>
      <c r="Y136" s="2"/>
      <c r="AB136" s="2"/>
    </row>
    <row r="137" spans="16:28" x14ac:dyDescent="0.25">
      <c r="P137" s="2"/>
      <c r="Q137" s="2"/>
      <c r="R137" s="2"/>
      <c r="S137" s="2"/>
      <c r="T137" s="2"/>
      <c r="U137" s="2"/>
      <c r="V137" s="2"/>
      <c r="W137" s="2"/>
      <c r="X137" s="2"/>
      <c r="Y137" s="2"/>
      <c r="AB137" s="2"/>
    </row>
    <row r="138" spans="16:28" x14ac:dyDescent="0.25">
      <c r="P138" s="2"/>
      <c r="Q138" s="2"/>
      <c r="R138" s="2"/>
      <c r="S138" s="2"/>
      <c r="T138" s="2"/>
      <c r="U138" s="2"/>
      <c r="V138" s="2"/>
      <c r="W138" s="2"/>
      <c r="X138" s="2"/>
      <c r="Y138" s="2"/>
      <c r="AB138" s="2"/>
    </row>
    <row r="139" spans="16:28" x14ac:dyDescent="0.25">
      <c r="P139" s="2"/>
      <c r="Q139" s="2"/>
      <c r="R139" s="2"/>
      <c r="S139" s="2"/>
      <c r="T139" s="2"/>
      <c r="U139" s="2"/>
      <c r="V139" s="2"/>
      <c r="W139" s="2"/>
      <c r="X139" s="2"/>
      <c r="Y139" s="2"/>
      <c r="AB139" s="2"/>
    </row>
    <row r="140" spans="16:28" x14ac:dyDescent="0.25">
      <c r="P140" s="2"/>
      <c r="Q140" s="2"/>
      <c r="R140" s="2"/>
      <c r="S140" s="2"/>
      <c r="T140" s="2"/>
      <c r="U140" s="2"/>
      <c r="V140" s="2"/>
      <c r="W140" s="2"/>
      <c r="X140" s="2"/>
      <c r="Y140" s="2"/>
      <c r="AB140" s="2"/>
    </row>
    <row r="141" spans="16:28" x14ac:dyDescent="0.25">
      <c r="P141" s="2"/>
      <c r="Q141" s="2"/>
      <c r="R141" s="2"/>
      <c r="S141" s="2"/>
      <c r="T141" s="2"/>
      <c r="U141" s="2"/>
      <c r="V141" s="2"/>
      <c r="W141" s="2"/>
      <c r="X141" s="2"/>
      <c r="Y141" s="2"/>
      <c r="AB141" s="2"/>
    </row>
    <row r="142" spans="16:28" x14ac:dyDescent="0.25">
      <c r="P142" s="2"/>
      <c r="Q142" s="2"/>
    </row>
    <row r="143" spans="16:28" x14ac:dyDescent="0.25">
      <c r="P143" s="2"/>
      <c r="Q143" s="2"/>
    </row>
    <row r="144" spans="16:28" x14ac:dyDescent="0.25">
      <c r="P144" s="2"/>
      <c r="Q144" s="2"/>
    </row>
    <row r="145" spans="16:17" x14ac:dyDescent="0.25">
      <c r="P145" s="2"/>
      <c r="Q145" s="2"/>
    </row>
    <row r="146" spans="16:17" x14ac:dyDescent="0.25">
      <c r="P146" s="2"/>
      <c r="Q146" s="2"/>
    </row>
    <row r="147" spans="16:17" x14ac:dyDescent="0.25">
      <c r="P147" s="2"/>
      <c r="Q147" s="2"/>
    </row>
    <row r="148" spans="16:17" x14ac:dyDescent="0.25">
      <c r="P148" s="2"/>
      <c r="Q148" s="2"/>
    </row>
    <row r="149" spans="16:17" x14ac:dyDescent="0.25">
      <c r="P149" s="2"/>
      <c r="Q149" s="2"/>
    </row>
    <row r="150" spans="16:17" x14ac:dyDescent="0.25">
      <c r="P150" s="2"/>
      <c r="Q150" s="2"/>
    </row>
    <row r="151" spans="16:17" x14ac:dyDescent="0.25">
      <c r="P151" s="2"/>
      <c r="Q151" s="2"/>
    </row>
    <row r="152" spans="16:17" x14ac:dyDescent="0.25">
      <c r="P152" s="2"/>
      <c r="Q152" s="2"/>
    </row>
  </sheetData>
  <autoFilter ref="A2:AB31">
    <sortState ref="A4:AB35">
      <sortCondition ref="O2:O31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C137"/>
  <sheetViews>
    <sheetView zoomScaleNormal="100" workbookViewId="0">
      <pane ySplit="2" topLeftCell="A3" activePane="bottomLeft" state="frozen"/>
      <selection pane="bottomLeft" activeCell="B12" sqref="B12"/>
    </sheetView>
  </sheetViews>
  <sheetFormatPr baseColWidth="10" defaultColWidth="11.42578125" defaultRowHeight="15" x14ac:dyDescent="0.25"/>
  <cols>
    <col min="1" max="1" width="15" customWidth="1"/>
    <col min="2" max="2" width="71.28515625" customWidth="1"/>
    <col min="3" max="6" width="12.7109375" customWidth="1"/>
    <col min="7" max="7" width="13" customWidth="1"/>
    <col min="8" max="8" width="14.140625" customWidth="1"/>
    <col min="9" max="9" width="9.5703125" customWidth="1"/>
    <col min="10" max="10" width="11" customWidth="1"/>
    <col min="11" max="11" width="7.85546875" customWidth="1"/>
    <col min="12" max="12" width="9.85546875" customWidth="1"/>
    <col min="13" max="13" width="12.28515625" customWidth="1"/>
    <col min="14" max="14" width="7.140625" customWidth="1"/>
    <col min="15" max="15" width="7.85546875" customWidth="1"/>
    <col min="16" max="16" width="7" customWidth="1"/>
    <col min="17" max="17" width="7.7109375" customWidth="1"/>
    <col min="18" max="20" width="11.5703125" customWidth="1"/>
    <col min="21" max="21" width="13.7109375" customWidth="1"/>
    <col min="22" max="22" width="12.42578125" customWidth="1"/>
    <col min="23" max="23" width="11.7109375" customWidth="1"/>
    <col min="24" max="24" width="13.28515625" customWidth="1"/>
    <col min="25" max="25" width="16.5703125" customWidth="1"/>
    <col min="26" max="26" width="16.7109375" customWidth="1"/>
    <col min="27" max="27" width="18.71093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82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8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4" customFormat="1" ht="39.4" customHeight="1" x14ac:dyDescent="0.25">
      <c r="A3" s="18" t="s">
        <v>1407</v>
      </c>
      <c r="B3" s="12" t="s">
        <v>1408</v>
      </c>
      <c r="C3" s="1">
        <v>90</v>
      </c>
      <c r="D3" s="1">
        <v>90</v>
      </c>
      <c r="E3" s="1">
        <v>150</v>
      </c>
      <c r="F3" s="107">
        <v>150</v>
      </c>
      <c r="G3" s="54">
        <f>VLOOKUP(A3,'[1]yourspreadsheetname (1)'!$A$2:$C$968, 3, FALSE)</f>
        <v>1204</v>
      </c>
      <c r="H3" s="18">
        <v>1800</v>
      </c>
      <c r="I3" s="7"/>
      <c r="J3" s="7"/>
      <c r="K3" s="110">
        <v>756654</v>
      </c>
      <c r="L3" s="7"/>
      <c r="M3" s="18" t="s">
        <v>712</v>
      </c>
      <c r="N3" s="13" t="s">
        <v>1409</v>
      </c>
      <c r="O3" s="18">
        <v>1</v>
      </c>
      <c r="P3" s="18" t="s">
        <v>1410</v>
      </c>
      <c r="Q3" s="18" t="s">
        <v>1985</v>
      </c>
      <c r="R3" s="18">
        <v>600</v>
      </c>
      <c r="S3" s="18"/>
      <c r="T3" s="18"/>
      <c r="U3" s="18">
        <v>600</v>
      </c>
      <c r="V3" s="18">
        <v>150</v>
      </c>
      <c r="W3" s="7">
        <f t="shared" ref="W3:W26" si="0">U3+V3</f>
        <v>750</v>
      </c>
      <c r="X3" s="51">
        <v>158400</v>
      </c>
      <c r="Y3" s="8">
        <v>164000</v>
      </c>
      <c r="Z3" s="9">
        <f t="shared" ref="Z3:Z13" si="1">R3*X3</f>
        <v>95040000</v>
      </c>
      <c r="AA3" s="9">
        <f t="shared" ref="AA3:AA12" si="2">W3*Y3</f>
        <v>123000000</v>
      </c>
      <c r="AB3" s="18"/>
    </row>
    <row r="4" spans="1:28" s="4" customFormat="1" ht="42.75" customHeight="1" x14ac:dyDescent="0.25">
      <c r="A4" s="18" t="s">
        <v>1411</v>
      </c>
      <c r="B4" s="12" t="s">
        <v>1412</v>
      </c>
      <c r="C4" s="1"/>
      <c r="D4" s="1"/>
      <c r="E4" s="1">
        <v>5</v>
      </c>
      <c r="F4" s="1">
        <v>4</v>
      </c>
      <c r="G4" s="54">
        <f>VLOOKUP(A4,'[1]yourspreadsheetname (1)'!$A$2:$C$968, 3, FALSE)</f>
        <v>16</v>
      </c>
      <c r="H4" s="18">
        <v>30</v>
      </c>
      <c r="I4" s="18"/>
      <c r="J4" s="18"/>
      <c r="K4" s="110">
        <v>756654</v>
      </c>
      <c r="L4" s="18"/>
      <c r="M4" s="18" t="s">
        <v>712</v>
      </c>
      <c r="N4" s="13" t="s">
        <v>1409</v>
      </c>
      <c r="O4" s="18">
        <v>2</v>
      </c>
      <c r="P4" s="18" t="s">
        <v>1410</v>
      </c>
      <c r="Q4" s="18"/>
      <c r="R4" s="18">
        <v>20</v>
      </c>
      <c r="S4" s="18"/>
      <c r="T4" s="18"/>
      <c r="U4" s="18">
        <v>20</v>
      </c>
      <c r="V4" s="18"/>
      <c r="W4" s="7">
        <f t="shared" si="0"/>
        <v>20</v>
      </c>
      <c r="X4" s="53">
        <v>160380</v>
      </c>
      <c r="Y4" s="8">
        <v>152000</v>
      </c>
      <c r="Z4" s="9">
        <f t="shared" si="1"/>
        <v>3207600</v>
      </c>
      <c r="AA4" s="9">
        <f t="shared" si="2"/>
        <v>3040000</v>
      </c>
      <c r="AB4" s="18"/>
    </row>
    <row r="5" spans="1:28" s="4" customFormat="1" ht="25.5" x14ac:dyDescent="0.25">
      <c r="A5" s="55" t="s">
        <v>412</v>
      </c>
      <c r="B5" s="92" t="s">
        <v>413</v>
      </c>
      <c r="C5" s="55"/>
      <c r="D5" s="55"/>
      <c r="E5" s="55">
        <v>10</v>
      </c>
      <c r="F5" s="55">
        <v>150</v>
      </c>
      <c r="G5" s="92">
        <v>200</v>
      </c>
      <c r="H5" s="55">
        <v>300</v>
      </c>
      <c r="I5" s="55"/>
      <c r="J5" s="55"/>
      <c r="K5" s="55">
        <v>756655</v>
      </c>
      <c r="L5" s="55"/>
      <c r="M5" s="92" t="s">
        <v>285</v>
      </c>
      <c r="N5" s="93"/>
      <c r="O5" s="55">
        <v>1</v>
      </c>
      <c r="P5" s="18"/>
      <c r="Q5" s="18"/>
      <c r="R5" s="18">
        <v>1000</v>
      </c>
      <c r="S5" s="18">
        <v>600</v>
      </c>
      <c r="T5" s="18"/>
      <c r="U5" s="18"/>
      <c r="V5" s="18"/>
      <c r="W5" s="7">
        <f t="shared" si="0"/>
        <v>0</v>
      </c>
      <c r="X5" s="95">
        <v>1280</v>
      </c>
      <c r="Y5" s="8">
        <v>19980</v>
      </c>
      <c r="Z5" s="9">
        <f t="shared" si="1"/>
        <v>1280000</v>
      </c>
      <c r="AA5" s="9">
        <f t="shared" si="2"/>
        <v>0</v>
      </c>
      <c r="AB5" s="18"/>
    </row>
    <row r="6" spans="1:28" s="4" customFormat="1" ht="39.4" customHeight="1" x14ac:dyDescent="0.25">
      <c r="A6" s="18" t="s">
        <v>1413</v>
      </c>
      <c r="B6" s="12" t="s">
        <v>1414</v>
      </c>
      <c r="C6" s="1">
        <v>90</v>
      </c>
      <c r="D6" s="1">
        <v>250</v>
      </c>
      <c r="E6" s="1">
        <v>250</v>
      </c>
      <c r="F6" s="107">
        <v>290</v>
      </c>
      <c r="G6" s="54">
        <v>0</v>
      </c>
      <c r="H6" s="18">
        <v>2250</v>
      </c>
      <c r="I6" s="7"/>
      <c r="J6" s="7"/>
      <c r="K6" s="66">
        <v>756655</v>
      </c>
      <c r="L6" s="7"/>
      <c r="M6" s="20" t="s">
        <v>712</v>
      </c>
      <c r="N6" s="13" t="s">
        <v>1415</v>
      </c>
      <c r="O6" s="18">
        <v>2</v>
      </c>
      <c r="P6" s="18" t="s">
        <v>1416</v>
      </c>
      <c r="Q6" s="751" t="s">
        <v>1967</v>
      </c>
      <c r="R6" s="18">
        <v>2200</v>
      </c>
      <c r="S6" s="20">
        <v>2200</v>
      </c>
      <c r="T6" s="20"/>
      <c r="U6" s="20">
        <v>2200</v>
      </c>
      <c r="V6" s="20">
        <v>1000</v>
      </c>
      <c r="W6" s="7">
        <f t="shared" si="0"/>
        <v>3200</v>
      </c>
      <c r="X6" s="48">
        <v>7062.5</v>
      </c>
      <c r="Y6" s="8">
        <v>5929</v>
      </c>
      <c r="Z6" s="9">
        <f t="shared" si="1"/>
        <v>15537500</v>
      </c>
      <c r="AA6" s="9">
        <f t="shared" si="2"/>
        <v>18972800</v>
      </c>
      <c r="AB6" s="179" t="s">
        <v>1417</v>
      </c>
    </row>
    <row r="7" spans="1:28" s="4" customFormat="1" ht="39.4" customHeight="1" x14ac:dyDescent="0.25">
      <c r="A7" s="18" t="s">
        <v>1418</v>
      </c>
      <c r="B7" s="12" t="s">
        <v>1419</v>
      </c>
      <c r="C7" s="1">
        <v>700</v>
      </c>
      <c r="D7" s="1">
        <v>1300</v>
      </c>
      <c r="E7" s="1">
        <v>1400</v>
      </c>
      <c r="F7" s="107">
        <v>650</v>
      </c>
      <c r="G7" s="54">
        <v>7200</v>
      </c>
      <c r="H7" s="18">
        <v>10500</v>
      </c>
      <c r="I7" s="7"/>
      <c r="J7" s="7"/>
      <c r="K7" s="66">
        <v>756655</v>
      </c>
      <c r="L7" s="7"/>
      <c r="M7" s="6" t="s">
        <v>712</v>
      </c>
      <c r="N7" s="13" t="s">
        <v>1415</v>
      </c>
      <c r="O7" s="18">
        <v>3</v>
      </c>
      <c r="P7" s="18" t="s">
        <v>1416</v>
      </c>
      <c r="Q7" s="6"/>
      <c r="R7" s="18">
        <v>1500</v>
      </c>
      <c r="S7" s="18">
        <v>1500</v>
      </c>
      <c r="T7" s="18"/>
      <c r="U7" s="18">
        <v>1500</v>
      </c>
      <c r="V7" s="6"/>
      <c r="W7" s="7">
        <f t="shared" si="0"/>
        <v>1500</v>
      </c>
      <c r="X7" s="51">
        <v>7560</v>
      </c>
      <c r="Y7" s="8">
        <v>7480</v>
      </c>
      <c r="Z7" s="9">
        <f t="shared" si="1"/>
        <v>11340000</v>
      </c>
      <c r="AA7" s="9">
        <f t="shared" si="2"/>
        <v>11220000</v>
      </c>
      <c r="AB7" s="6"/>
    </row>
    <row r="8" spans="1:28" s="4" customFormat="1" ht="65.650000000000006" customHeight="1" x14ac:dyDescent="0.25">
      <c r="A8" s="18" t="s">
        <v>1420</v>
      </c>
      <c r="B8" s="12" t="s">
        <v>1421</v>
      </c>
      <c r="C8" s="1">
        <v>800</v>
      </c>
      <c r="D8" s="1">
        <v>1000</v>
      </c>
      <c r="E8" s="1">
        <v>1000</v>
      </c>
      <c r="F8" s="1">
        <v>1000</v>
      </c>
      <c r="G8" s="54">
        <v>4032</v>
      </c>
      <c r="H8" s="18">
        <v>9000</v>
      </c>
      <c r="I8" s="18"/>
      <c r="J8" s="18"/>
      <c r="K8" s="66">
        <v>756655</v>
      </c>
      <c r="L8" s="18"/>
      <c r="M8" s="18" t="s">
        <v>1422</v>
      </c>
      <c r="N8" s="13" t="s">
        <v>1415</v>
      </c>
      <c r="O8" s="18">
        <v>4</v>
      </c>
      <c r="P8" s="18" t="s">
        <v>1423</v>
      </c>
      <c r="Q8" s="18"/>
      <c r="R8" s="18">
        <v>5500</v>
      </c>
      <c r="S8" s="18">
        <v>5500</v>
      </c>
      <c r="T8" s="18"/>
      <c r="U8" s="18">
        <v>5500</v>
      </c>
      <c r="V8" s="18"/>
      <c r="W8" s="7">
        <f t="shared" si="0"/>
        <v>5500</v>
      </c>
      <c r="X8" s="49">
        <v>7290</v>
      </c>
      <c r="Y8" s="8">
        <v>9075</v>
      </c>
      <c r="Z8" s="9">
        <f t="shared" si="1"/>
        <v>40095000</v>
      </c>
      <c r="AA8" s="8">
        <f t="shared" si="2"/>
        <v>49912500</v>
      </c>
      <c r="AB8" s="23"/>
    </row>
    <row r="9" spans="1:28" s="4" customFormat="1" ht="34.5" customHeight="1" x14ac:dyDescent="0.25">
      <c r="A9" s="18" t="s">
        <v>1424</v>
      </c>
      <c r="B9" s="12" t="s">
        <v>1425</v>
      </c>
      <c r="C9" s="1">
        <v>70</v>
      </c>
      <c r="D9" s="1">
        <v>120</v>
      </c>
      <c r="E9" s="1">
        <v>120</v>
      </c>
      <c r="F9" s="1">
        <v>90</v>
      </c>
      <c r="G9" s="54">
        <f>VLOOKUP(A9,'[1]yourspreadsheetname (1)'!$A$2:$C$968, 3, FALSE)</f>
        <v>864</v>
      </c>
      <c r="H9" s="18">
        <v>1440</v>
      </c>
      <c r="I9" s="18"/>
      <c r="J9" s="18"/>
      <c r="K9" s="66">
        <v>756655</v>
      </c>
      <c r="L9" s="18"/>
      <c r="M9" s="18" t="s">
        <v>1426</v>
      </c>
      <c r="N9" s="13" t="s">
        <v>1415</v>
      </c>
      <c r="O9" s="18">
        <v>5</v>
      </c>
      <c r="P9" s="18" t="s">
        <v>1427</v>
      </c>
      <c r="Q9" s="18"/>
      <c r="R9" s="18">
        <v>250</v>
      </c>
      <c r="S9" s="18">
        <v>250</v>
      </c>
      <c r="T9" s="18"/>
      <c r="U9" s="18">
        <v>250</v>
      </c>
      <c r="V9" s="18"/>
      <c r="W9" s="7">
        <f t="shared" si="0"/>
        <v>250</v>
      </c>
      <c r="X9" s="49">
        <v>3907</v>
      </c>
      <c r="Y9" s="8">
        <v>3862</v>
      </c>
      <c r="Z9" s="9">
        <f t="shared" si="1"/>
        <v>976750</v>
      </c>
      <c r="AA9" s="9">
        <f t="shared" si="2"/>
        <v>965500</v>
      </c>
      <c r="AB9" s="23"/>
    </row>
    <row r="10" spans="1:28" s="4" customFormat="1" ht="39.4" customHeight="1" x14ac:dyDescent="0.25">
      <c r="A10" s="18" t="s">
        <v>1428</v>
      </c>
      <c r="B10" s="12" t="s">
        <v>1429</v>
      </c>
      <c r="C10" s="1">
        <v>45</v>
      </c>
      <c r="D10" s="1">
        <v>40</v>
      </c>
      <c r="E10" s="1">
        <v>40</v>
      </c>
      <c r="F10" s="1">
        <v>40</v>
      </c>
      <c r="G10" s="54">
        <f>VLOOKUP(A10,'[1]yourspreadsheetname (1)'!$A$2:$C$968, 3, FALSE)</f>
        <v>176</v>
      </c>
      <c r="H10" s="18">
        <v>240</v>
      </c>
      <c r="I10" s="18"/>
      <c r="J10" s="18"/>
      <c r="K10" s="66">
        <v>756655</v>
      </c>
      <c r="L10" s="18"/>
      <c r="M10" s="18" t="s">
        <v>1426</v>
      </c>
      <c r="N10" s="13" t="s">
        <v>1415</v>
      </c>
      <c r="O10" s="18">
        <v>6</v>
      </c>
      <c r="P10" s="18" t="s">
        <v>1427</v>
      </c>
      <c r="Q10" s="18"/>
      <c r="R10" s="18">
        <v>250</v>
      </c>
      <c r="S10" s="18">
        <v>250</v>
      </c>
      <c r="T10" s="18"/>
      <c r="U10" s="18">
        <v>250</v>
      </c>
      <c r="V10" s="18"/>
      <c r="W10" s="7">
        <f t="shared" si="0"/>
        <v>250</v>
      </c>
      <c r="X10" s="49">
        <v>10328</v>
      </c>
      <c r="Y10" s="8">
        <v>15385</v>
      </c>
      <c r="Z10" s="9">
        <f t="shared" si="1"/>
        <v>2582000</v>
      </c>
      <c r="AA10" s="9">
        <f t="shared" si="2"/>
        <v>3846250</v>
      </c>
      <c r="AB10" s="23"/>
    </row>
    <row r="11" spans="1:28" s="4" customFormat="1" ht="39.4" customHeight="1" x14ac:dyDescent="0.25">
      <c r="A11" s="18" t="s">
        <v>1430</v>
      </c>
      <c r="B11" s="12" t="s">
        <v>1431</v>
      </c>
      <c r="C11" s="1">
        <v>150</v>
      </c>
      <c r="D11" s="1">
        <v>100</v>
      </c>
      <c r="E11" s="1">
        <v>100</v>
      </c>
      <c r="F11" s="1">
        <v>100</v>
      </c>
      <c r="G11" s="54">
        <f>VLOOKUP(A11,'[1]yourspreadsheetname (1)'!$A$2:$C$968, 3, FALSE)</f>
        <v>588</v>
      </c>
      <c r="H11" s="18">
        <v>1100</v>
      </c>
      <c r="I11" s="18"/>
      <c r="J11" s="18"/>
      <c r="K11" s="66">
        <v>756655</v>
      </c>
      <c r="L11" s="18"/>
      <c r="M11" s="18" t="s">
        <v>1426</v>
      </c>
      <c r="N11" s="13" t="s">
        <v>1415</v>
      </c>
      <c r="O11" s="18">
        <v>7</v>
      </c>
      <c r="P11" s="18" t="s">
        <v>1427</v>
      </c>
      <c r="Q11" s="18"/>
      <c r="R11" s="18">
        <v>500</v>
      </c>
      <c r="S11" s="18">
        <v>500</v>
      </c>
      <c r="T11" s="18"/>
      <c r="U11" s="18">
        <v>500</v>
      </c>
      <c r="V11" s="18"/>
      <c r="W11" s="7">
        <f t="shared" si="0"/>
        <v>500</v>
      </c>
      <c r="X11" s="49">
        <v>12876</v>
      </c>
      <c r="Y11" s="8">
        <v>15385</v>
      </c>
      <c r="Z11" s="9">
        <f t="shared" si="1"/>
        <v>6438000</v>
      </c>
      <c r="AA11" s="9">
        <f t="shared" si="2"/>
        <v>7692500</v>
      </c>
      <c r="AB11" s="23"/>
    </row>
    <row r="12" spans="1:28" s="4" customFormat="1" ht="39.4" customHeight="1" x14ac:dyDescent="0.25">
      <c r="A12" s="55" t="s">
        <v>416</v>
      </c>
      <c r="B12" s="92" t="s">
        <v>417</v>
      </c>
      <c r="C12" s="306"/>
      <c r="D12" s="306"/>
      <c r="E12" s="306">
        <v>0</v>
      </c>
      <c r="F12" s="306">
        <v>8</v>
      </c>
      <c r="G12" s="92">
        <f>VLOOKUP(A12,'[1]yourspreadsheetname (1)'!$A$2:$C$968, 3, FALSE)</f>
        <v>0</v>
      </c>
      <c r="H12" s="55">
        <v>0</v>
      </c>
      <c r="I12" s="55"/>
      <c r="J12" s="55"/>
      <c r="K12" s="55">
        <v>756655</v>
      </c>
      <c r="L12" s="55"/>
      <c r="M12" s="55" t="s">
        <v>1432</v>
      </c>
      <c r="N12" s="543"/>
      <c r="O12" s="55">
        <v>8</v>
      </c>
      <c r="P12" s="18"/>
      <c r="Q12" s="18"/>
      <c r="R12" s="18">
        <f>((F12*15)-G12-I12)/2</f>
        <v>60</v>
      </c>
      <c r="S12" s="18"/>
      <c r="T12" s="18"/>
      <c r="U12" s="18"/>
      <c r="V12" s="18"/>
      <c r="W12" s="7">
        <f t="shared" si="0"/>
        <v>0</v>
      </c>
      <c r="X12" s="49">
        <v>20174</v>
      </c>
      <c r="Y12" s="8">
        <v>34909</v>
      </c>
      <c r="Z12" s="9">
        <f t="shared" si="1"/>
        <v>1210440</v>
      </c>
      <c r="AA12" s="9">
        <f t="shared" si="2"/>
        <v>0</v>
      </c>
      <c r="AB12" s="23"/>
    </row>
    <row r="13" spans="1:28" s="4" customFormat="1" ht="26.25" customHeight="1" x14ac:dyDescent="0.25">
      <c r="A13" s="66" t="s">
        <v>1433</v>
      </c>
      <c r="B13" s="54" t="s">
        <v>1434</v>
      </c>
      <c r="C13" s="66"/>
      <c r="D13" s="66"/>
      <c r="E13" s="66">
        <v>1</v>
      </c>
      <c r="F13" s="66">
        <v>1</v>
      </c>
      <c r="G13" s="54">
        <v>0</v>
      </c>
      <c r="H13" s="66">
        <v>5</v>
      </c>
      <c r="I13" s="66"/>
      <c r="J13" s="55"/>
      <c r="K13" s="66">
        <v>756655</v>
      </c>
      <c r="L13" s="12"/>
      <c r="M13" s="7" t="s">
        <v>1432</v>
      </c>
      <c r="N13" s="13"/>
      <c r="O13" s="18">
        <v>9</v>
      </c>
      <c r="P13" s="18" t="s">
        <v>1435</v>
      </c>
      <c r="Q13" s="18"/>
      <c r="R13" s="18">
        <v>5</v>
      </c>
      <c r="S13" s="18">
        <v>5</v>
      </c>
      <c r="T13" s="18"/>
      <c r="U13" s="18">
        <v>5</v>
      </c>
      <c r="V13" s="18"/>
      <c r="W13" s="7">
        <f t="shared" si="0"/>
        <v>5</v>
      </c>
      <c r="X13" s="47">
        <v>66457.83</v>
      </c>
      <c r="Y13" s="8">
        <v>66181.8</v>
      </c>
      <c r="Z13" s="9">
        <f t="shared" si="1"/>
        <v>332289.15000000002</v>
      </c>
      <c r="AA13" s="9"/>
      <c r="AB13" s="18"/>
    </row>
    <row r="14" spans="1:28" s="375" customFormat="1" x14ac:dyDescent="0.25">
      <c r="A14" s="327"/>
      <c r="B14" s="236"/>
      <c r="C14" s="327"/>
      <c r="D14" s="327"/>
      <c r="E14" s="327"/>
      <c r="F14" s="327"/>
      <c r="G14" s="236"/>
      <c r="H14" s="327"/>
      <c r="I14" s="327"/>
      <c r="J14" s="327"/>
      <c r="K14" s="376"/>
      <c r="L14" s="236"/>
      <c r="M14" s="377"/>
      <c r="N14" s="372"/>
      <c r="O14" s="327"/>
      <c r="P14" s="327"/>
      <c r="Q14" s="327"/>
      <c r="R14" s="327"/>
      <c r="S14" s="327"/>
      <c r="T14" s="327"/>
      <c r="U14" s="327"/>
      <c r="V14" s="327"/>
      <c r="W14" s="7">
        <f t="shared" si="0"/>
        <v>0</v>
      </c>
      <c r="X14" s="378"/>
      <c r="Y14" s="331"/>
      <c r="Z14" s="379"/>
      <c r="AA14" s="379"/>
      <c r="AB14" s="327"/>
    </row>
    <row r="15" spans="1:28" s="4" customFormat="1" ht="31.5" customHeight="1" x14ac:dyDescent="0.25">
      <c r="A15" s="18" t="s">
        <v>1436</v>
      </c>
      <c r="B15" s="12" t="s">
        <v>1437</v>
      </c>
      <c r="C15" s="18"/>
      <c r="D15" s="18">
        <v>6</v>
      </c>
      <c r="E15" s="18">
        <v>0</v>
      </c>
      <c r="F15" s="18">
        <v>0</v>
      </c>
      <c r="G15" s="54">
        <f>VLOOKUP(A15,'[1]yourspreadsheetname (1)'!$A$2:$C$968, 3, FALSE)</f>
        <v>0</v>
      </c>
      <c r="H15" s="18">
        <v>0</v>
      </c>
      <c r="I15" s="18"/>
      <c r="J15" s="18"/>
      <c r="K15" s="18"/>
      <c r="L15" s="18"/>
      <c r="M15" s="18"/>
      <c r="N15" s="13"/>
      <c r="O15" s="18"/>
      <c r="P15" s="18"/>
      <c r="Q15" s="18"/>
      <c r="R15" s="18">
        <f>((F15*15)-G15-I15)/2</f>
        <v>0</v>
      </c>
      <c r="S15" s="52"/>
      <c r="T15" s="52"/>
      <c r="U15" s="18"/>
      <c r="V15" s="18"/>
      <c r="W15" s="7">
        <f t="shared" si="0"/>
        <v>0</v>
      </c>
      <c r="X15" s="45"/>
      <c r="Y15" s="8"/>
      <c r="Z15" s="9">
        <f t="shared" ref="Z15:Z26" si="3">R15*X15</f>
        <v>0</v>
      </c>
      <c r="AA15" s="9">
        <f>W15*Y15</f>
        <v>0</v>
      </c>
      <c r="AB15" s="18"/>
    </row>
    <row r="16" spans="1:28" s="4" customFormat="1" ht="22.5" customHeight="1" x14ac:dyDescent="0.25">
      <c r="A16" s="18" t="s">
        <v>1438</v>
      </c>
      <c r="B16" s="18" t="s">
        <v>1439</v>
      </c>
      <c r="C16" s="18"/>
      <c r="D16" s="18">
        <v>3</v>
      </c>
      <c r="E16" s="18"/>
      <c r="F16" s="18">
        <v>0</v>
      </c>
      <c r="G16" s="54">
        <v>0</v>
      </c>
      <c r="H16" s="18">
        <v>0</v>
      </c>
      <c r="I16" s="18"/>
      <c r="J16" s="7"/>
      <c r="K16" s="110"/>
      <c r="L16" s="7"/>
      <c r="M16" s="7"/>
      <c r="N16" s="13"/>
      <c r="O16" s="18"/>
      <c r="P16" s="18"/>
      <c r="Q16" s="18"/>
      <c r="R16" s="18">
        <f>((F16*15)-G16-I16)/2</f>
        <v>0</v>
      </c>
      <c r="S16" s="102"/>
      <c r="T16" s="102"/>
      <c r="U16" s="7"/>
      <c r="V16" s="7"/>
      <c r="W16" s="7">
        <f t="shared" si="0"/>
        <v>0</v>
      </c>
      <c r="X16" s="44"/>
      <c r="Y16" s="9"/>
      <c r="Z16" s="9">
        <f t="shared" si="3"/>
        <v>0</v>
      </c>
      <c r="AA16" s="9">
        <f>W16*Y16</f>
        <v>0</v>
      </c>
      <c r="AB16" s="7"/>
    </row>
    <row r="17" spans="1:29" s="4" customFormat="1" ht="18.75" customHeight="1" x14ac:dyDescent="0.25">
      <c r="A17" s="18"/>
      <c r="B17" s="71" t="s">
        <v>1440</v>
      </c>
      <c r="C17" s="18"/>
      <c r="D17" s="18">
        <v>20</v>
      </c>
      <c r="E17" s="18">
        <v>20</v>
      </c>
      <c r="F17" s="18">
        <v>0</v>
      </c>
      <c r="G17" s="54">
        <v>0</v>
      </c>
      <c r="H17" s="18">
        <v>0</v>
      </c>
      <c r="I17" s="18"/>
      <c r="J17" s="18"/>
      <c r="K17" s="110"/>
      <c r="L17" s="18"/>
      <c r="M17" s="18"/>
      <c r="N17" s="13"/>
      <c r="O17" s="18"/>
      <c r="P17" s="18"/>
      <c r="Q17" s="18"/>
      <c r="R17" s="18">
        <f>((F17*15)-G17-I17)/2</f>
        <v>0</v>
      </c>
      <c r="S17" s="52"/>
      <c r="T17" s="52"/>
      <c r="U17" s="18"/>
      <c r="V17" s="18"/>
      <c r="W17" s="7">
        <f t="shared" si="0"/>
        <v>0</v>
      </c>
      <c r="X17" s="45"/>
      <c r="Y17" s="8"/>
      <c r="Z17" s="9">
        <f t="shared" si="3"/>
        <v>0</v>
      </c>
      <c r="AA17" s="9"/>
      <c r="AB17" s="18"/>
      <c r="AC17" s="680"/>
    </row>
    <row r="18" spans="1:29" s="4" customFormat="1" ht="78.75" customHeight="1" x14ac:dyDescent="0.25">
      <c r="A18" s="66" t="s">
        <v>1441</v>
      </c>
      <c r="B18" s="54" t="s">
        <v>1442</v>
      </c>
      <c r="C18" s="66"/>
      <c r="D18" s="66"/>
      <c r="E18" s="66">
        <v>10</v>
      </c>
      <c r="F18" s="66">
        <v>0</v>
      </c>
      <c r="G18" s="54">
        <f>VLOOKUP(A18,'[1]yourspreadsheetname (1)'!$A$2:$C$968, 3, FALSE)</f>
        <v>0</v>
      </c>
      <c r="H18" s="18">
        <v>0</v>
      </c>
      <c r="I18" s="66"/>
      <c r="J18" s="66"/>
      <c r="K18" s="66"/>
      <c r="L18" s="66"/>
      <c r="M18" s="66"/>
      <c r="N18" s="64"/>
      <c r="O18" s="66"/>
      <c r="P18" s="18"/>
      <c r="Q18" s="18"/>
      <c r="R18" s="18">
        <f>((F18*15)-G18-I18)/2</f>
        <v>0</v>
      </c>
      <c r="S18" s="18"/>
      <c r="T18" s="18"/>
      <c r="U18" s="18"/>
      <c r="V18" s="18"/>
      <c r="W18" s="7">
        <f t="shared" si="0"/>
        <v>0</v>
      </c>
      <c r="X18" s="95">
        <v>117999</v>
      </c>
      <c r="Y18" s="8">
        <v>431798.78</v>
      </c>
      <c r="Z18" s="9">
        <f t="shared" si="3"/>
        <v>0</v>
      </c>
      <c r="AA18" s="9">
        <f>W18*Y18</f>
        <v>0</v>
      </c>
      <c r="AB18" s="18"/>
      <c r="AC18" s="680"/>
    </row>
    <row r="19" spans="1:29" s="4" customFormat="1" ht="65.650000000000006" customHeight="1" x14ac:dyDescent="0.25">
      <c r="A19" s="18" t="s">
        <v>1443</v>
      </c>
      <c r="B19" s="12" t="s">
        <v>1444</v>
      </c>
      <c r="C19" s="7"/>
      <c r="D19" s="7"/>
      <c r="E19" s="7">
        <v>0</v>
      </c>
      <c r="F19" s="7">
        <v>0</v>
      </c>
      <c r="G19" s="54" t="e">
        <f>VLOOKUP(A19,'[1]yourspreadsheetname (1)'!$A$2:$C$968, 3, FALSE)</f>
        <v>#N/A</v>
      </c>
      <c r="H19" s="18">
        <v>0</v>
      </c>
      <c r="I19" s="7"/>
      <c r="J19" s="7"/>
      <c r="K19" s="7"/>
      <c r="L19" s="7"/>
      <c r="M19" s="7"/>
      <c r="N19" s="25"/>
      <c r="O19" s="18"/>
      <c r="P19" s="18"/>
      <c r="Q19" s="18"/>
      <c r="R19" s="18">
        <v>0</v>
      </c>
      <c r="S19" s="52"/>
      <c r="T19" s="52"/>
      <c r="U19" s="18"/>
      <c r="V19" s="18"/>
      <c r="W19" s="7">
        <f t="shared" si="0"/>
        <v>0</v>
      </c>
      <c r="X19" s="75"/>
      <c r="Y19" s="9"/>
      <c r="Z19" s="9">
        <f t="shared" si="3"/>
        <v>0</v>
      </c>
      <c r="AA19" s="9">
        <f>W19*Y19</f>
        <v>0</v>
      </c>
      <c r="AB19" s="18"/>
      <c r="AC19" s="680"/>
    </row>
    <row r="20" spans="1:29" s="4" customFormat="1" ht="65.650000000000006" customHeight="1" x14ac:dyDescent="0.25">
      <c r="A20" s="18" t="s">
        <v>1445</v>
      </c>
      <c r="B20" s="12" t="s">
        <v>1446</v>
      </c>
      <c r="C20" s="18"/>
      <c r="D20" s="18"/>
      <c r="E20" s="18">
        <v>0</v>
      </c>
      <c r="F20" s="18">
        <v>0</v>
      </c>
      <c r="G20" s="54">
        <f>VLOOKUP(A20,'[1]yourspreadsheetname (1)'!$A$2:$C$968, 3, FALSE)</f>
        <v>0</v>
      </c>
      <c r="H20" s="18">
        <v>0</v>
      </c>
      <c r="I20" s="18"/>
      <c r="J20" s="18"/>
      <c r="K20" s="18"/>
      <c r="L20" s="7"/>
      <c r="M20" s="7"/>
      <c r="N20" s="25"/>
      <c r="O20" s="18"/>
      <c r="P20" s="18"/>
      <c r="Q20" s="18"/>
      <c r="R20" s="18">
        <f>((F20*15)-G20-I20)/2</f>
        <v>0</v>
      </c>
      <c r="S20" s="52"/>
      <c r="T20" s="52"/>
      <c r="U20" s="18"/>
      <c r="V20" s="18"/>
      <c r="W20" s="7">
        <f t="shared" si="0"/>
        <v>0</v>
      </c>
      <c r="X20" s="75"/>
      <c r="Y20" s="9"/>
      <c r="Z20" s="9">
        <f t="shared" si="3"/>
        <v>0</v>
      </c>
      <c r="AA20" s="9">
        <f>W20*Y20</f>
        <v>0</v>
      </c>
      <c r="AB20" s="18"/>
      <c r="AC20" s="680"/>
    </row>
    <row r="21" spans="1:29" s="4" customFormat="1" ht="42" customHeight="1" x14ac:dyDescent="0.25">
      <c r="A21" s="18" t="s">
        <v>1447</v>
      </c>
      <c r="B21" s="12" t="s">
        <v>1448</v>
      </c>
      <c r="C21" s="18"/>
      <c r="D21" s="18"/>
      <c r="E21" s="18">
        <v>0</v>
      </c>
      <c r="F21" s="18">
        <v>0</v>
      </c>
      <c r="G21" s="54" t="e">
        <f>VLOOKUP(A21,'[1]yourspreadsheetname (1)'!$A$2:$C$968, 3, FALSE)</f>
        <v>#N/A</v>
      </c>
      <c r="H21" s="18">
        <v>0</v>
      </c>
      <c r="I21" s="18"/>
      <c r="J21" s="7"/>
      <c r="K21" s="7"/>
      <c r="L21" s="18"/>
      <c r="M21" s="18"/>
      <c r="N21" s="135"/>
      <c r="O21" s="18"/>
      <c r="P21" s="18"/>
      <c r="Q21" s="18"/>
      <c r="R21" s="18">
        <v>0</v>
      </c>
      <c r="S21" s="52"/>
      <c r="T21" s="52"/>
      <c r="U21" s="18"/>
      <c r="V21" s="18"/>
      <c r="W21" s="7">
        <f t="shared" si="0"/>
        <v>0</v>
      </c>
      <c r="X21" s="44"/>
      <c r="Y21" s="8"/>
      <c r="Z21" s="9">
        <f t="shared" si="3"/>
        <v>0</v>
      </c>
      <c r="AA21" s="9">
        <f>W21*Y21</f>
        <v>0</v>
      </c>
      <c r="AB21" s="7"/>
      <c r="AC21" s="18"/>
    </row>
    <row r="22" spans="1:29" s="4" customFormat="1" ht="24" customHeight="1" x14ac:dyDescent="0.25">
      <c r="A22" s="111" t="s">
        <v>1449</v>
      </c>
      <c r="B22" s="18" t="s">
        <v>1450</v>
      </c>
      <c r="C22" s="18"/>
      <c r="D22" s="18"/>
      <c r="E22" s="18">
        <v>0</v>
      </c>
      <c r="F22" s="18">
        <v>0</v>
      </c>
      <c r="G22" s="54">
        <v>0</v>
      </c>
      <c r="H22" s="18">
        <v>0</v>
      </c>
      <c r="I22" s="18"/>
      <c r="J22" s="18"/>
      <c r="K22" s="18"/>
      <c r="L22" s="18"/>
      <c r="M22" s="18"/>
      <c r="N22" s="13"/>
      <c r="O22" s="18"/>
      <c r="P22" s="18"/>
      <c r="Q22" s="18"/>
      <c r="R22" s="18">
        <f>((F22*15)-G22-I22)/2</f>
        <v>0</v>
      </c>
      <c r="S22" s="52"/>
      <c r="T22" s="52"/>
      <c r="U22" s="18"/>
      <c r="V22" s="18"/>
      <c r="W22" s="7">
        <f t="shared" si="0"/>
        <v>0</v>
      </c>
      <c r="X22" s="45"/>
      <c r="Y22" s="8"/>
      <c r="Z22" s="9">
        <f t="shared" si="3"/>
        <v>0</v>
      </c>
      <c r="AA22" s="9"/>
      <c r="AB22" s="18"/>
      <c r="AC22" s="680"/>
    </row>
    <row r="23" spans="1:29" s="4" customFormat="1" ht="26.25" customHeight="1" x14ac:dyDescent="0.25">
      <c r="A23" s="18" t="s">
        <v>1451</v>
      </c>
      <c r="B23" s="12" t="s">
        <v>1452</v>
      </c>
      <c r="C23" s="1"/>
      <c r="D23" s="1"/>
      <c r="E23" s="107">
        <v>0</v>
      </c>
      <c r="F23" s="107">
        <v>0</v>
      </c>
      <c r="G23" s="54">
        <f>VLOOKUP(A23,'[1]yourspreadsheetname (1)'!$A$2:$C$968, 3, FALSE)</f>
        <v>60</v>
      </c>
      <c r="H23" s="18">
        <v>0</v>
      </c>
      <c r="I23" s="7"/>
      <c r="J23" s="7"/>
      <c r="K23" s="18"/>
      <c r="L23" s="7"/>
      <c r="M23" s="18"/>
      <c r="N23" s="135"/>
      <c r="O23" s="18"/>
      <c r="P23" s="18"/>
      <c r="Q23" s="18"/>
      <c r="R23" s="18">
        <f>((F23*15)-G23-I23)/2</f>
        <v>-30</v>
      </c>
      <c r="S23" s="18"/>
      <c r="T23" s="18"/>
      <c r="U23" s="18"/>
      <c r="V23" s="18"/>
      <c r="W23" s="7">
        <f t="shared" si="0"/>
        <v>0</v>
      </c>
      <c r="X23" s="51"/>
      <c r="Y23" s="8"/>
      <c r="Z23" s="9">
        <f t="shared" si="3"/>
        <v>0</v>
      </c>
      <c r="AA23" s="9">
        <f>W23*Y23</f>
        <v>0</v>
      </c>
      <c r="AB23" s="18"/>
      <c r="AC23" s="680"/>
    </row>
    <row r="24" spans="1:29" s="4" customFormat="1" ht="44.25" customHeight="1" x14ac:dyDescent="0.25">
      <c r="A24" s="66" t="s">
        <v>1453</v>
      </c>
      <c r="B24" s="54" t="s">
        <v>1454</v>
      </c>
      <c r="C24" s="7">
        <v>0</v>
      </c>
      <c r="D24" s="7">
        <v>0</v>
      </c>
      <c r="E24" s="7">
        <v>0</v>
      </c>
      <c r="F24" s="7">
        <v>0</v>
      </c>
      <c r="G24" s="54">
        <f>VLOOKUP(A24,'[1]yourspreadsheetname (1)'!$A$2:$C$968, 3, FALSE)</f>
        <v>0</v>
      </c>
      <c r="H24" s="18">
        <v>0</v>
      </c>
      <c r="I24" s="7"/>
      <c r="J24" s="7"/>
      <c r="K24" s="18"/>
      <c r="L24" s="7"/>
      <c r="M24" s="6"/>
      <c r="N24" s="21"/>
      <c r="O24" s="18"/>
      <c r="P24" s="6"/>
      <c r="Q24" s="6"/>
      <c r="R24" s="18">
        <f>((F24*15)-G24-I24)/2</f>
        <v>0</v>
      </c>
      <c r="S24" s="19"/>
      <c r="T24" s="19"/>
      <c r="U24" s="18"/>
      <c r="V24" s="6"/>
      <c r="W24" s="7">
        <f t="shared" si="0"/>
        <v>0</v>
      </c>
      <c r="X24" s="51"/>
      <c r="Y24" s="8"/>
      <c r="Z24" s="9">
        <f t="shared" si="3"/>
        <v>0</v>
      </c>
      <c r="AA24" s="9">
        <f>W24*Y24</f>
        <v>0</v>
      </c>
      <c r="AB24" s="6" t="s">
        <v>1417</v>
      </c>
      <c r="AC24" s="680"/>
    </row>
    <row r="25" spans="1:29" s="4" customFormat="1" x14ac:dyDescent="0.25">
      <c r="A25" s="18" t="s">
        <v>1455</v>
      </c>
      <c r="B25" s="18" t="s">
        <v>1456</v>
      </c>
      <c r="C25" s="18"/>
      <c r="D25" s="18"/>
      <c r="E25" s="18">
        <v>0</v>
      </c>
      <c r="F25" s="18">
        <v>0</v>
      </c>
      <c r="G25" s="54">
        <v>0</v>
      </c>
      <c r="H25" s="18">
        <v>0</v>
      </c>
      <c r="I25" s="18"/>
      <c r="J25" s="18"/>
      <c r="K25" s="18"/>
      <c r="L25" s="18"/>
      <c r="M25" s="18"/>
      <c r="N25" s="13"/>
      <c r="O25" s="18"/>
      <c r="P25" s="18"/>
      <c r="Q25" s="18"/>
      <c r="R25" s="18">
        <f>((F25*15)-G25-I25)/2</f>
        <v>0</v>
      </c>
      <c r="S25" s="52"/>
      <c r="T25" s="52"/>
      <c r="U25" s="18"/>
      <c r="V25" s="18"/>
      <c r="W25" s="7">
        <f t="shared" si="0"/>
        <v>0</v>
      </c>
      <c r="X25" s="95"/>
      <c r="Y25" s="8"/>
      <c r="Z25" s="9">
        <f t="shared" si="3"/>
        <v>0</v>
      </c>
      <c r="AA25" s="9">
        <f>W25*Y25</f>
        <v>0</v>
      </c>
      <c r="AB25" s="18"/>
      <c r="AC25" s="680"/>
    </row>
    <row r="26" spans="1:29" s="4" customFormat="1" ht="24" customHeight="1" x14ac:dyDescent="0.25">
      <c r="A26" s="18" t="s">
        <v>1457</v>
      </c>
      <c r="B26" s="18" t="s">
        <v>1458</v>
      </c>
      <c r="C26" s="18"/>
      <c r="D26" s="18"/>
      <c r="E26" s="18">
        <v>0</v>
      </c>
      <c r="F26" s="18">
        <v>0</v>
      </c>
      <c r="G26" s="54">
        <v>0</v>
      </c>
      <c r="H26" s="18">
        <v>0</v>
      </c>
      <c r="I26" s="18"/>
      <c r="J26" s="18"/>
      <c r="K26" s="18"/>
      <c r="L26" s="18"/>
      <c r="M26" s="18"/>
      <c r="N26" s="13"/>
      <c r="O26" s="12"/>
      <c r="P26" s="18"/>
      <c r="Q26" s="18"/>
      <c r="R26" s="18">
        <f>((F26*15)-G26-I26)/2</f>
        <v>0</v>
      </c>
      <c r="S26" s="52"/>
      <c r="T26" s="52"/>
      <c r="U26" s="18"/>
      <c r="V26" s="18"/>
      <c r="W26" s="7">
        <f t="shared" si="0"/>
        <v>0</v>
      </c>
      <c r="X26" s="95"/>
      <c r="Y26" s="8"/>
      <c r="Z26" s="9">
        <f t="shared" si="3"/>
        <v>0</v>
      </c>
      <c r="AA26" s="9">
        <f>W26*Y26</f>
        <v>0</v>
      </c>
      <c r="AB26" s="18"/>
      <c r="AC26" s="680"/>
    </row>
    <row r="27" spans="1:29" s="4" customFormat="1" x14ac:dyDescent="0.25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22"/>
      <c r="M27" s="680"/>
      <c r="N27" s="680"/>
      <c r="O27" s="680"/>
      <c r="P27" s="680"/>
      <c r="Q27" s="680"/>
      <c r="R27" s="87"/>
      <c r="S27" s="87"/>
      <c r="T27" s="87"/>
      <c r="U27" s="680"/>
      <c r="V27" s="680"/>
      <c r="W27" s="680"/>
      <c r="X27" s="680"/>
      <c r="Y27" s="680"/>
      <c r="Z27" s="86">
        <f>SUM(Z3:Z26)</f>
        <v>178039579.15000001</v>
      </c>
      <c r="AA27" s="86">
        <f>SUM(Z27:Z27)</f>
        <v>178039579.15000001</v>
      </c>
      <c r="AB27" s="680"/>
      <c r="AC27" s="680"/>
    </row>
    <row r="28" spans="1:29" s="4" customFormat="1" x14ac:dyDescent="0.25">
      <c r="A28" s="680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22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80"/>
      <c r="AB28" s="680"/>
      <c r="AC28" s="680"/>
    </row>
    <row r="29" spans="1:29" s="4" customFormat="1" x14ac:dyDescent="0.25">
      <c r="A29" s="680"/>
      <c r="B29" s="680" t="s">
        <v>1459</v>
      </c>
      <c r="C29" s="680"/>
      <c r="D29" s="680"/>
      <c r="E29" s="680"/>
      <c r="F29" s="680"/>
      <c r="G29" s="680"/>
      <c r="H29" s="680"/>
      <c r="I29" s="680"/>
      <c r="J29" s="680"/>
      <c r="K29" s="680"/>
      <c r="L29" s="22"/>
      <c r="M29" s="680"/>
      <c r="N29" s="680"/>
      <c r="O29" s="680"/>
      <c r="P29" s="680"/>
      <c r="Q29" s="680"/>
      <c r="R29" s="680"/>
      <c r="S29" s="680"/>
      <c r="T29" s="680"/>
      <c r="U29" s="680"/>
      <c r="V29" s="680"/>
      <c r="W29" s="680"/>
      <c r="X29" s="680"/>
      <c r="Y29" s="680"/>
      <c r="Z29" s="680"/>
      <c r="AA29" s="680"/>
      <c r="AB29" s="680"/>
      <c r="AC29" s="680"/>
    </row>
    <row r="30" spans="1:29" s="4" customFormat="1" x14ac:dyDescent="0.25">
      <c r="A30" s="680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22"/>
      <c r="M30" s="680"/>
      <c r="N30" s="680"/>
      <c r="O30" s="680"/>
      <c r="P30" s="680"/>
      <c r="Q30" s="680"/>
      <c r="R30" s="680"/>
      <c r="S30" s="680"/>
      <c r="T30" s="680"/>
      <c r="U30" s="680"/>
      <c r="V30" s="680"/>
      <c r="W30" s="680"/>
      <c r="X30" s="680"/>
      <c r="Y30" s="680"/>
      <c r="Z30" s="680"/>
      <c r="AA30" s="680"/>
      <c r="AB30" s="680"/>
      <c r="AC30" s="680"/>
    </row>
    <row r="31" spans="1:29" s="4" customFormat="1" x14ac:dyDescent="0.25">
      <c r="A31" s="680"/>
      <c r="B31" s="680" t="s">
        <v>1460</v>
      </c>
      <c r="C31" s="680"/>
      <c r="D31" s="680"/>
      <c r="E31" s="680"/>
      <c r="F31" s="680"/>
      <c r="G31" s="680"/>
      <c r="H31" s="680"/>
      <c r="I31" s="680"/>
      <c r="J31" s="680"/>
      <c r="K31" s="680"/>
      <c r="L31" s="22"/>
      <c r="M31" s="680"/>
      <c r="N31" s="680"/>
      <c r="O31" s="680"/>
      <c r="P31" s="680"/>
      <c r="Q31" s="680"/>
      <c r="R31" s="680"/>
      <c r="S31" s="680"/>
      <c r="T31" s="680"/>
      <c r="U31" s="680"/>
      <c r="V31" s="680"/>
      <c r="W31" s="680"/>
      <c r="X31" s="680"/>
      <c r="Y31" s="680"/>
      <c r="Z31" s="680"/>
      <c r="AA31" s="680"/>
      <c r="AB31" s="680"/>
      <c r="AC31" s="680"/>
    </row>
    <row r="32" spans="1:29" s="4" customFormat="1" x14ac:dyDescent="0.25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22"/>
      <c r="M32" s="680"/>
      <c r="N32" s="680"/>
      <c r="O32" s="680"/>
      <c r="P32" s="680"/>
      <c r="Q32" s="680"/>
      <c r="R32" s="680"/>
      <c r="S32" s="680"/>
      <c r="T32" s="680"/>
      <c r="U32" s="680"/>
      <c r="V32" s="680"/>
      <c r="W32" s="680"/>
      <c r="X32" s="680"/>
      <c r="Y32" s="680"/>
      <c r="Z32" s="680"/>
      <c r="AA32" s="680"/>
      <c r="AB32" s="680"/>
      <c r="AC32" s="680"/>
    </row>
    <row r="33" spans="12:12" s="4" customFormat="1" x14ac:dyDescent="0.25">
      <c r="L33" s="22"/>
    </row>
    <row r="34" spans="12:12" s="4" customFormat="1" x14ac:dyDescent="0.25">
      <c r="L34" s="22"/>
    </row>
    <row r="35" spans="12:12" x14ac:dyDescent="0.25">
      <c r="L35" s="22"/>
    </row>
    <row r="36" spans="12:12" x14ac:dyDescent="0.25">
      <c r="L36" s="22"/>
    </row>
    <row r="37" spans="12:12" x14ac:dyDescent="0.25">
      <c r="L37" s="22"/>
    </row>
    <row r="38" spans="12:12" x14ac:dyDescent="0.25">
      <c r="L38" s="22"/>
    </row>
    <row r="39" spans="12:12" x14ac:dyDescent="0.25">
      <c r="L39" s="22"/>
    </row>
    <row r="40" spans="12:12" x14ac:dyDescent="0.25">
      <c r="L40" s="22"/>
    </row>
    <row r="41" spans="12:12" x14ac:dyDescent="0.25">
      <c r="L41" s="22"/>
    </row>
    <row r="42" spans="12:12" x14ac:dyDescent="0.25">
      <c r="L42" s="22"/>
    </row>
    <row r="43" spans="12:12" x14ac:dyDescent="0.25">
      <c r="L43" s="22"/>
    </row>
    <row r="44" spans="12:12" x14ac:dyDescent="0.25">
      <c r="L44" s="22"/>
    </row>
    <row r="45" spans="12:12" x14ac:dyDescent="0.25">
      <c r="L45" s="22"/>
    </row>
    <row r="46" spans="12:12" x14ac:dyDescent="0.25">
      <c r="L46" s="22"/>
    </row>
    <row r="47" spans="12:12" x14ac:dyDescent="0.25">
      <c r="L47" s="70"/>
    </row>
    <row r="48" spans="12:12" x14ac:dyDescent="0.25">
      <c r="L48" s="70"/>
    </row>
    <row r="49" spans="12:12" x14ac:dyDescent="0.25">
      <c r="L49" s="70"/>
    </row>
    <row r="50" spans="12:12" x14ac:dyDescent="0.25">
      <c r="L50" s="70"/>
    </row>
    <row r="51" spans="12:12" x14ac:dyDescent="0.25">
      <c r="L51" s="70"/>
    </row>
    <row r="52" spans="12:12" x14ac:dyDescent="0.25">
      <c r="L52" s="70"/>
    </row>
    <row r="53" spans="12:12" x14ac:dyDescent="0.25">
      <c r="L53" s="70"/>
    </row>
    <row r="54" spans="12:12" x14ac:dyDescent="0.25">
      <c r="L54" s="70"/>
    </row>
    <row r="55" spans="12:12" x14ac:dyDescent="0.25">
      <c r="L55" s="70"/>
    </row>
    <row r="56" spans="12:12" x14ac:dyDescent="0.25">
      <c r="L56" s="70"/>
    </row>
    <row r="57" spans="12:12" x14ac:dyDescent="0.25">
      <c r="L57" s="70"/>
    </row>
    <row r="58" spans="12:12" x14ac:dyDescent="0.25">
      <c r="L58" s="22"/>
    </row>
    <row r="59" spans="12:12" x14ac:dyDescent="0.25">
      <c r="L59" s="680"/>
    </row>
    <row r="60" spans="12:12" x14ac:dyDescent="0.25">
      <c r="L60" s="680"/>
    </row>
    <row r="61" spans="12:12" x14ac:dyDescent="0.25">
      <c r="L61" s="680"/>
    </row>
    <row r="62" spans="12:12" x14ac:dyDescent="0.25">
      <c r="L62" s="680"/>
    </row>
    <row r="63" spans="12:12" x14ac:dyDescent="0.25">
      <c r="L63" s="680"/>
    </row>
    <row r="64" spans="12:12" x14ac:dyDescent="0.25">
      <c r="L64" s="680"/>
    </row>
    <row r="65" spans="12:12" x14ac:dyDescent="0.25">
      <c r="L65" s="680"/>
    </row>
    <row r="66" spans="12:12" x14ac:dyDescent="0.25">
      <c r="L66" s="680"/>
    </row>
    <row r="67" spans="12:12" x14ac:dyDescent="0.25">
      <c r="L67" s="680"/>
    </row>
    <row r="68" spans="12:12" x14ac:dyDescent="0.25">
      <c r="L68" s="680"/>
    </row>
    <row r="69" spans="12:12" x14ac:dyDescent="0.25">
      <c r="L69" s="680"/>
    </row>
    <row r="70" spans="12:12" x14ac:dyDescent="0.25">
      <c r="L70" s="680"/>
    </row>
    <row r="71" spans="12:12" x14ac:dyDescent="0.25">
      <c r="L71" s="680"/>
    </row>
    <row r="122" spans="13:28" x14ac:dyDescent="0.25"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B122" s="2"/>
    </row>
    <row r="123" spans="13:28" x14ac:dyDescent="0.25"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B123" s="2"/>
    </row>
    <row r="124" spans="13:28" x14ac:dyDescent="0.25"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B124" s="2"/>
    </row>
    <row r="125" spans="13:28" x14ac:dyDescent="0.25"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B125" s="2"/>
    </row>
    <row r="126" spans="13:28" x14ac:dyDescent="0.25"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B126" s="2"/>
    </row>
    <row r="127" spans="13:28" x14ac:dyDescent="0.25"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B127" s="2"/>
    </row>
    <row r="128" spans="13:28" x14ac:dyDescent="0.25"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B128" s="2"/>
    </row>
    <row r="129" spans="13:28" x14ac:dyDescent="0.25"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AB129" s="2"/>
    </row>
    <row r="130" spans="13:28" x14ac:dyDescent="0.25"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AB130" s="2"/>
    </row>
    <row r="131" spans="13:28" x14ac:dyDescent="0.25"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AB131" s="2"/>
    </row>
    <row r="132" spans="13:28" x14ac:dyDescent="0.25"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AB132" s="2"/>
    </row>
    <row r="133" spans="13:28" x14ac:dyDescent="0.25"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AB133" s="2"/>
    </row>
    <row r="134" spans="13:28" x14ac:dyDescent="0.25"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AB134" s="2"/>
    </row>
    <row r="135" spans="13:28" x14ac:dyDescent="0.25"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AB135" s="2"/>
    </row>
    <row r="136" spans="13:28" x14ac:dyDescent="0.25"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AB136" s="2"/>
    </row>
    <row r="137" spans="13:28" x14ac:dyDescent="0.25"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AB137" s="2"/>
    </row>
  </sheetData>
  <autoFilter ref="A2:AB12">
    <sortState ref="A4:AC28">
      <sortCondition ref="P2:P12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honeticPr fontId="59" type="noConversion"/>
  <pageMargins left="0.7" right="0.7" top="0.75" bottom="0.75" header="0.3" footer="0.3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AB1048576"/>
  <sheetViews>
    <sheetView tabSelected="1" zoomScale="69" zoomScaleNormal="70" workbookViewId="0">
      <pane ySplit="2" topLeftCell="A3" activePane="bottomLeft" state="frozen"/>
      <selection pane="bottomLeft" activeCell="B26" sqref="B26"/>
    </sheetView>
  </sheetViews>
  <sheetFormatPr baseColWidth="10" defaultColWidth="11.42578125" defaultRowHeight="15" x14ac:dyDescent="0.25"/>
  <cols>
    <col min="1" max="1" width="15" customWidth="1"/>
    <col min="2" max="2" width="56.7109375" customWidth="1"/>
    <col min="3" max="3" width="12.5703125" hidden="1" customWidth="1"/>
    <col min="4" max="6" width="13.42578125" style="2" hidden="1" customWidth="1"/>
    <col min="7" max="8" width="10.7109375" style="2" hidden="1" customWidth="1"/>
    <col min="9" max="9" width="10.7109375" hidden="1" customWidth="1"/>
    <col min="10" max="10" width="15.140625" hidden="1" customWidth="1"/>
    <col min="11" max="11" width="8.42578125" customWidth="1"/>
    <col min="12" max="12" width="9.85546875" hidden="1" customWidth="1"/>
    <col min="13" max="13" width="14.28515625" customWidth="1"/>
    <col min="14" max="14" width="7.28515625" customWidth="1"/>
    <col min="15" max="15" width="8.5703125" customWidth="1"/>
    <col min="16" max="16" width="8" customWidth="1"/>
    <col min="17" max="17" width="7.42578125" customWidth="1"/>
    <col min="18" max="20" width="14.140625" customWidth="1"/>
    <col min="21" max="21" width="12.28515625" style="2" customWidth="1"/>
    <col min="22" max="22" width="11.28515625" style="2" customWidth="1"/>
    <col min="23" max="23" width="12.5703125" customWidth="1"/>
    <col min="24" max="24" width="13.28515625" customWidth="1"/>
    <col min="25" max="26" width="16.5703125" customWidth="1"/>
    <col min="27" max="27" width="18.85546875" customWidth="1"/>
    <col min="28" max="28" width="60.7109375" customWidth="1"/>
  </cols>
  <sheetData>
    <row r="1" spans="1:28" ht="15" customHeight="1" x14ac:dyDescent="0.25">
      <c r="A1" s="763" t="s">
        <v>75</v>
      </c>
      <c r="B1" s="763" t="s">
        <v>76</v>
      </c>
      <c r="C1" s="763" t="s">
        <v>77</v>
      </c>
      <c r="D1" s="763" t="s">
        <v>1339</v>
      </c>
      <c r="E1" s="763" t="s">
        <v>79</v>
      </c>
      <c r="F1" s="763" t="s">
        <v>80</v>
      </c>
      <c r="G1" s="763" t="s">
        <v>81</v>
      </c>
      <c r="H1" s="763" t="s">
        <v>82</v>
      </c>
      <c r="I1" s="763" t="s">
        <v>83</v>
      </c>
      <c r="J1" s="763" t="s">
        <v>84</v>
      </c>
      <c r="K1" s="763" t="s">
        <v>85</v>
      </c>
      <c r="L1" s="763" t="s">
        <v>86</v>
      </c>
      <c r="M1" s="763" t="s">
        <v>87</v>
      </c>
      <c r="N1" s="788" t="s">
        <v>88</v>
      </c>
      <c r="O1" s="763" t="s">
        <v>89</v>
      </c>
      <c r="P1" s="763" t="s">
        <v>90</v>
      </c>
      <c r="Q1" s="763" t="s">
        <v>91</v>
      </c>
      <c r="R1" s="785" t="s">
        <v>667</v>
      </c>
      <c r="S1" s="785" t="s">
        <v>668</v>
      </c>
      <c r="T1" s="785" t="s">
        <v>669</v>
      </c>
      <c r="U1" s="763" t="s">
        <v>95</v>
      </c>
      <c r="V1" s="791"/>
      <c r="W1" s="763" t="s">
        <v>96</v>
      </c>
      <c r="X1" s="763" t="s">
        <v>97</v>
      </c>
      <c r="Y1" s="763" t="s">
        <v>98</v>
      </c>
      <c r="Z1" s="755" t="s">
        <v>99</v>
      </c>
      <c r="AA1" s="757" t="s">
        <v>100</v>
      </c>
      <c r="AB1" s="763" t="s">
        <v>101</v>
      </c>
    </row>
    <row r="2" spans="1:28" ht="38.25" customHeight="1" x14ac:dyDescent="0.25">
      <c r="A2" s="753"/>
      <c r="B2" s="753"/>
      <c r="C2" s="753"/>
      <c r="D2" s="753"/>
      <c r="E2" s="753"/>
      <c r="F2" s="753"/>
      <c r="G2" s="753"/>
      <c r="H2" s="753"/>
      <c r="I2" s="753"/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676" t="s">
        <v>102</v>
      </c>
      <c r="V2" s="676" t="s">
        <v>103</v>
      </c>
      <c r="W2" s="753"/>
      <c r="X2" s="753"/>
      <c r="Y2" s="753"/>
      <c r="Z2" s="756"/>
      <c r="AA2" s="758"/>
      <c r="AB2" s="753"/>
    </row>
    <row r="3" spans="1:28" s="4" customFormat="1" x14ac:dyDescent="0.25">
      <c r="A3" s="385" t="s">
        <v>855</v>
      </c>
      <c r="B3" s="455" t="s">
        <v>1461</v>
      </c>
      <c r="C3" s="457"/>
      <c r="D3" s="12"/>
      <c r="E3" s="12"/>
      <c r="F3" s="12"/>
      <c r="G3" s="77"/>
      <c r="H3" s="275"/>
      <c r="I3" s="18"/>
      <c r="J3" s="148" t="s">
        <v>122</v>
      </c>
      <c r="K3" s="19">
        <v>754851</v>
      </c>
      <c r="L3" s="18"/>
      <c r="M3" s="18" t="s">
        <v>272</v>
      </c>
      <c r="N3" s="13" t="s">
        <v>1462</v>
      </c>
      <c r="O3" s="18">
        <v>1</v>
      </c>
      <c r="P3" s="18" t="s">
        <v>1463</v>
      </c>
      <c r="Q3" s="18"/>
      <c r="R3" s="458">
        <v>1000</v>
      </c>
      <c r="S3" s="19"/>
      <c r="T3" s="19"/>
      <c r="U3" s="275">
        <v>1000</v>
      </c>
      <c r="V3" s="18"/>
      <c r="W3" s="18">
        <f t="shared" ref="W3:W45" si="0">U3+V3</f>
        <v>1000</v>
      </c>
      <c r="X3" s="47">
        <v>45</v>
      </c>
      <c r="Y3" s="8">
        <v>65.069999999999993</v>
      </c>
      <c r="Z3" s="8">
        <f t="shared" ref="Z3:Z45" si="1">R3*X3</f>
        <v>45000</v>
      </c>
      <c r="AA3" s="8">
        <f t="shared" ref="AA3:AA45" si="2">W3*Y3</f>
        <v>65069.999999999993</v>
      </c>
      <c r="AB3" s="18"/>
    </row>
    <row r="4" spans="1:28" s="4" customFormat="1" x14ac:dyDescent="0.25">
      <c r="A4" s="385" t="s">
        <v>789</v>
      </c>
      <c r="B4" s="455" t="s">
        <v>1464</v>
      </c>
      <c r="C4" s="459"/>
      <c r="D4" s="12"/>
      <c r="E4" s="12"/>
      <c r="F4" s="12"/>
      <c r="G4" s="1"/>
      <c r="H4" s="275"/>
      <c r="I4" s="18"/>
      <c r="J4" s="148" t="s">
        <v>122</v>
      </c>
      <c r="K4" s="19">
        <v>754851</v>
      </c>
      <c r="L4" s="18"/>
      <c r="M4" s="6" t="s">
        <v>272</v>
      </c>
      <c r="N4" s="13" t="s">
        <v>1462</v>
      </c>
      <c r="O4" s="18">
        <v>2</v>
      </c>
      <c r="P4" s="18" t="s">
        <v>1463</v>
      </c>
      <c r="Q4" s="6"/>
      <c r="R4" s="458">
        <v>300</v>
      </c>
      <c r="S4" s="6"/>
      <c r="T4" s="6"/>
      <c r="U4" s="18">
        <v>300</v>
      </c>
      <c r="V4" s="6"/>
      <c r="W4" s="18">
        <f t="shared" si="0"/>
        <v>300</v>
      </c>
      <c r="X4" s="47">
        <v>499</v>
      </c>
      <c r="Y4" s="8">
        <v>450</v>
      </c>
      <c r="Z4" s="8">
        <f t="shared" si="1"/>
        <v>149700</v>
      </c>
      <c r="AA4" s="8">
        <f t="shared" si="2"/>
        <v>135000</v>
      </c>
      <c r="AB4" s="6"/>
    </row>
    <row r="5" spans="1:28" s="4" customFormat="1" x14ac:dyDescent="0.25">
      <c r="A5" s="295" t="s">
        <v>678</v>
      </c>
      <c r="B5" s="455" t="s">
        <v>1465</v>
      </c>
      <c r="C5" s="457"/>
      <c r="D5" s="12"/>
      <c r="E5" s="12"/>
      <c r="F5" s="12"/>
      <c r="G5" s="77"/>
      <c r="H5" s="275"/>
      <c r="I5" s="18"/>
      <c r="J5" s="148" t="s">
        <v>122</v>
      </c>
      <c r="K5" s="19">
        <v>754851</v>
      </c>
      <c r="L5" s="18"/>
      <c r="M5" s="18" t="s">
        <v>259</v>
      </c>
      <c r="N5" s="13" t="s">
        <v>1462</v>
      </c>
      <c r="O5" s="18">
        <v>3</v>
      </c>
      <c r="P5" s="18" t="s">
        <v>1466</v>
      </c>
      <c r="Q5" s="6"/>
      <c r="R5" s="458">
        <v>1100</v>
      </c>
      <c r="S5" s="18"/>
      <c r="T5" s="18"/>
      <c r="U5" s="275">
        <v>1100</v>
      </c>
      <c r="V5" s="6"/>
      <c r="W5" s="18">
        <f t="shared" si="0"/>
        <v>1100</v>
      </c>
      <c r="X5" s="118">
        <v>429.8</v>
      </c>
      <c r="Y5" s="117">
        <v>429.8</v>
      </c>
      <c r="Z5" s="8">
        <f t="shared" si="1"/>
        <v>472780</v>
      </c>
      <c r="AA5" s="8">
        <f t="shared" si="2"/>
        <v>472780</v>
      </c>
      <c r="AB5" s="6"/>
    </row>
    <row r="6" spans="1:28" s="4" customFormat="1" x14ac:dyDescent="0.25">
      <c r="A6" s="295" t="s">
        <v>1175</v>
      </c>
      <c r="B6" s="455" t="s">
        <v>1467</v>
      </c>
      <c r="C6" s="457"/>
      <c r="D6" s="12"/>
      <c r="E6" s="12"/>
      <c r="F6" s="12"/>
      <c r="G6" s="77"/>
      <c r="H6" s="275"/>
      <c r="I6" s="18"/>
      <c r="J6" s="148" t="s">
        <v>122</v>
      </c>
      <c r="K6" s="19">
        <v>754851</v>
      </c>
      <c r="L6" s="18"/>
      <c r="M6" s="6" t="s">
        <v>293</v>
      </c>
      <c r="N6" s="13" t="s">
        <v>1462</v>
      </c>
      <c r="O6" s="18">
        <v>4</v>
      </c>
      <c r="P6" s="6" t="s">
        <v>1468</v>
      </c>
      <c r="Q6" s="6"/>
      <c r="R6" s="458">
        <v>450</v>
      </c>
      <c r="S6" s="19"/>
      <c r="T6" s="19"/>
      <c r="U6" s="275">
        <v>450</v>
      </c>
      <c r="V6" s="6"/>
      <c r="W6" s="18">
        <f t="shared" si="0"/>
        <v>450</v>
      </c>
      <c r="X6" s="118">
        <v>274.3</v>
      </c>
      <c r="Y6" s="117">
        <v>312</v>
      </c>
      <c r="Z6" s="8">
        <f t="shared" si="1"/>
        <v>123435</v>
      </c>
      <c r="AA6" s="8">
        <f t="shared" si="2"/>
        <v>140400</v>
      </c>
      <c r="AB6" s="6"/>
    </row>
    <row r="7" spans="1:28" s="116" customFormat="1" x14ac:dyDescent="0.25">
      <c r="A7" s="385" t="s">
        <v>1341</v>
      </c>
      <c r="B7" s="455" t="s">
        <v>1469</v>
      </c>
      <c r="C7" s="457"/>
      <c r="D7" s="12"/>
      <c r="E7" s="12"/>
      <c r="F7" s="12"/>
      <c r="G7" s="77"/>
      <c r="H7" s="275"/>
      <c r="I7" s="18"/>
      <c r="J7" s="148" t="s">
        <v>122</v>
      </c>
      <c r="K7" s="19">
        <v>754851</v>
      </c>
      <c r="L7" s="18"/>
      <c r="M7" s="18" t="s">
        <v>263</v>
      </c>
      <c r="N7" s="13" t="s">
        <v>1462</v>
      </c>
      <c r="O7" s="18">
        <v>5</v>
      </c>
      <c r="P7" s="6" t="s">
        <v>1470</v>
      </c>
      <c r="Q7" s="18"/>
      <c r="R7" s="458">
        <v>2800</v>
      </c>
      <c r="S7" s="18"/>
      <c r="T7" s="18"/>
      <c r="U7" s="275">
        <v>2800</v>
      </c>
      <c r="V7" s="18"/>
      <c r="W7" s="18">
        <f t="shared" si="0"/>
        <v>2800</v>
      </c>
      <c r="X7" s="118">
        <v>1745.14</v>
      </c>
      <c r="Y7" s="117">
        <v>1387.99</v>
      </c>
      <c r="Z7" s="8">
        <f t="shared" si="1"/>
        <v>4886392</v>
      </c>
      <c r="AA7" s="8">
        <f t="shared" si="2"/>
        <v>3886372</v>
      </c>
      <c r="AB7" s="18"/>
    </row>
    <row r="8" spans="1:28" s="116" customFormat="1" x14ac:dyDescent="0.25">
      <c r="A8" s="295" t="s">
        <v>1180</v>
      </c>
      <c r="B8" s="455" t="s">
        <v>1471</v>
      </c>
      <c r="C8" s="457"/>
      <c r="D8" s="12"/>
      <c r="E8" s="12"/>
      <c r="F8" s="12"/>
      <c r="G8" s="77"/>
      <c r="H8" s="275"/>
      <c r="I8" s="18"/>
      <c r="J8" s="148" t="s">
        <v>122</v>
      </c>
      <c r="K8" s="19">
        <v>754851</v>
      </c>
      <c r="L8" s="18"/>
      <c r="M8" s="18" t="s">
        <v>293</v>
      </c>
      <c r="N8" s="13" t="s">
        <v>1462</v>
      </c>
      <c r="O8" s="18">
        <v>5</v>
      </c>
      <c r="P8" s="6" t="s">
        <v>1468</v>
      </c>
      <c r="Q8" s="18"/>
      <c r="R8" s="458">
        <v>600</v>
      </c>
      <c r="S8" s="18"/>
      <c r="T8" s="18"/>
      <c r="U8" s="275">
        <v>600</v>
      </c>
      <c r="V8" s="18"/>
      <c r="W8" s="18">
        <f t="shared" si="0"/>
        <v>600</v>
      </c>
      <c r="X8" s="118">
        <v>3187</v>
      </c>
      <c r="Y8" s="117">
        <v>2618</v>
      </c>
      <c r="Z8" s="8">
        <f t="shared" si="1"/>
        <v>1912200</v>
      </c>
      <c r="AA8" s="8">
        <f t="shared" si="2"/>
        <v>1570800</v>
      </c>
      <c r="AB8" s="18"/>
    </row>
    <row r="9" spans="1:28" s="4" customFormat="1" x14ac:dyDescent="0.25">
      <c r="A9" s="295" t="s">
        <v>1182</v>
      </c>
      <c r="B9" s="455" t="s">
        <v>1472</v>
      </c>
      <c r="C9" s="457"/>
      <c r="D9" s="12"/>
      <c r="E9" s="12"/>
      <c r="F9" s="12"/>
      <c r="G9" s="77"/>
      <c r="H9" s="275"/>
      <c r="I9" s="18"/>
      <c r="J9" s="148" t="s">
        <v>122</v>
      </c>
      <c r="K9" s="19">
        <v>754851</v>
      </c>
      <c r="L9" s="18"/>
      <c r="M9" s="18" t="s">
        <v>283</v>
      </c>
      <c r="N9" s="13" t="s">
        <v>1462</v>
      </c>
      <c r="O9" s="18">
        <v>7</v>
      </c>
      <c r="P9" s="18" t="s">
        <v>1473</v>
      </c>
      <c r="Q9" s="18"/>
      <c r="R9" s="458">
        <v>400</v>
      </c>
      <c r="S9" s="19"/>
      <c r="T9" s="19"/>
      <c r="U9" s="275">
        <v>400</v>
      </c>
      <c r="V9" s="18"/>
      <c r="W9" s="18">
        <f t="shared" si="0"/>
        <v>400</v>
      </c>
      <c r="X9" s="47">
        <v>388</v>
      </c>
      <c r="Y9" s="8">
        <v>414</v>
      </c>
      <c r="Z9" s="8">
        <f t="shared" si="1"/>
        <v>155200</v>
      </c>
      <c r="AA9" s="8">
        <f t="shared" si="2"/>
        <v>165600</v>
      </c>
      <c r="AB9" s="18"/>
    </row>
    <row r="10" spans="1:28" s="116" customFormat="1" x14ac:dyDescent="0.25">
      <c r="A10" s="505" t="s">
        <v>1474</v>
      </c>
      <c r="B10" s="505" t="s">
        <v>1475</v>
      </c>
      <c r="C10" s="506"/>
      <c r="D10" s="92"/>
      <c r="E10" s="92"/>
      <c r="F10" s="92"/>
      <c r="G10" s="430"/>
      <c r="H10" s="482"/>
      <c r="I10" s="55"/>
      <c r="J10" s="483" t="s">
        <v>122</v>
      </c>
      <c r="K10" s="247">
        <v>754851</v>
      </c>
      <c r="L10" s="243"/>
      <c r="M10" s="55" t="s">
        <v>285</v>
      </c>
      <c r="N10" s="93" t="s">
        <v>1462</v>
      </c>
      <c r="O10" s="55">
        <v>8</v>
      </c>
      <c r="P10" s="18"/>
      <c r="Q10" s="18"/>
      <c r="R10" s="458">
        <v>200</v>
      </c>
      <c r="S10" s="18"/>
      <c r="T10" s="18"/>
      <c r="U10" s="275"/>
      <c r="V10" s="18"/>
      <c r="W10" s="18">
        <f t="shared" si="0"/>
        <v>0</v>
      </c>
      <c r="X10" s="47">
        <v>287.67</v>
      </c>
      <c r="Y10" s="8"/>
      <c r="Z10" s="8">
        <f t="shared" si="1"/>
        <v>57534</v>
      </c>
      <c r="AA10" s="8">
        <f t="shared" si="2"/>
        <v>0</v>
      </c>
      <c r="AB10" s="18"/>
    </row>
    <row r="11" spans="1:28" s="132" customFormat="1" x14ac:dyDescent="0.25">
      <c r="A11" s="456" t="s">
        <v>1476</v>
      </c>
      <c r="B11" s="455" t="s">
        <v>1477</v>
      </c>
      <c r="C11" s="459"/>
      <c r="D11" s="12"/>
      <c r="E11" s="12"/>
      <c r="F11" s="12"/>
      <c r="G11" s="77"/>
      <c r="H11" s="275"/>
      <c r="I11" s="18"/>
      <c r="J11" s="148" t="s">
        <v>122</v>
      </c>
      <c r="K11" s="19">
        <v>754851</v>
      </c>
      <c r="L11" s="18"/>
      <c r="M11" s="18" t="s">
        <v>272</v>
      </c>
      <c r="N11" s="13" t="s">
        <v>1462</v>
      </c>
      <c r="O11" s="18">
        <v>9</v>
      </c>
      <c r="P11" s="18" t="s">
        <v>1463</v>
      </c>
      <c r="Q11" s="18"/>
      <c r="R11" s="458">
        <v>25</v>
      </c>
      <c r="S11" s="18"/>
      <c r="T11" s="18"/>
      <c r="U11" s="275">
        <v>25</v>
      </c>
      <c r="V11" s="18"/>
      <c r="W11" s="18">
        <f t="shared" si="0"/>
        <v>25</v>
      </c>
      <c r="X11" s="47">
        <v>1236.98</v>
      </c>
      <c r="Y11" s="8">
        <v>1642.51</v>
      </c>
      <c r="Z11" s="8">
        <f t="shared" si="1"/>
        <v>30924.5</v>
      </c>
      <c r="AA11" s="8">
        <f t="shared" si="2"/>
        <v>41062.75</v>
      </c>
      <c r="AB11" s="18"/>
    </row>
    <row r="12" spans="1:28" s="132" customFormat="1" x14ac:dyDescent="0.25">
      <c r="A12" s="456" t="s">
        <v>1478</v>
      </c>
      <c r="B12" s="455" t="s">
        <v>1479</v>
      </c>
      <c r="C12" s="457"/>
      <c r="D12" s="12"/>
      <c r="E12" s="12"/>
      <c r="F12" s="12"/>
      <c r="G12" s="77"/>
      <c r="H12" s="275"/>
      <c r="I12" s="18"/>
      <c r="J12" s="148" t="s">
        <v>122</v>
      </c>
      <c r="K12" s="19">
        <v>754851</v>
      </c>
      <c r="L12" s="18"/>
      <c r="M12" s="6" t="s">
        <v>263</v>
      </c>
      <c r="N12" s="13" t="s">
        <v>1462</v>
      </c>
      <c r="O12" s="18">
        <v>10</v>
      </c>
      <c r="P12" s="6" t="s">
        <v>1470</v>
      </c>
      <c r="Q12" s="6"/>
      <c r="R12" s="458">
        <v>100</v>
      </c>
      <c r="S12" s="19"/>
      <c r="T12" s="19"/>
      <c r="U12" s="275">
        <v>100</v>
      </c>
      <c r="V12" s="6"/>
      <c r="W12" s="18">
        <f t="shared" si="0"/>
        <v>100</v>
      </c>
      <c r="X12" s="47">
        <v>19700</v>
      </c>
      <c r="Y12" s="8">
        <v>19199</v>
      </c>
      <c r="Z12" s="8">
        <f t="shared" si="1"/>
        <v>1970000</v>
      </c>
      <c r="AA12" s="8">
        <f t="shared" si="2"/>
        <v>1919900</v>
      </c>
      <c r="AB12" s="6"/>
    </row>
    <row r="13" spans="1:28" s="116" customFormat="1" x14ac:dyDescent="0.25">
      <c r="A13" s="549" t="s">
        <v>1480</v>
      </c>
      <c r="B13" s="505" t="s">
        <v>1481</v>
      </c>
      <c r="C13" s="560"/>
      <c r="D13" s="92"/>
      <c r="E13" s="92"/>
      <c r="F13" s="92"/>
      <c r="G13" s="430"/>
      <c r="H13" s="482"/>
      <c r="I13" s="55"/>
      <c r="J13" s="483" t="s">
        <v>122</v>
      </c>
      <c r="K13" s="247">
        <v>754851</v>
      </c>
      <c r="L13" s="55"/>
      <c r="M13" s="243" t="s">
        <v>263</v>
      </c>
      <c r="N13" s="93" t="s">
        <v>1462</v>
      </c>
      <c r="O13" s="55">
        <v>11</v>
      </c>
      <c r="P13" s="6"/>
      <c r="Q13" s="6"/>
      <c r="R13" s="458">
        <v>1750</v>
      </c>
      <c r="S13" s="6"/>
      <c r="T13" s="6"/>
      <c r="U13" s="275"/>
      <c r="V13" s="6"/>
      <c r="W13" s="18">
        <f t="shared" si="0"/>
        <v>0</v>
      </c>
      <c r="X13" s="47">
        <v>496</v>
      </c>
      <c r="Y13" s="8">
        <v>999</v>
      </c>
      <c r="Z13" s="8">
        <f t="shared" si="1"/>
        <v>868000</v>
      </c>
      <c r="AA13" s="8">
        <f t="shared" si="2"/>
        <v>0</v>
      </c>
      <c r="AB13" s="6"/>
    </row>
    <row r="14" spans="1:28" s="116" customFormat="1" x14ac:dyDescent="0.25">
      <c r="A14" s="455" t="s">
        <v>921</v>
      </c>
      <c r="B14" s="455" t="s">
        <v>1482</v>
      </c>
      <c r="C14" s="459"/>
      <c r="D14" s="54"/>
      <c r="E14" s="54"/>
      <c r="F14" s="54"/>
      <c r="G14" s="171"/>
      <c r="H14" s="275"/>
      <c r="I14" s="66"/>
      <c r="J14" s="129" t="s">
        <v>122</v>
      </c>
      <c r="K14" s="19">
        <v>754851</v>
      </c>
      <c r="L14" s="66"/>
      <c r="M14" s="66" t="s">
        <v>263</v>
      </c>
      <c r="N14" s="13" t="s">
        <v>1462</v>
      </c>
      <c r="O14" s="66">
        <v>12</v>
      </c>
      <c r="P14" s="6" t="s">
        <v>1470</v>
      </c>
      <c r="Q14" s="66"/>
      <c r="R14" s="458">
        <v>850</v>
      </c>
      <c r="S14" s="66"/>
      <c r="T14" s="66"/>
      <c r="U14" s="68">
        <v>850</v>
      </c>
      <c r="V14" s="66"/>
      <c r="W14" s="66">
        <f t="shared" si="0"/>
        <v>850</v>
      </c>
      <c r="X14" s="67">
        <v>3148</v>
      </c>
      <c r="Y14" s="65">
        <v>1999</v>
      </c>
      <c r="Z14" s="8">
        <f t="shared" si="1"/>
        <v>2675800</v>
      </c>
      <c r="AA14" s="65">
        <f t="shared" si="2"/>
        <v>1699150</v>
      </c>
      <c r="AB14" s="66"/>
    </row>
    <row r="15" spans="1:28" s="116" customFormat="1" x14ac:dyDescent="0.25">
      <c r="A15" s="295" t="s">
        <v>127</v>
      </c>
      <c r="B15" s="455" t="s">
        <v>1483</v>
      </c>
      <c r="C15" s="457"/>
      <c r="D15" s="54"/>
      <c r="E15" s="54"/>
      <c r="F15" s="54"/>
      <c r="G15" s="171"/>
      <c r="H15" s="275"/>
      <c r="I15" s="66"/>
      <c r="J15" s="129" t="s">
        <v>122</v>
      </c>
      <c r="K15" s="19">
        <v>754851</v>
      </c>
      <c r="L15" s="66"/>
      <c r="M15" s="66" t="s">
        <v>259</v>
      </c>
      <c r="N15" s="13" t="s">
        <v>1462</v>
      </c>
      <c r="O15" s="66">
        <v>13</v>
      </c>
      <c r="P15" s="18" t="s">
        <v>1466</v>
      </c>
      <c r="Q15" s="66"/>
      <c r="R15" s="458">
        <v>6000</v>
      </c>
      <c r="S15" s="66"/>
      <c r="T15" s="66"/>
      <c r="U15" s="68">
        <v>6000</v>
      </c>
      <c r="V15" s="66"/>
      <c r="W15" s="66">
        <f t="shared" si="0"/>
        <v>6000</v>
      </c>
      <c r="X15" s="67">
        <v>640</v>
      </c>
      <c r="Y15" s="65">
        <v>875</v>
      </c>
      <c r="Z15" s="8">
        <f t="shared" si="1"/>
        <v>3840000</v>
      </c>
      <c r="AA15" s="65">
        <f t="shared" si="2"/>
        <v>5250000</v>
      </c>
      <c r="AB15" s="66"/>
    </row>
    <row r="16" spans="1:28" s="116" customFormat="1" x14ac:dyDescent="0.25">
      <c r="A16" s="295" t="s">
        <v>690</v>
      </c>
      <c r="B16" s="455" t="s">
        <v>1484</v>
      </c>
      <c r="C16" s="457"/>
      <c r="D16" s="54"/>
      <c r="E16" s="54"/>
      <c r="F16" s="54"/>
      <c r="G16" s="171"/>
      <c r="H16" s="275"/>
      <c r="I16" s="66"/>
      <c r="J16" s="129" t="s">
        <v>122</v>
      </c>
      <c r="K16" s="19">
        <v>754851</v>
      </c>
      <c r="L16" s="66"/>
      <c r="M16" s="66" t="s">
        <v>293</v>
      </c>
      <c r="N16" s="13" t="s">
        <v>1462</v>
      </c>
      <c r="O16" s="66">
        <v>14</v>
      </c>
      <c r="P16" s="6" t="s">
        <v>1468</v>
      </c>
      <c r="Q16" s="66"/>
      <c r="R16" s="458">
        <v>2500</v>
      </c>
      <c r="S16" s="66"/>
      <c r="T16" s="66"/>
      <c r="U16" s="68">
        <v>2500</v>
      </c>
      <c r="V16" s="66"/>
      <c r="W16" s="66">
        <f t="shared" si="0"/>
        <v>2500</v>
      </c>
      <c r="X16" s="67">
        <v>440</v>
      </c>
      <c r="Y16" s="65">
        <v>485</v>
      </c>
      <c r="Z16" s="8">
        <f t="shared" si="1"/>
        <v>1100000</v>
      </c>
      <c r="AA16" s="65">
        <f t="shared" si="2"/>
        <v>1212500</v>
      </c>
      <c r="AB16" s="66"/>
    </row>
    <row r="17" spans="1:28" s="116" customFormat="1" x14ac:dyDescent="0.25">
      <c r="A17" s="295" t="s">
        <v>130</v>
      </c>
      <c r="B17" s="455" t="s">
        <v>1485</v>
      </c>
      <c r="C17" s="457"/>
      <c r="D17" s="12"/>
      <c r="E17" s="12"/>
      <c r="F17" s="12"/>
      <c r="G17" s="77"/>
      <c r="H17" s="275"/>
      <c r="I17" s="18"/>
      <c r="J17" s="148" t="s">
        <v>122</v>
      </c>
      <c r="K17" s="19">
        <v>754851</v>
      </c>
      <c r="L17" s="18"/>
      <c r="M17" s="18" t="s">
        <v>283</v>
      </c>
      <c r="N17" s="13" t="s">
        <v>1462</v>
      </c>
      <c r="O17" s="66">
        <v>15</v>
      </c>
      <c r="P17" s="18" t="s">
        <v>1473</v>
      </c>
      <c r="Q17" s="66"/>
      <c r="R17" s="458">
        <v>12000</v>
      </c>
      <c r="S17" s="66"/>
      <c r="T17" s="66"/>
      <c r="U17" s="18">
        <v>12000</v>
      </c>
      <c r="V17" s="66"/>
      <c r="W17" s="18">
        <f t="shared" si="0"/>
        <v>12000</v>
      </c>
      <c r="X17" s="67">
        <v>334</v>
      </c>
      <c r="Y17" s="65">
        <v>482</v>
      </c>
      <c r="Z17" s="8">
        <f t="shared" si="1"/>
        <v>4008000</v>
      </c>
      <c r="AA17" s="65">
        <f t="shared" si="2"/>
        <v>5784000</v>
      </c>
      <c r="AB17" s="66"/>
    </row>
    <row r="18" spans="1:28" s="4" customFormat="1" x14ac:dyDescent="0.25">
      <c r="A18" s="12" t="s">
        <v>186</v>
      </c>
      <c r="B18" s="455" t="s">
        <v>1486</v>
      </c>
      <c r="C18" s="457"/>
      <c r="D18" s="54"/>
      <c r="E18" s="54"/>
      <c r="F18" s="54"/>
      <c r="G18" s="171"/>
      <c r="H18" s="275"/>
      <c r="I18" s="317"/>
      <c r="J18" s="129" t="s">
        <v>122</v>
      </c>
      <c r="K18" s="19">
        <v>754851</v>
      </c>
      <c r="L18" s="276"/>
      <c r="M18" s="66" t="s">
        <v>263</v>
      </c>
      <c r="N18" s="13" t="s">
        <v>1462</v>
      </c>
      <c r="O18" s="66">
        <v>16</v>
      </c>
      <c r="P18" s="6" t="s">
        <v>1470</v>
      </c>
      <c r="Q18" s="66"/>
      <c r="R18" s="458">
        <v>2000</v>
      </c>
      <c r="S18" s="66"/>
      <c r="T18" s="66"/>
      <c r="U18" s="68">
        <v>2000</v>
      </c>
      <c r="V18" s="66"/>
      <c r="W18" s="66">
        <f t="shared" si="0"/>
        <v>2000</v>
      </c>
      <c r="X18" s="277">
        <v>36</v>
      </c>
      <c r="Y18" s="65">
        <v>36.99</v>
      </c>
      <c r="Z18" s="8">
        <f t="shared" si="1"/>
        <v>72000</v>
      </c>
      <c r="AA18" s="276">
        <f t="shared" si="2"/>
        <v>73980</v>
      </c>
      <c r="AB18" s="66"/>
    </row>
    <row r="19" spans="1:28" s="116" customFormat="1" x14ac:dyDescent="0.25">
      <c r="A19" s="549" t="s">
        <v>164</v>
      </c>
      <c r="B19" s="505" t="s">
        <v>1487</v>
      </c>
      <c r="C19" s="506"/>
      <c r="D19" s="92"/>
      <c r="E19" s="92"/>
      <c r="F19" s="92"/>
      <c r="G19" s="430"/>
      <c r="H19" s="482"/>
      <c r="I19" s="55"/>
      <c r="J19" s="483" t="s">
        <v>122</v>
      </c>
      <c r="K19" s="247">
        <v>754851</v>
      </c>
      <c r="L19" s="55"/>
      <c r="M19" s="55" t="s">
        <v>272</v>
      </c>
      <c r="N19" s="93" t="s">
        <v>1462</v>
      </c>
      <c r="O19" s="55">
        <v>17</v>
      </c>
      <c r="P19" s="66"/>
      <c r="Q19" s="66"/>
      <c r="R19" s="458">
        <v>1200</v>
      </c>
      <c r="S19" s="174"/>
      <c r="T19" s="174"/>
      <c r="U19" s="68"/>
      <c r="V19" s="66"/>
      <c r="W19" s="18">
        <f t="shared" si="0"/>
        <v>0</v>
      </c>
      <c r="X19" s="140">
        <v>483.64</v>
      </c>
      <c r="Y19" s="141">
        <v>1625</v>
      </c>
      <c r="Z19" s="8">
        <f t="shared" si="1"/>
        <v>580368</v>
      </c>
      <c r="AA19" s="65">
        <f t="shared" si="2"/>
        <v>0</v>
      </c>
      <c r="AB19" s="66"/>
    </row>
    <row r="20" spans="1:28" s="132" customFormat="1" x14ac:dyDescent="0.25">
      <c r="A20" s="455" t="s">
        <v>1488</v>
      </c>
      <c r="B20" s="455" t="s">
        <v>1489</v>
      </c>
      <c r="C20" s="459"/>
      <c r="D20" s="54"/>
      <c r="E20" s="54"/>
      <c r="F20" s="54"/>
      <c r="G20" s="171"/>
      <c r="H20" s="275"/>
      <c r="I20" s="317"/>
      <c r="J20" s="129" t="s">
        <v>122</v>
      </c>
      <c r="K20" s="19">
        <v>754851</v>
      </c>
      <c r="L20" s="66"/>
      <c r="M20" s="66" t="s">
        <v>259</v>
      </c>
      <c r="N20" s="13" t="s">
        <v>1462</v>
      </c>
      <c r="O20" s="66">
        <v>18</v>
      </c>
      <c r="P20" s="18" t="s">
        <v>1466</v>
      </c>
      <c r="Q20" s="66"/>
      <c r="R20" s="458">
        <v>100</v>
      </c>
      <c r="S20" s="166"/>
      <c r="T20" s="166"/>
      <c r="U20" s="68">
        <v>100</v>
      </c>
      <c r="V20" s="66"/>
      <c r="W20" s="66">
        <f t="shared" si="0"/>
        <v>100</v>
      </c>
      <c r="X20" s="67">
        <v>1330</v>
      </c>
      <c r="Y20" s="67">
        <v>1425</v>
      </c>
      <c r="Z20" s="8">
        <f t="shared" si="1"/>
        <v>133000</v>
      </c>
      <c r="AA20" s="65">
        <f t="shared" si="2"/>
        <v>142500</v>
      </c>
      <c r="AB20" s="66"/>
    </row>
    <row r="21" spans="1:28" s="132" customFormat="1" ht="15" customHeight="1" x14ac:dyDescent="0.25">
      <c r="A21" s="295" t="s">
        <v>1200</v>
      </c>
      <c r="B21" s="455" t="s">
        <v>1490</v>
      </c>
      <c r="C21" s="457"/>
      <c r="D21" s="54"/>
      <c r="E21" s="54"/>
      <c r="F21" s="54"/>
      <c r="G21" s="171"/>
      <c r="H21" s="275"/>
      <c r="I21" s="66"/>
      <c r="J21" s="129" t="s">
        <v>122</v>
      </c>
      <c r="K21" s="19">
        <v>754851</v>
      </c>
      <c r="L21" s="66"/>
      <c r="M21" s="66" t="s">
        <v>283</v>
      </c>
      <c r="N21" s="13" t="s">
        <v>1462</v>
      </c>
      <c r="O21" s="66">
        <v>19</v>
      </c>
      <c r="P21" s="18" t="s">
        <v>1473</v>
      </c>
      <c r="Q21" s="66"/>
      <c r="R21" s="458">
        <v>4200</v>
      </c>
      <c r="S21" s="66"/>
      <c r="T21" s="66"/>
      <c r="U21" s="68">
        <v>4200</v>
      </c>
      <c r="V21" s="66"/>
      <c r="W21" s="66">
        <f t="shared" si="0"/>
        <v>4200</v>
      </c>
      <c r="X21" s="67">
        <v>448</v>
      </c>
      <c r="Y21" s="65">
        <v>495</v>
      </c>
      <c r="Z21" s="8">
        <f t="shared" si="1"/>
        <v>1881600</v>
      </c>
      <c r="AA21" s="65">
        <f t="shared" si="2"/>
        <v>2079000</v>
      </c>
      <c r="AB21" s="66"/>
    </row>
    <row r="22" spans="1:28" s="4" customFormat="1" x14ac:dyDescent="0.25">
      <c r="A22" s="385" t="s">
        <v>1491</v>
      </c>
      <c r="B22" s="455" t="s">
        <v>1492</v>
      </c>
      <c r="C22" s="459"/>
      <c r="D22" s="12"/>
      <c r="E22" s="12"/>
      <c r="F22" s="12"/>
      <c r="G22" s="77"/>
      <c r="H22" s="275"/>
      <c r="I22" s="18"/>
      <c r="J22" s="148" t="s">
        <v>122</v>
      </c>
      <c r="K22" s="19">
        <v>754851</v>
      </c>
      <c r="L22" s="18"/>
      <c r="M22" s="18" t="s">
        <v>293</v>
      </c>
      <c r="N22" s="13" t="s">
        <v>1462</v>
      </c>
      <c r="O22" s="66">
        <v>20</v>
      </c>
      <c r="P22" s="6" t="s">
        <v>1468</v>
      </c>
      <c r="Q22" s="66"/>
      <c r="R22" s="458">
        <v>10</v>
      </c>
      <c r="S22" s="66"/>
      <c r="T22" s="66"/>
      <c r="U22" s="68">
        <v>10</v>
      </c>
      <c r="V22" s="66"/>
      <c r="W22" s="18">
        <f t="shared" si="0"/>
        <v>10</v>
      </c>
      <c r="X22" s="67">
        <v>1999</v>
      </c>
      <c r="Y22" s="65">
        <v>2070</v>
      </c>
      <c r="Z22" s="8">
        <f t="shared" si="1"/>
        <v>19990</v>
      </c>
      <c r="AA22" s="65">
        <f t="shared" si="2"/>
        <v>20700</v>
      </c>
      <c r="AB22" s="66"/>
    </row>
    <row r="23" spans="1:28" s="4" customFormat="1" x14ac:dyDescent="0.25">
      <c r="A23" s="295" t="s">
        <v>731</v>
      </c>
      <c r="B23" s="455" t="s">
        <v>1493</v>
      </c>
      <c r="C23" s="457"/>
      <c r="D23" s="12"/>
      <c r="E23" s="12"/>
      <c r="F23" s="12"/>
      <c r="G23" s="77"/>
      <c r="H23" s="275"/>
      <c r="I23" s="18"/>
      <c r="J23" s="148" t="s">
        <v>122</v>
      </c>
      <c r="K23" s="19">
        <v>754851</v>
      </c>
      <c r="L23" s="18"/>
      <c r="M23" s="18" t="s">
        <v>263</v>
      </c>
      <c r="N23" s="13" t="s">
        <v>1462</v>
      </c>
      <c r="O23" s="66">
        <v>21</v>
      </c>
      <c r="P23" s="6" t="s">
        <v>1470</v>
      </c>
      <c r="Q23" s="66"/>
      <c r="R23" s="458">
        <v>320</v>
      </c>
      <c r="S23" s="66"/>
      <c r="T23" s="66"/>
      <c r="U23" s="68">
        <v>320</v>
      </c>
      <c r="V23" s="66"/>
      <c r="W23" s="66">
        <f t="shared" si="0"/>
        <v>320</v>
      </c>
      <c r="X23" s="67">
        <v>1695</v>
      </c>
      <c r="Y23" s="65">
        <v>1299</v>
      </c>
      <c r="Z23" s="8">
        <f t="shared" si="1"/>
        <v>542400</v>
      </c>
      <c r="AA23" s="65">
        <f t="shared" si="2"/>
        <v>415680</v>
      </c>
      <c r="AB23" s="66"/>
    </row>
    <row r="24" spans="1:28" s="4" customFormat="1" x14ac:dyDescent="0.25">
      <c r="A24" s="295" t="s">
        <v>1210</v>
      </c>
      <c r="B24" s="455" t="s">
        <v>1494</v>
      </c>
      <c r="C24" s="457"/>
      <c r="D24" s="12"/>
      <c r="E24" s="12"/>
      <c r="F24" s="12"/>
      <c r="G24" s="77"/>
      <c r="H24" s="275"/>
      <c r="I24" s="18"/>
      <c r="J24" s="148" t="s">
        <v>122</v>
      </c>
      <c r="K24" s="19">
        <v>754851</v>
      </c>
      <c r="L24" s="18"/>
      <c r="M24" s="6" t="s">
        <v>293</v>
      </c>
      <c r="N24" s="13" t="s">
        <v>1462</v>
      </c>
      <c r="O24" s="66">
        <v>22</v>
      </c>
      <c r="P24" s="6" t="s">
        <v>1468</v>
      </c>
      <c r="Q24" s="63"/>
      <c r="R24" s="458">
        <v>1000</v>
      </c>
      <c r="S24" s="63"/>
      <c r="T24" s="63"/>
      <c r="U24" s="68">
        <v>1000</v>
      </c>
      <c r="V24" s="63"/>
      <c r="W24" s="18">
        <f t="shared" si="0"/>
        <v>1000</v>
      </c>
      <c r="X24" s="67">
        <v>520</v>
      </c>
      <c r="Y24" s="65">
        <v>518</v>
      </c>
      <c r="Z24" s="8">
        <f t="shared" si="1"/>
        <v>520000</v>
      </c>
      <c r="AA24" s="65">
        <f t="shared" si="2"/>
        <v>518000</v>
      </c>
      <c r="AB24" s="66"/>
    </row>
    <row r="25" spans="1:28" s="4" customFormat="1" ht="14.25" customHeight="1" x14ac:dyDescent="0.25">
      <c r="A25" s="295" t="s">
        <v>1495</v>
      </c>
      <c r="B25" s="455" t="s">
        <v>2022</v>
      </c>
      <c r="C25" s="457"/>
      <c r="D25" s="18"/>
      <c r="E25" s="18"/>
      <c r="F25" s="18"/>
      <c r="G25" s="77"/>
      <c r="H25" s="275"/>
      <c r="I25" s="316"/>
      <c r="J25" s="148" t="s">
        <v>122</v>
      </c>
      <c r="K25" s="19">
        <v>754851</v>
      </c>
      <c r="L25" s="6"/>
      <c r="M25" s="74" t="s">
        <v>283</v>
      </c>
      <c r="N25" s="13" t="s">
        <v>1462</v>
      </c>
      <c r="O25" s="66">
        <v>23</v>
      </c>
      <c r="P25" s="18" t="s">
        <v>1473</v>
      </c>
      <c r="Q25" s="36"/>
      <c r="R25" s="458">
        <v>3000</v>
      </c>
      <c r="S25" s="171"/>
      <c r="T25" s="171"/>
      <c r="U25" s="68">
        <v>3000</v>
      </c>
      <c r="V25" s="171"/>
      <c r="W25" s="18">
        <f t="shared" si="0"/>
        <v>3000</v>
      </c>
      <c r="X25" s="248">
        <v>374</v>
      </c>
      <c r="Y25" s="248">
        <v>388</v>
      </c>
      <c r="Z25" s="8">
        <f t="shared" si="1"/>
        <v>1122000</v>
      </c>
      <c r="AA25" s="65">
        <f t="shared" si="2"/>
        <v>1164000</v>
      </c>
      <c r="AB25" s="276"/>
    </row>
    <row r="26" spans="1:28" s="4" customFormat="1" x14ac:dyDescent="0.25">
      <c r="A26" s="505" t="s">
        <v>136</v>
      </c>
      <c r="B26" s="505" t="s">
        <v>1496</v>
      </c>
      <c r="C26" s="560"/>
      <c r="D26" s="55"/>
      <c r="E26" s="55"/>
      <c r="F26" s="55"/>
      <c r="G26" s="430"/>
      <c r="H26" s="482"/>
      <c r="I26" s="55"/>
      <c r="J26" s="483" t="s">
        <v>122</v>
      </c>
      <c r="K26" s="247">
        <v>754851</v>
      </c>
      <c r="L26" s="251"/>
      <c r="M26" s="522" t="s">
        <v>272</v>
      </c>
      <c r="N26" s="93" t="s">
        <v>1462</v>
      </c>
      <c r="O26" s="55">
        <v>24</v>
      </c>
      <c r="P26" s="36"/>
      <c r="Q26" s="36"/>
      <c r="R26" s="458">
        <v>200</v>
      </c>
      <c r="S26" s="77"/>
      <c r="T26" s="77"/>
      <c r="U26" s="275"/>
      <c r="V26" s="77"/>
      <c r="W26" s="18">
        <f t="shared" si="0"/>
        <v>0</v>
      </c>
      <c r="X26" s="249">
        <v>481</v>
      </c>
      <c r="Y26" s="249">
        <v>541</v>
      </c>
      <c r="Z26" s="8">
        <f t="shared" si="1"/>
        <v>96200</v>
      </c>
      <c r="AA26" s="8">
        <f t="shared" si="2"/>
        <v>0</v>
      </c>
      <c r="AB26" s="36"/>
    </row>
    <row r="27" spans="1:28" s="4" customFormat="1" ht="17.25" customHeight="1" x14ac:dyDescent="0.25">
      <c r="A27" s="295" t="s">
        <v>1218</v>
      </c>
      <c r="B27" s="455" t="s">
        <v>1497</v>
      </c>
      <c r="C27" s="457"/>
      <c r="D27" s="12"/>
      <c r="E27" s="12"/>
      <c r="F27" s="12"/>
      <c r="G27" s="77"/>
      <c r="H27" s="275"/>
      <c r="I27" s="18"/>
      <c r="J27" s="148" t="s">
        <v>122</v>
      </c>
      <c r="K27" s="19">
        <v>754851</v>
      </c>
      <c r="L27" s="18"/>
      <c r="M27" s="18" t="s">
        <v>263</v>
      </c>
      <c r="N27" s="13" t="s">
        <v>1462</v>
      </c>
      <c r="O27" s="66">
        <v>25</v>
      </c>
      <c r="P27" s="6" t="s">
        <v>1470</v>
      </c>
      <c r="Q27" s="66"/>
      <c r="R27" s="458">
        <v>3000</v>
      </c>
      <c r="S27" s="66"/>
      <c r="T27" s="66"/>
      <c r="U27" s="68">
        <v>3000</v>
      </c>
      <c r="V27" s="66"/>
      <c r="W27" s="18">
        <f t="shared" si="0"/>
        <v>3000</v>
      </c>
      <c r="X27" s="140">
        <v>1666</v>
      </c>
      <c r="Y27" s="141">
        <v>1499</v>
      </c>
      <c r="Z27" s="8">
        <f t="shared" si="1"/>
        <v>4998000</v>
      </c>
      <c r="AA27" s="65">
        <f t="shared" si="2"/>
        <v>4497000</v>
      </c>
      <c r="AB27" s="66"/>
    </row>
    <row r="28" spans="1:28" s="116" customFormat="1" x14ac:dyDescent="0.25">
      <c r="A28" s="295" t="s">
        <v>1221</v>
      </c>
      <c r="B28" s="455" t="s">
        <v>1498</v>
      </c>
      <c r="C28" s="595"/>
      <c r="D28" s="54"/>
      <c r="E28" s="54"/>
      <c r="F28" s="54"/>
      <c r="G28" s="171"/>
      <c r="H28" s="68"/>
      <c r="I28" s="66"/>
      <c r="J28" s="129" t="s">
        <v>122</v>
      </c>
      <c r="K28" s="174">
        <v>754851</v>
      </c>
      <c r="L28" s="66"/>
      <c r="M28" s="18" t="s">
        <v>293</v>
      </c>
      <c r="N28" s="64" t="s">
        <v>1462</v>
      </c>
      <c r="O28" s="66">
        <v>26</v>
      </c>
      <c r="P28" s="66" t="s">
        <v>1468</v>
      </c>
      <c r="Q28" s="66"/>
      <c r="R28" s="458">
        <v>3000</v>
      </c>
      <c r="S28" s="174"/>
      <c r="T28" s="174"/>
      <c r="U28" s="68">
        <v>3000</v>
      </c>
      <c r="V28" s="66"/>
      <c r="W28" s="18">
        <f t="shared" si="0"/>
        <v>3000</v>
      </c>
      <c r="X28" s="140">
        <v>3280</v>
      </c>
      <c r="Y28" s="141">
        <v>2732</v>
      </c>
      <c r="Z28" s="8">
        <f t="shared" si="1"/>
        <v>9840000</v>
      </c>
      <c r="AA28" s="65">
        <f t="shared" si="2"/>
        <v>8196000</v>
      </c>
      <c r="AB28" s="66"/>
    </row>
    <row r="29" spans="1:28" s="116" customFormat="1" x14ac:dyDescent="0.25">
      <c r="A29" s="455" t="s">
        <v>1499</v>
      </c>
      <c r="B29" s="455" t="s">
        <v>1500</v>
      </c>
      <c r="C29" s="459"/>
      <c r="D29" s="54"/>
      <c r="E29" s="54"/>
      <c r="F29" s="54"/>
      <c r="G29" s="171"/>
      <c r="H29" s="275"/>
      <c r="I29" s="66"/>
      <c r="J29" s="129" t="s">
        <v>122</v>
      </c>
      <c r="K29" s="19">
        <v>754851</v>
      </c>
      <c r="L29" s="66"/>
      <c r="M29" s="66" t="s">
        <v>263</v>
      </c>
      <c r="N29" s="13" t="s">
        <v>1462</v>
      </c>
      <c r="O29" s="66">
        <v>27</v>
      </c>
      <c r="P29" s="6" t="s">
        <v>1470</v>
      </c>
      <c r="Q29" s="66"/>
      <c r="R29" s="458">
        <v>100</v>
      </c>
      <c r="S29" s="166"/>
      <c r="T29" s="166"/>
      <c r="U29" s="68">
        <v>100</v>
      </c>
      <c r="V29" s="66"/>
      <c r="W29" s="18">
        <f t="shared" si="0"/>
        <v>100</v>
      </c>
      <c r="X29" s="140">
        <v>866</v>
      </c>
      <c r="Y29" s="141">
        <v>899</v>
      </c>
      <c r="Z29" s="8">
        <f t="shared" si="1"/>
        <v>86600</v>
      </c>
      <c r="AA29" s="65">
        <f t="shared" si="2"/>
        <v>89900</v>
      </c>
      <c r="AB29" s="66"/>
    </row>
    <row r="30" spans="1:28" s="116" customFormat="1" x14ac:dyDescent="0.25">
      <c r="A30" s="385" t="s">
        <v>1366</v>
      </c>
      <c r="B30" s="455" t="s">
        <v>1501</v>
      </c>
      <c r="C30" s="458"/>
      <c r="D30" s="54"/>
      <c r="E30" s="54"/>
      <c r="F30" s="54"/>
      <c r="G30" s="171"/>
      <c r="H30" s="275"/>
      <c r="I30" s="66"/>
      <c r="J30" s="129" t="s">
        <v>122</v>
      </c>
      <c r="K30" s="19">
        <v>754851</v>
      </c>
      <c r="L30" s="6"/>
      <c r="M30" s="63" t="s">
        <v>263</v>
      </c>
      <c r="N30" s="13" t="s">
        <v>1462</v>
      </c>
      <c r="O30" s="66">
        <v>28</v>
      </c>
      <c r="P30" s="6" t="s">
        <v>1470</v>
      </c>
      <c r="Q30" s="63"/>
      <c r="R30" s="458">
        <v>4000</v>
      </c>
      <c r="S30" s="66"/>
      <c r="T30" s="66"/>
      <c r="U30" s="68">
        <v>4000</v>
      </c>
      <c r="V30" s="63"/>
      <c r="W30" s="18">
        <f t="shared" si="0"/>
        <v>4000</v>
      </c>
      <c r="X30" s="140">
        <v>16200</v>
      </c>
      <c r="Y30" s="141">
        <v>17395</v>
      </c>
      <c r="Z30" s="8">
        <f t="shared" si="1"/>
        <v>64800000</v>
      </c>
      <c r="AA30" s="65">
        <f t="shared" si="2"/>
        <v>69580000</v>
      </c>
      <c r="AB30" s="63"/>
    </row>
    <row r="31" spans="1:28" s="116" customFormat="1" x14ac:dyDescent="0.25">
      <c r="A31" s="455" t="s">
        <v>776</v>
      </c>
      <c r="B31" s="455" t="s">
        <v>1502</v>
      </c>
      <c r="C31" s="457"/>
      <c r="D31" s="12"/>
      <c r="E31" s="12"/>
      <c r="F31" s="12"/>
      <c r="G31" s="77"/>
      <c r="H31" s="275"/>
      <c r="I31" s="18"/>
      <c r="J31" s="148" t="s">
        <v>122</v>
      </c>
      <c r="K31" s="19">
        <v>754851</v>
      </c>
      <c r="L31" s="18"/>
      <c r="M31" s="18" t="s">
        <v>259</v>
      </c>
      <c r="N31" s="13" t="s">
        <v>1462</v>
      </c>
      <c r="O31" s="66">
        <v>29</v>
      </c>
      <c r="P31" s="18" t="s">
        <v>1466</v>
      </c>
      <c r="Q31" s="66"/>
      <c r="R31" s="458">
        <v>500</v>
      </c>
      <c r="S31" s="166"/>
      <c r="T31" s="166"/>
      <c r="U31" s="68">
        <v>500</v>
      </c>
      <c r="V31" s="66"/>
      <c r="W31" s="18">
        <f t="shared" si="0"/>
        <v>500</v>
      </c>
      <c r="X31" s="140">
        <v>2998</v>
      </c>
      <c r="Y31" s="141">
        <v>3375</v>
      </c>
      <c r="Z31" s="8">
        <f t="shared" si="1"/>
        <v>1499000</v>
      </c>
      <c r="AA31" s="65">
        <f t="shared" si="2"/>
        <v>1687500</v>
      </c>
      <c r="AB31" s="66"/>
    </row>
    <row r="32" spans="1:28" s="116" customFormat="1" x14ac:dyDescent="0.25">
      <c r="A32" s="505" t="s">
        <v>289</v>
      </c>
      <c r="B32" s="505" t="s">
        <v>1503</v>
      </c>
      <c r="C32" s="506"/>
      <c r="D32" s="92"/>
      <c r="E32" s="92"/>
      <c r="F32" s="92"/>
      <c r="G32" s="430"/>
      <c r="H32" s="482"/>
      <c r="I32" s="55"/>
      <c r="J32" s="483" t="s">
        <v>122</v>
      </c>
      <c r="K32" s="247">
        <v>754851</v>
      </c>
      <c r="L32" s="55"/>
      <c r="M32" s="55" t="s">
        <v>259</v>
      </c>
      <c r="N32" s="93" t="s">
        <v>1462</v>
      </c>
      <c r="O32" s="55">
        <v>30</v>
      </c>
      <c r="P32" s="63"/>
      <c r="Q32" s="66"/>
      <c r="R32" s="458">
        <v>50</v>
      </c>
      <c r="S32" s="66"/>
      <c r="T32" s="66"/>
      <c r="U32" s="68"/>
      <c r="V32" s="66"/>
      <c r="W32" s="18">
        <f t="shared" si="0"/>
        <v>0</v>
      </c>
      <c r="X32" s="140">
        <v>426</v>
      </c>
      <c r="Y32" s="141">
        <v>799.98</v>
      </c>
      <c r="Z32" s="8">
        <f t="shared" si="1"/>
        <v>21300</v>
      </c>
      <c r="AA32" s="65">
        <f t="shared" si="2"/>
        <v>0</v>
      </c>
      <c r="AB32" s="66"/>
    </row>
    <row r="33" spans="1:28" x14ac:dyDescent="0.25">
      <c r="A33" s="455" t="s">
        <v>291</v>
      </c>
      <c r="B33" s="455" t="s">
        <v>1504</v>
      </c>
      <c r="C33" s="596"/>
      <c r="D33" s="66"/>
      <c r="E33" s="66"/>
      <c r="F33" s="66"/>
      <c r="G33" s="166"/>
      <c r="H33" s="68"/>
      <c r="I33" s="66"/>
      <c r="J33" s="129" t="s">
        <v>122</v>
      </c>
      <c r="K33" s="174">
        <v>754851</v>
      </c>
      <c r="L33" s="66"/>
      <c r="M33" s="18" t="s">
        <v>293</v>
      </c>
      <c r="N33" s="64" t="s">
        <v>1462</v>
      </c>
      <c r="O33" s="66">
        <v>31</v>
      </c>
      <c r="P33" s="66" t="s">
        <v>1468</v>
      </c>
      <c r="Q33" s="63"/>
      <c r="R33" s="596">
        <v>10000</v>
      </c>
      <c r="S33" s="52">
        <v>4000</v>
      </c>
      <c r="T33" s="52"/>
      <c r="U33" s="18">
        <v>4000</v>
      </c>
      <c r="V33" s="6"/>
      <c r="W33" s="18">
        <f t="shared" si="0"/>
        <v>4000</v>
      </c>
      <c r="X33" s="118">
        <v>3123</v>
      </c>
      <c r="Y33" s="117">
        <v>3124</v>
      </c>
      <c r="Z33" s="8">
        <f t="shared" si="1"/>
        <v>31230000</v>
      </c>
      <c r="AA33" s="8">
        <f t="shared" si="2"/>
        <v>12496000</v>
      </c>
      <c r="AB33" s="6"/>
    </row>
    <row r="34" spans="1:28" x14ac:dyDescent="0.25">
      <c r="A34" s="456" t="s">
        <v>1505</v>
      </c>
      <c r="B34" s="455" t="s">
        <v>1506</v>
      </c>
      <c r="C34" s="459"/>
      <c r="D34" s="18"/>
      <c r="E34" s="18"/>
      <c r="F34" s="18"/>
      <c r="G34" s="18"/>
      <c r="H34" s="275"/>
      <c r="I34" s="18"/>
      <c r="J34" s="148" t="s">
        <v>122</v>
      </c>
      <c r="K34" s="19">
        <v>754851</v>
      </c>
      <c r="L34" s="6"/>
      <c r="M34" s="6" t="s">
        <v>259</v>
      </c>
      <c r="N34" s="13" t="s">
        <v>1462</v>
      </c>
      <c r="O34" s="66">
        <v>32</v>
      </c>
      <c r="P34" s="18" t="s">
        <v>1466</v>
      </c>
      <c r="Q34" s="6"/>
      <c r="R34" s="458">
        <v>200</v>
      </c>
      <c r="S34" s="6"/>
      <c r="T34" s="6"/>
      <c r="U34" s="6">
        <v>200</v>
      </c>
      <c r="V34" s="6"/>
      <c r="W34" s="18">
        <f t="shared" si="0"/>
        <v>200</v>
      </c>
      <c r="X34" s="249">
        <v>657</v>
      </c>
      <c r="Y34" s="249">
        <v>580.29999999999995</v>
      </c>
      <c r="Z34" s="8">
        <f t="shared" si="1"/>
        <v>131400</v>
      </c>
      <c r="AA34" s="8">
        <f t="shared" si="2"/>
        <v>116059.99999999999</v>
      </c>
      <c r="AB34" s="36"/>
    </row>
    <row r="35" spans="1:28" x14ac:dyDescent="0.25">
      <c r="A35" s="295" t="s">
        <v>148</v>
      </c>
      <c r="B35" s="455" t="s">
        <v>1507</v>
      </c>
      <c r="C35" s="457"/>
      <c r="D35" s="54"/>
      <c r="E35" s="54"/>
      <c r="F35" s="54"/>
      <c r="G35" s="171"/>
      <c r="H35" s="275"/>
      <c r="I35" s="66"/>
      <c r="J35" s="148" t="s">
        <v>122</v>
      </c>
      <c r="K35" s="19">
        <v>754851</v>
      </c>
      <c r="L35" s="6"/>
      <c r="M35" s="63" t="s">
        <v>283</v>
      </c>
      <c r="N35" s="13" t="s">
        <v>1462</v>
      </c>
      <c r="O35" s="66">
        <v>33</v>
      </c>
      <c r="P35" s="18" t="s">
        <v>1473</v>
      </c>
      <c r="Q35" s="6"/>
      <c r="R35" s="458">
        <v>2400</v>
      </c>
      <c r="S35" s="19"/>
      <c r="T35" s="19"/>
      <c r="U35" s="275">
        <v>2400</v>
      </c>
      <c r="V35" s="6"/>
      <c r="W35" s="18">
        <f t="shared" si="0"/>
        <v>2400</v>
      </c>
      <c r="X35" s="118">
        <v>385</v>
      </c>
      <c r="Y35" s="117">
        <v>394</v>
      </c>
      <c r="Z35" s="8">
        <f t="shared" si="1"/>
        <v>924000</v>
      </c>
      <c r="AA35" s="8">
        <f t="shared" si="2"/>
        <v>945600</v>
      </c>
      <c r="AB35" s="6"/>
    </row>
    <row r="36" spans="1:28" s="4" customFormat="1" x14ac:dyDescent="0.25">
      <c r="A36" s="385" t="s">
        <v>835</v>
      </c>
      <c r="B36" s="455" t="s">
        <v>1508</v>
      </c>
      <c r="C36" s="457"/>
      <c r="D36" s="54"/>
      <c r="E36" s="54"/>
      <c r="F36" s="54"/>
      <c r="G36" s="171"/>
      <c r="H36" s="275"/>
      <c r="I36" s="66"/>
      <c r="J36" s="148" t="s">
        <v>122</v>
      </c>
      <c r="K36" s="19">
        <v>754851</v>
      </c>
      <c r="L36" s="76"/>
      <c r="M36" s="275" t="s">
        <v>259</v>
      </c>
      <c r="N36" s="13" t="s">
        <v>1462</v>
      </c>
      <c r="O36" s="275">
        <v>34</v>
      </c>
      <c r="P36" s="18" t="s">
        <v>1466</v>
      </c>
      <c r="Q36" s="23"/>
      <c r="R36" s="458">
        <v>1100</v>
      </c>
      <c r="S36" s="19"/>
      <c r="T36" s="19"/>
      <c r="U36" s="275">
        <v>1100</v>
      </c>
      <c r="V36" s="6"/>
      <c r="W36" s="18">
        <f t="shared" si="0"/>
        <v>1100</v>
      </c>
      <c r="X36" s="118">
        <v>34.6</v>
      </c>
      <c r="Y36" s="117">
        <v>46.5</v>
      </c>
      <c r="Z36" s="8">
        <f t="shared" si="1"/>
        <v>38060</v>
      </c>
      <c r="AA36" s="8">
        <f t="shared" si="2"/>
        <v>51150</v>
      </c>
      <c r="AB36" s="23"/>
    </row>
    <row r="37" spans="1:28" s="4" customFormat="1" x14ac:dyDescent="0.25">
      <c r="A37" s="561" t="s">
        <v>1372</v>
      </c>
      <c r="B37" s="505" t="s">
        <v>1509</v>
      </c>
      <c r="C37" s="506"/>
      <c r="D37" s="92"/>
      <c r="E37" s="92"/>
      <c r="F37" s="92"/>
      <c r="G37" s="430"/>
      <c r="H37" s="482"/>
      <c r="I37" s="55"/>
      <c r="J37" s="483" t="s">
        <v>122</v>
      </c>
      <c r="K37" s="247">
        <v>754851</v>
      </c>
      <c r="L37" s="250"/>
      <c r="M37" s="250" t="s">
        <v>263</v>
      </c>
      <c r="N37" s="93" t="s">
        <v>1462</v>
      </c>
      <c r="O37" s="250">
        <v>35</v>
      </c>
      <c r="P37" s="31"/>
      <c r="Q37" s="31"/>
      <c r="R37" s="458">
        <v>50</v>
      </c>
      <c r="S37" s="19"/>
      <c r="T37" s="19"/>
      <c r="U37" s="275"/>
      <c r="V37" s="6"/>
      <c r="W37" s="18">
        <f t="shared" si="0"/>
        <v>0</v>
      </c>
      <c r="X37" s="118">
        <v>28866.5</v>
      </c>
      <c r="Y37" s="117">
        <v>33199</v>
      </c>
      <c r="Z37" s="8">
        <f t="shared" si="1"/>
        <v>1443325</v>
      </c>
      <c r="AA37" s="8">
        <f t="shared" si="2"/>
        <v>0</v>
      </c>
      <c r="AB37" s="31"/>
    </row>
    <row r="38" spans="1:28" s="4" customFormat="1" x14ac:dyDescent="0.25">
      <c r="A38" s="295" t="s">
        <v>1244</v>
      </c>
      <c r="B38" s="455" t="s">
        <v>1510</v>
      </c>
      <c r="C38" s="457"/>
      <c r="D38" s="54"/>
      <c r="E38" s="54"/>
      <c r="F38" s="54"/>
      <c r="G38" s="171"/>
      <c r="H38" s="275"/>
      <c r="I38" s="66"/>
      <c r="J38" s="148" t="s">
        <v>122</v>
      </c>
      <c r="K38" s="19">
        <v>754851</v>
      </c>
      <c r="L38" s="76"/>
      <c r="M38" s="76" t="s">
        <v>263</v>
      </c>
      <c r="N38" s="13" t="s">
        <v>1462</v>
      </c>
      <c r="O38" s="76">
        <v>36</v>
      </c>
      <c r="P38" s="6" t="s">
        <v>1470</v>
      </c>
      <c r="Q38" s="31"/>
      <c r="R38" s="458">
        <v>600</v>
      </c>
      <c r="S38" s="19"/>
      <c r="T38" s="19"/>
      <c r="U38" s="275">
        <v>600</v>
      </c>
      <c r="V38" s="6"/>
      <c r="W38" s="18">
        <f t="shared" si="0"/>
        <v>600</v>
      </c>
      <c r="X38" s="118">
        <v>1700</v>
      </c>
      <c r="Y38" s="117">
        <v>1799</v>
      </c>
      <c r="Z38" s="8">
        <f t="shared" si="1"/>
        <v>1020000</v>
      </c>
      <c r="AA38" s="8">
        <f t="shared" si="2"/>
        <v>1079400</v>
      </c>
      <c r="AB38" s="31"/>
    </row>
    <row r="39" spans="1:28" s="4" customFormat="1" x14ac:dyDescent="0.25">
      <c r="A39" s="295" t="s">
        <v>1249</v>
      </c>
      <c r="B39" s="455" t="s">
        <v>1511</v>
      </c>
      <c r="C39" s="459"/>
      <c r="D39" s="54"/>
      <c r="E39" s="54"/>
      <c r="F39" s="54"/>
      <c r="G39" s="171"/>
      <c r="H39" s="275"/>
      <c r="I39" s="66"/>
      <c r="J39" s="148" t="s">
        <v>122</v>
      </c>
      <c r="K39" s="19">
        <v>754851</v>
      </c>
      <c r="L39" s="76"/>
      <c r="M39" s="76" t="s">
        <v>263</v>
      </c>
      <c r="N39" s="13" t="s">
        <v>1462</v>
      </c>
      <c r="O39" s="76">
        <v>37</v>
      </c>
      <c r="P39" s="6" t="s">
        <v>1470</v>
      </c>
      <c r="Q39" s="31"/>
      <c r="R39" s="460">
        <v>1400</v>
      </c>
      <c r="S39" s="19">
        <v>750</v>
      </c>
      <c r="T39" s="19"/>
      <c r="U39" s="275">
        <v>750</v>
      </c>
      <c r="V39" s="6"/>
      <c r="W39" s="18">
        <f t="shared" si="0"/>
        <v>750</v>
      </c>
      <c r="X39" s="118">
        <v>2990</v>
      </c>
      <c r="Y39" s="117">
        <v>2789</v>
      </c>
      <c r="Z39" s="8">
        <f t="shared" si="1"/>
        <v>4186000</v>
      </c>
      <c r="AA39" s="8">
        <f t="shared" si="2"/>
        <v>2091750</v>
      </c>
      <c r="AB39" s="31"/>
    </row>
    <row r="40" spans="1:28" s="4" customFormat="1" x14ac:dyDescent="0.25">
      <c r="A40" s="455" t="s">
        <v>1512</v>
      </c>
      <c r="B40" s="455" t="s">
        <v>1513</v>
      </c>
      <c r="C40" s="459"/>
      <c r="D40" s="54"/>
      <c r="E40" s="54"/>
      <c r="F40" s="54"/>
      <c r="G40" s="171"/>
      <c r="H40" s="275"/>
      <c r="I40" s="66"/>
      <c r="J40" s="148" t="s">
        <v>122</v>
      </c>
      <c r="K40" s="19">
        <v>754851</v>
      </c>
      <c r="L40" s="76"/>
      <c r="M40" s="76" t="s">
        <v>263</v>
      </c>
      <c r="N40" s="13" t="s">
        <v>1462</v>
      </c>
      <c r="O40" s="76">
        <v>38</v>
      </c>
      <c r="P40" s="6" t="s">
        <v>1470</v>
      </c>
      <c r="Q40" s="31"/>
      <c r="R40" s="458">
        <v>550</v>
      </c>
      <c r="S40" s="19"/>
      <c r="T40" s="19"/>
      <c r="U40" s="275">
        <v>550</v>
      </c>
      <c r="V40" s="6"/>
      <c r="W40" s="18">
        <f t="shared" si="0"/>
        <v>550</v>
      </c>
      <c r="X40" s="118">
        <v>12200</v>
      </c>
      <c r="Y40" s="117">
        <v>11999</v>
      </c>
      <c r="Z40" s="8">
        <f t="shared" si="1"/>
        <v>6710000</v>
      </c>
      <c r="AA40" s="8">
        <f t="shared" si="2"/>
        <v>6599450</v>
      </c>
      <c r="AB40" s="31"/>
    </row>
    <row r="41" spans="1:28" s="4" customFormat="1" x14ac:dyDescent="0.25">
      <c r="A41" s="295" t="s">
        <v>1514</v>
      </c>
      <c r="B41" s="455" t="s">
        <v>1515</v>
      </c>
      <c r="C41" s="597"/>
      <c r="D41" s="54"/>
      <c r="E41" s="54"/>
      <c r="F41" s="54"/>
      <c r="G41" s="171"/>
      <c r="H41" s="68"/>
      <c r="I41" s="66"/>
      <c r="J41" s="129" t="s">
        <v>122</v>
      </c>
      <c r="K41" s="174">
        <v>754851</v>
      </c>
      <c r="L41" s="173"/>
      <c r="M41" s="18" t="s">
        <v>293</v>
      </c>
      <c r="N41" s="64" t="s">
        <v>1462</v>
      </c>
      <c r="O41" s="173">
        <v>39</v>
      </c>
      <c r="P41" s="66" t="s">
        <v>1468</v>
      </c>
      <c r="Q41" s="170"/>
      <c r="R41" s="596">
        <v>1000</v>
      </c>
      <c r="S41" s="19"/>
      <c r="T41" s="19"/>
      <c r="U41" s="275">
        <v>1000</v>
      </c>
      <c r="V41" s="6"/>
      <c r="W41" s="18">
        <f t="shared" si="0"/>
        <v>1000</v>
      </c>
      <c r="X41" s="118">
        <v>4239</v>
      </c>
      <c r="Y41" s="117">
        <v>5188</v>
      </c>
      <c r="Z41" s="8">
        <f t="shared" si="1"/>
        <v>4239000</v>
      </c>
      <c r="AA41" s="8">
        <f t="shared" si="2"/>
        <v>5188000</v>
      </c>
      <c r="AB41" s="31"/>
    </row>
    <row r="42" spans="1:28" s="4" customFormat="1" x14ac:dyDescent="0.25">
      <c r="A42" s="12" t="s">
        <v>243</v>
      </c>
      <c r="B42" s="455" t="s">
        <v>1516</v>
      </c>
      <c r="C42" s="458"/>
      <c r="D42" s="54"/>
      <c r="E42" s="54"/>
      <c r="F42" s="54"/>
      <c r="G42" s="171"/>
      <c r="H42" s="275"/>
      <c r="I42" s="66"/>
      <c r="J42" s="148" t="s">
        <v>122</v>
      </c>
      <c r="K42" s="19">
        <v>754851</v>
      </c>
      <c r="L42" s="76"/>
      <c r="M42" s="76" t="s">
        <v>263</v>
      </c>
      <c r="N42" s="13" t="s">
        <v>1462</v>
      </c>
      <c r="O42" s="76">
        <v>40</v>
      </c>
      <c r="P42" s="6" t="s">
        <v>1470</v>
      </c>
      <c r="Q42" s="31"/>
      <c r="R42" s="458">
        <v>10000</v>
      </c>
      <c r="S42" s="19">
        <v>4000</v>
      </c>
      <c r="T42" s="19"/>
      <c r="U42" s="275">
        <v>4000</v>
      </c>
      <c r="V42" s="6"/>
      <c r="W42" s="18">
        <f t="shared" si="0"/>
        <v>4000</v>
      </c>
      <c r="X42" s="118">
        <v>1500</v>
      </c>
      <c r="Y42" s="117">
        <v>1779.89</v>
      </c>
      <c r="Z42" s="8">
        <f t="shared" si="1"/>
        <v>15000000</v>
      </c>
      <c r="AA42" s="8">
        <f t="shared" si="2"/>
        <v>7119560</v>
      </c>
      <c r="AB42" s="31"/>
    </row>
    <row r="43" spans="1:28" s="4" customFormat="1" x14ac:dyDescent="0.25">
      <c r="A43" s="295" t="s">
        <v>1517</v>
      </c>
      <c r="B43" s="455" t="s">
        <v>1518</v>
      </c>
      <c r="C43" s="457"/>
      <c r="D43" s="54"/>
      <c r="E43" s="54"/>
      <c r="F43" s="54"/>
      <c r="G43" s="171"/>
      <c r="H43" s="275"/>
      <c r="I43" s="66"/>
      <c r="J43" s="148" t="s">
        <v>122</v>
      </c>
      <c r="K43" s="19">
        <v>754851</v>
      </c>
      <c r="L43" s="76"/>
      <c r="M43" s="76" t="s">
        <v>293</v>
      </c>
      <c r="N43" s="13" t="s">
        <v>1462</v>
      </c>
      <c r="O43" s="76">
        <v>41</v>
      </c>
      <c r="P43" s="6" t="s">
        <v>1468</v>
      </c>
      <c r="Q43" s="31"/>
      <c r="R43" s="458">
        <v>200</v>
      </c>
      <c r="S43" s="19"/>
      <c r="T43" s="19"/>
      <c r="U43" s="275">
        <v>200</v>
      </c>
      <c r="V43" s="6"/>
      <c r="W43" s="18">
        <f t="shared" si="0"/>
        <v>200</v>
      </c>
      <c r="X43" s="118">
        <v>1895</v>
      </c>
      <c r="Y43" s="117">
        <v>1998</v>
      </c>
      <c r="Z43" s="8">
        <f t="shared" si="1"/>
        <v>379000</v>
      </c>
      <c r="AA43" s="8">
        <f t="shared" si="2"/>
        <v>399600</v>
      </c>
      <c r="AB43" s="31"/>
    </row>
    <row r="44" spans="1:28" s="4" customFormat="1" x14ac:dyDescent="0.25">
      <c r="A44" s="456" t="s">
        <v>1519</v>
      </c>
      <c r="B44" s="455" t="s">
        <v>1520</v>
      </c>
      <c r="C44" s="459"/>
      <c r="D44" s="54"/>
      <c r="E44" s="54"/>
      <c r="F44" s="54"/>
      <c r="G44" s="171"/>
      <c r="H44" s="275"/>
      <c r="I44" s="66"/>
      <c r="J44" s="148" t="s">
        <v>122</v>
      </c>
      <c r="K44" s="19">
        <v>754851</v>
      </c>
      <c r="L44" s="76"/>
      <c r="M44" s="76" t="s">
        <v>263</v>
      </c>
      <c r="N44" s="13" t="s">
        <v>1462</v>
      </c>
      <c r="O44" s="76">
        <v>42</v>
      </c>
      <c r="P44" s="6" t="s">
        <v>1470</v>
      </c>
      <c r="Q44" s="31"/>
      <c r="R44" s="458">
        <v>100</v>
      </c>
      <c r="S44" s="19"/>
      <c r="T44" s="19"/>
      <c r="U44" s="275">
        <v>100</v>
      </c>
      <c r="V44" s="6"/>
      <c r="W44" s="18">
        <f t="shared" si="0"/>
        <v>100</v>
      </c>
      <c r="X44" s="118">
        <v>15598.5</v>
      </c>
      <c r="Y44" s="117">
        <v>16399</v>
      </c>
      <c r="Z44" s="8">
        <f t="shared" si="1"/>
        <v>1559850</v>
      </c>
      <c r="AA44" s="8">
        <f t="shared" si="2"/>
        <v>1639900</v>
      </c>
      <c r="AB44" s="31"/>
    </row>
    <row r="45" spans="1:28" s="4" customFormat="1" x14ac:dyDescent="0.25">
      <c r="A45" s="295" t="s">
        <v>392</v>
      </c>
      <c r="B45" s="455" t="s">
        <v>1521</v>
      </c>
      <c r="C45" s="459"/>
      <c r="D45" s="12"/>
      <c r="E45" s="12"/>
      <c r="F45" s="12"/>
      <c r="G45" s="77"/>
      <c r="H45" s="275"/>
      <c r="I45" s="18"/>
      <c r="J45" s="148" t="s">
        <v>122</v>
      </c>
      <c r="K45" s="19">
        <v>754851</v>
      </c>
      <c r="L45" s="18"/>
      <c r="M45" s="18" t="s">
        <v>263</v>
      </c>
      <c r="N45" s="13" t="s">
        <v>1462</v>
      </c>
      <c r="O45" s="66">
        <v>43</v>
      </c>
      <c r="P45" s="6" t="s">
        <v>1470</v>
      </c>
      <c r="Q45" s="66"/>
      <c r="R45" s="458">
        <v>1350</v>
      </c>
      <c r="S45" s="66"/>
      <c r="T45" s="66"/>
      <c r="U45" s="68">
        <v>1350</v>
      </c>
      <c r="V45" s="66"/>
      <c r="W45" s="18">
        <f t="shared" si="0"/>
        <v>1350</v>
      </c>
      <c r="X45" s="67">
        <v>625</v>
      </c>
      <c r="Y45" s="65">
        <v>859.99</v>
      </c>
      <c r="Z45" s="8">
        <f t="shared" si="1"/>
        <v>843750</v>
      </c>
      <c r="AA45" s="65">
        <f t="shared" si="2"/>
        <v>1160986.5</v>
      </c>
      <c r="AB45" s="66"/>
    </row>
    <row r="46" spans="1:28" s="4" customFormat="1" x14ac:dyDescent="0.25">
      <c r="A46" s="680"/>
      <c r="B46" s="680"/>
      <c r="C46" s="680"/>
      <c r="D46" s="188"/>
      <c r="E46" s="188"/>
      <c r="F46" s="188"/>
      <c r="G46" s="188"/>
      <c r="H46" s="188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188"/>
      <c r="V46" s="188"/>
      <c r="W46" s="680"/>
      <c r="X46" s="680"/>
      <c r="Y46" s="680"/>
      <c r="Z46" s="86">
        <f>SUM(Z3:Z45)</f>
        <v>176211808.5</v>
      </c>
      <c r="AA46" s="86">
        <f>SUM(AA3:AA45)</f>
        <v>149694351.25</v>
      </c>
      <c r="AB46" s="680"/>
    </row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pans="18:20" s="2" customFormat="1" x14ac:dyDescent="0.25"/>
    <row r="114" spans="18:20" s="2" customFormat="1" x14ac:dyDescent="0.25"/>
    <row r="115" spans="18:20" s="2" customFormat="1" x14ac:dyDescent="0.25"/>
    <row r="116" spans="18:20" s="2" customFormat="1" x14ac:dyDescent="0.25"/>
    <row r="117" spans="18:20" s="2" customFormat="1" x14ac:dyDescent="0.25"/>
    <row r="118" spans="18:20" s="2" customFormat="1" x14ac:dyDescent="0.25"/>
    <row r="119" spans="18:20" s="2" customFormat="1" x14ac:dyDescent="0.25"/>
    <row r="120" spans="18:20" s="2" customFormat="1" x14ac:dyDescent="0.25"/>
    <row r="121" spans="18:20" x14ac:dyDescent="0.25">
      <c r="R121" s="2"/>
      <c r="S121" s="2"/>
      <c r="T121" s="2"/>
    </row>
    <row r="122" spans="18:20" x14ac:dyDescent="0.25">
      <c r="R122" s="2"/>
      <c r="S122" s="2"/>
      <c r="T122" s="2"/>
    </row>
    <row r="123" spans="18:20" x14ac:dyDescent="0.25">
      <c r="R123" s="2"/>
      <c r="S123" s="2"/>
      <c r="T123" s="2"/>
    </row>
    <row r="124" spans="18:20" x14ac:dyDescent="0.25">
      <c r="R124" s="2"/>
      <c r="S124" s="2"/>
      <c r="T124" s="2"/>
    </row>
    <row r="129" spans="13:28" x14ac:dyDescent="0.25">
      <c r="M129" s="2"/>
      <c r="N129" s="2"/>
      <c r="O129" s="2"/>
      <c r="P129" s="2"/>
      <c r="Q129" s="2"/>
      <c r="W129" s="2"/>
      <c r="X129" s="2"/>
      <c r="Y129" s="2"/>
      <c r="AB129" s="2"/>
    </row>
    <row r="130" spans="13:28" x14ac:dyDescent="0.25">
      <c r="M130" s="2"/>
      <c r="N130" s="2"/>
      <c r="O130" s="2"/>
      <c r="P130" s="2"/>
      <c r="Q130" s="2"/>
      <c r="W130" s="2"/>
      <c r="X130" s="2"/>
      <c r="Y130" s="2"/>
      <c r="AB130" s="2"/>
    </row>
    <row r="131" spans="13:28" x14ac:dyDescent="0.25">
      <c r="M131" s="2"/>
      <c r="N131" s="2"/>
      <c r="O131" s="2"/>
      <c r="P131" s="2"/>
      <c r="Q131" s="2"/>
      <c r="W131" s="2"/>
      <c r="X131" s="2"/>
      <c r="Y131" s="2"/>
      <c r="AB131" s="2"/>
    </row>
    <row r="132" spans="13:28" x14ac:dyDescent="0.25">
      <c r="M132" s="2"/>
      <c r="N132" s="2"/>
      <c r="O132" s="2"/>
      <c r="P132" s="2"/>
      <c r="Q132" s="2"/>
      <c r="W132" s="2"/>
      <c r="X132" s="2"/>
      <c r="Y132" s="2"/>
      <c r="AB132" s="2"/>
    </row>
    <row r="133" spans="13:28" x14ac:dyDescent="0.25">
      <c r="M133" s="2"/>
      <c r="N133" s="2"/>
      <c r="O133" s="2"/>
      <c r="P133" s="2"/>
      <c r="Q133" s="2"/>
      <c r="W133" s="2"/>
      <c r="X133" s="2"/>
      <c r="Y133" s="2"/>
      <c r="AB133" s="2"/>
    </row>
    <row r="134" spans="13:28" x14ac:dyDescent="0.25">
      <c r="M134" s="2"/>
      <c r="N134" s="2"/>
      <c r="O134" s="2"/>
      <c r="P134" s="2"/>
      <c r="Q134" s="2"/>
      <c r="W134" s="2"/>
      <c r="X134" s="2"/>
      <c r="Y134" s="2"/>
      <c r="AB134" s="2"/>
    </row>
    <row r="135" spans="13:28" x14ac:dyDescent="0.25">
      <c r="M135" s="2"/>
      <c r="N135" s="2"/>
      <c r="O135" s="2"/>
      <c r="P135" s="2"/>
      <c r="Q135" s="2"/>
      <c r="W135" s="2"/>
      <c r="X135" s="2"/>
      <c r="Y135" s="2"/>
      <c r="AB135" s="2"/>
    </row>
    <row r="136" spans="13:28" x14ac:dyDescent="0.25">
      <c r="M136" s="2"/>
      <c r="N136" s="2"/>
      <c r="O136" s="2"/>
      <c r="P136" s="2"/>
      <c r="Q136" s="2"/>
      <c r="W136" s="2"/>
      <c r="X136" s="2"/>
      <c r="Y136" s="2"/>
      <c r="AB136" s="2"/>
    </row>
    <row r="137" spans="13:28" x14ac:dyDescent="0.25">
      <c r="M137" s="2"/>
      <c r="N137" s="2"/>
      <c r="O137" s="2"/>
      <c r="P137" s="2"/>
      <c r="Q137" s="2"/>
      <c r="W137" s="2"/>
      <c r="X137" s="2"/>
      <c r="Y137" s="2"/>
      <c r="AB137" s="2"/>
    </row>
    <row r="138" spans="13:28" x14ac:dyDescent="0.25">
      <c r="M138" s="2"/>
      <c r="N138" s="2"/>
      <c r="O138" s="2"/>
      <c r="P138" s="2"/>
      <c r="Q138" s="2"/>
      <c r="W138" s="2"/>
      <c r="X138" s="2"/>
      <c r="Y138" s="2"/>
      <c r="AB138" s="2"/>
    </row>
    <row r="139" spans="13:28" x14ac:dyDescent="0.25">
      <c r="M139" s="2"/>
      <c r="N139" s="2"/>
      <c r="O139" s="2"/>
      <c r="P139" s="2"/>
      <c r="Q139" s="2"/>
      <c r="W139" s="2"/>
      <c r="X139" s="2"/>
      <c r="Y139" s="2"/>
      <c r="AB139" s="2"/>
    </row>
    <row r="140" spans="13:28" x14ac:dyDescent="0.25">
      <c r="M140" s="2"/>
      <c r="N140" s="2"/>
      <c r="O140" s="2"/>
      <c r="P140" s="2"/>
      <c r="Q140" s="2"/>
      <c r="W140" s="2"/>
      <c r="X140" s="2"/>
      <c r="Y140" s="2"/>
      <c r="AB140" s="2"/>
    </row>
    <row r="141" spans="13:28" x14ac:dyDescent="0.25">
      <c r="M141" s="2"/>
      <c r="N141" s="2"/>
      <c r="O141" s="2"/>
      <c r="P141" s="2"/>
      <c r="Q141" s="2"/>
      <c r="W141" s="2"/>
      <c r="X141" s="2"/>
      <c r="Y141" s="2"/>
      <c r="AB141" s="2"/>
    </row>
    <row r="142" spans="13:28" x14ac:dyDescent="0.25">
      <c r="M142" s="2"/>
      <c r="N142" s="2"/>
      <c r="O142" s="2"/>
      <c r="P142" s="2"/>
      <c r="Q142" s="2"/>
      <c r="W142" s="2"/>
      <c r="X142" s="2"/>
      <c r="Y142" s="2"/>
      <c r="AB142" s="2"/>
    </row>
    <row r="143" spans="13:28" x14ac:dyDescent="0.25">
      <c r="M143" s="2"/>
      <c r="N143" s="2"/>
      <c r="O143" s="2"/>
      <c r="P143" s="2"/>
      <c r="Q143" s="2"/>
      <c r="W143" s="2"/>
      <c r="X143" s="2"/>
      <c r="Y143" s="2"/>
      <c r="AB143" s="2"/>
    </row>
    <row r="144" spans="13:28" x14ac:dyDescent="0.25">
      <c r="M144" s="2"/>
      <c r="N144" s="2"/>
      <c r="O144" s="2"/>
      <c r="P144" s="2"/>
      <c r="Q144" s="2"/>
      <c r="W144" s="2"/>
      <c r="X144" s="2"/>
      <c r="Y144" s="2"/>
      <c r="AB144" s="2"/>
    </row>
    <row r="1048576" spans="16:16" x14ac:dyDescent="0.25">
      <c r="P1048576" s="18"/>
    </row>
  </sheetData>
  <autoFilter ref="A2:AB35">
    <sortState ref="A4:AB45">
      <sortCondition ref="O2:O35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 tint="-9.9978637043366805E-2"/>
  </sheetPr>
  <dimension ref="A1:AB213"/>
  <sheetViews>
    <sheetView topLeftCell="K1" zoomScale="91" zoomScaleNormal="70" workbookViewId="0">
      <pane ySplit="2" topLeftCell="A3" activePane="bottomLeft" state="frozen"/>
      <selection pane="bottomLeft" activeCell="V23" sqref="V23"/>
    </sheetView>
  </sheetViews>
  <sheetFormatPr baseColWidth="10" defaultColWidth="11.42578125" defaultRowHeight="15" x14ac:dyDescent="0.25"/>
  <cols>
    <col min="1" max="1" width="12.28515625" customWidth="1"/>
    <col min="2" max="2" width="64.5703125" style="203" customWidth="1"/>
    <col min="3" max="3" width="10" hidden="1" customWidth="1"/>
    <col min="4" max="4" width="10.7109375" hidden="1" customWidth="1"/>
    <col min="5" max="6" width="10.7109375" style="2" hidden="1" customWidth="1"/>
    <col min="7" max="7" width="11.85546875" style="2" hidden="1" customWidth="1"/>
    <col min="8" max="8" width="12.7109375" hidden="1" customWidth="1"/>
    <col min="9" max="9" width="9.85546875" hidden="1" customWidth="1"/>
    <col min="10" max="10" width="14.28515625" hidden="1" customWidth="1"/>
    <col min="11" max="11" width="7.85546875" customWidth="1"/>
    <col min="12" max="12" width="11.42578125" hidden="1" customWidth="1"/>
    <col min="13" max="13" width="18.5703125" customWidth="1"/>
    <col min="14" max="14" width="8.85546875" customWidth="1"/>
    <col min="15" max="15" width="7.5703125" customWidth="1"/>
    <col min="16" max="16" width="8.28515625" customWidth="1"/>
    <col min="17" max="17" width="7.42578125" customWidth="1"/>
    <col min="18" max="19" width="14.7109375" customWidth="1"/>
    <col min="20" max="20" width="14.7109375" hidden="1" customWidth="1"/>
    <col min="21" max="21" width="13.140625" customWidth="1"/>
    <col min="22" max="22" width="12" customWidth="1"/>
    <col min="23" max="23" width="11.85546875" customWidth="1"/>
    <col min="24" max="24" width="13.28515625" customWidth="1"/>
    <col min="25" max="25" width="12.7109375" customWidth="1"/>
    <col min="26" max="26" width="22" customWidth="1"/>
    <col min="27" max="27" width="14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94" t="s">
        <v>80</v>
      </c>
      <c r="G1" s="763" t="s">
        <v>81</v>
      </c>
      <c r="H1" s="782" t="s">
        <v>82</v>
      </c>
      <c r="I1" s="795" t="s">
        <v>1522</v>
      </c>
      <c r="J1" s="763" t="s">
        <v>84</v>
      </c>
      <c r="K1" s="792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85" t="s">
        <v>886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83"/>
      <c r="I2" s="753"/>
      <c r="J2" s="753"/>
      <c r="K2" s="793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4" customFormat="1" ht="15.75" customHeight="1" x14ac:dyDescent="0.25">
      <c r="A3" s="55" t="s">
        <v>1523</v>
      </c>
      <c r="B3" s="92" t="s">
        <v>1524</v>
      </c>
      <c r="C3" s="55">
        <v>3000</v>
      </c>
      <c r="D3" s="55">
        <v>2500</v>
      </c>
      <c r="E3" s="55">
        <v>3000</v>
      </c>
      <c r="F3" s="55">
        <v>3500</v>
      </c>
      <c r="G3" s="92">
        <f>VLOOKUP(A3,'[1]yourspreadsheetname (1)'!$A$2:$C$968, 3, FALSE)</f>
        <v>2000</v>
      </c>
      <c r="H3" s="421">
        <v>30300</v>
      </c>
      <c r="I3" s="429">
        <v>0</v>
      </c>
      <c r="J3" s="502" t="s">
        <v>486</v>
      </c>
      <c r="K3" s="503">
        <v>756474</v>
      </c>
      <c r="L3" s="93"/>
      <c r="M3" s="55" t="s">
        <v>259</v>
      </c>
      <c r="N3" s="421" t="s">
        <v>1525</v>
      </c>
      <c r="O3" s="55">
        <v>1</v>
      </c>
      <c r="P3" s="18"/>
      <c r="Q3" s="275"/>
      <c r="R3" s="18">
        <v>25000</v>
      </c>
      <c r="S3" s="66">
        <v>4100</v>
      </c>
      <c r="T3" s="66"/>
      <c r="U3" s="66"/>
      <c r="V3" s="262"/>
      <c r="W3" s="66">
        <f t="shared" ref="W3:W34" si="0">U3+V3</f>
        <v>0</v>
      </c>
      <c r="X3" s="140">
        <v>164.53</v>
      </c>
      <c r="Y3" s="141">
        <v>285</v>
      </c>
      <c r="Z3" s="197">
        <f t="shared" ref="Z3:Z24" si="1">R3*X3</f>
        <v>4113250</v>
      </c>
      <c r="AA3" s="65">
        <f>W3*Y3</f>
        <v>0</v>
      </c>
      <c r="AB3" s="680"/>
    </row>
    <row r="4" spans="1:28" ht="15" customHeight="1" x14ac:dyDescent="0.25">
      <c r="A4" s="66" t="s">
        <v>1526</v>
      </c>
      <c r="B4" s="66" t="s">
        <v>1527</v>
      </c>
      <c r="C4" s="66">
        <v>1500</v>
      </c>
      <c r="D4" s="66">
        <v>690</v>
      </c>
      <c r="E4" s="66">
        <v>1200</v>
      </c>
      <c r="F4" s="18">
        <v>1500</v>
      </c>
      <c r="G4" s="54">
        <f>VLOOKUP(A4,'[1]yourspreadsheetname (1)'!$A$2:$C$968, 3, FALSE)</f>
        <v>2520</v>
      </c>
      <c r="H4" s="273">
        <v>7200</v>
      </c>
      <c r="I4" s="106">
        <v>0</v>
      </c>
      <c r="J4" s="494" t="s">
        <v>486</v>
      </c>
      <c r="K4" s="199">
        <v>756474</v>
      </c>
      <c r="L4" s="66"/>
      <c r="M4" s="66" t="s">
        <v>293</v>
      </c>
      <c r="N4" s="135" t="s">
        <v>1525</v>
      </c>
      <c r="O4" s="66">
        <v>2</v>
      </c>
      <c r="P4" s="66" t="s">
        <v>1528</v>
      </c>
      <c r="Q4" s="66"/>
      <c r="R4" s="18">
        <v>10000</v>
      </c>
      <c r="S4" s="66">
        <v>3600</v>
      </c>
      <c r="T4" s="66"/>
      <c r="U4" s="262">
        <v>3600</v>
      </c>
      <c r="V4" s="65"/>
      <c r="W4" s="66">
        <f t="shared" si="0"/>
        <v>3600</v>
      </c>
      <c r="X4" s="140">
        <v>631.91</v>
      </c>
      <c r="Y4" s="141">
        <v>590</v>
      </c>
      <c r="Z4" s="567">
        <f t="shared" si="1"/>
        <v>6319100</v>
      </c>
      <c r="AA4" s="65">
        <v>2124000</v>
      </c>
    </row>
    <row r="5" spans="1:28" s="4" customFormat="1" x14ac:dyDescent="0.25">
      <c r="A5" s="66" t="s">
        <v>1529</v>
      </c>
      <c r="B5" s="54" t="s">
        <v>1530</v>
      </c>
      <c r="C5" s="273" t="s">
        <v>1531</v>
      </c>
      <c r="D5" s="66">
        <v>6100</v>
      </c>
      <c r="E5" s="66">
        <v>8500</v>
      </c>
      <c r="F5" s="390">
        <v>10000</v>
      </c>
      <c r="G5" s="54">
        <f>VLOOKUP(A5,'[1]yourspreadsheetname (1)'!$A$2:$C$968, 3, FALSE)</f>
        <v>3000</v>
      </c>
      <c r="H5" s="273">
        <v>60000</v>
      </c>
      <c r="I5" s="574">
        <v>0</v>
      </c>
      <c r="J5" s="384" t="s">
        <v>122</v>
      </c>
      <c r="K5" s="199">
        <v>756474</v>
      </c>
      <c r="L5" s="64"/>
      <c r="M5" s="66" t="s">
        <v>1346</v>
      </c>
      <c r="N5" s="135" t="s">
        <v>1525</v>
      </c>
      <c r="O5" s="66">
        <v>3</v>
      </c>
      <c r="P5" s="68" t="s">
        <v>1532</v>
      </c>
      <c r="Q5" s="170"/>
      <c r="R5" s="18">
        <v>72000</v>
      </c>
      <c r="S5" s="18">
        <v>50000</v>
      </c>
      <c r="T5" s="18"/>
      <c r="U5" s="18">
        <v>50000</v>
      </c>
      <c r="V5" s="6"/>
      <c r="W5" s="18">
        <f t="shared" si="0"/>
        <v>50000</v>
      </c>
      <c r="X5" s="118">
        <v>24.89</v>
      </c>
      <c r="Y5" s="117">
        <v>24.3</v>
      </c>
      <c r="Z5" s="252">
        <f t="shared" si="1"/>
        <v>1792080</v>
      </c>
      <c r="AA5" s="8">
        <v>1215000</v>
      </c>
      <c r="AB5" s="680"/>
    </row>
    <row r="6" spans="1:28" s="4" customFormat="1" x14ac:dyDescent="0.25">
      <c r="A6" s="66" t="s">
        <v>1533</v>
      </c>
      <c r="B6" s="66" t="s">
        <v>1534</v>
      </c>
      <c r="C6" s="66">
        <v>2000</v>
      </c>
      <c r="D6" s="66">
        <v>1500</v>
      </c>
      <c r="E6" s="66">
        <v>2000</v>
      </c>
      <c r="F6" s="18">
        <v>2000</v>
      </c>
      <c r="G6" s="54">
        <f>VLOOKUP(A6,'[1]yourspreadsheetname (1)'!$A$2:$C$968, 3, FALSE)</f>
        <v>3500</v>
      </c>
      <c r="H6" s="273">
        <v>4000</v>
      </c>
      <c r="I6" s="396">
        <v>0</v>
      </c>
      <c r="J6" s="494" t="s">
        <v>486</v>
      </c>
      <c r="K6" s="199">
        <v>756474</v>
      </c>
      <c r="L6" s="64"/>
      <c r="M6" s="66" t="s">
        <v>259</v>
      </c>
      <c r="N6" s="135" t="s">
        <v>1525</v>
      </c>
      <c r="O6" s="66">
        <v>4</v>
      </c>
      <c r="P6" s="66" t="s">
        <v>1535</v>
      </c>
      <c r="Q6" s="66"/>
      <c r="R6" s="18">
        <v>15000</v>
      </c>
      <c r="S6" s="66">
        <v>6200</v>
      </c>
      <c r="T6" s="66"/>
      <c r="U6" s="66">
        <v>6200</v>
      </c>
      <c r="V6" s="66"/>
      <c r="W6" s="62">
        <f t="shared" si="0"/>
        <v>6200</v>
      </c>
      <c r="X6" s="140">
        <v>49.4</v>
      </c>
      <c r="Y6" s="141">
        <v>52.92</v>
      </c>
      <c r="Z6" s="185">
        <f t="shared" si="1"/>
        <v>741000</v>
      </c>
      <c r="AA6" s="65">
        <v>328104</v>
      </c>
      <c r="AB6" s="165"/>
    </row>
    <row r="7" spans="1:28" s="4" customFormat="1" x14ac:dyDescent="0.25">
      <c r="A7" s="55" t="s">
        <v>564</v>
      </c>
      <c r="B7" s="55" t="s">
        <v>565</v>
      </c>
      <c r="C7" s="55">
        <v>1000</v>
      </c>
      <c r="D7" s="55">
        <v>1000</v>
      </c>
      <c r="E7" s="55">
        <v>1300</v>
      </c>
      <c r="F7" s="501">
        <v>1500</v>
      </c>
      <c r="G7" s="92">
        <f>VLOOKUP(A7,'[1]yourspreadsheetname (1)'!$A$2:$C$968, 3, FALSE)</f>
        <v>0</v>
      </c>
      <c r="H7" s="421">
        <v>9000</v>
      </c>
      <c r="I7" s="594">
        <v>0</v>
      </c>
      <c r="J7" s="502" t="s">
        <v>486</v>
      </c>
      <c r="K7" s="503">
        <v>756474</v>
      </c>
      <c r="L7" s="93"/>
      <c r="M7" s="55" t="s">
        <v>263</v>
      </c>
      <c r="N7" s="421" t="s">
        <v>1525</v>
      </c>
      <c r="O7" s="55">
        <v>5</v>
      </c>
      <c r="P7" s="54"/>
      <c r="Q7" s="63"/>
      <c r="R7" s="18">
        <v>12000</v>
      </c>
      <c r="S7" s="66">
        <v>2025</v>
      </c>
      <c r="T7" s="66"/>
      <c r="U7" s="66"/>
      <c r="V7" s="66"/>
      <c r="W7" s="62">
        <f t="shared" si="0"/>
        <v>0</v>
      </c>
      <c r="X7" s="140">
        <v>440</v>
      </c>
      <c r="Y7" s="141">
        <v>498.15</v>
      </c>
      <c r="Z7" s="185">
        <f t="shared" si="1"/>
        <v>5280000</v>
      </c>
      <c r="AA7" s="65">
        <f>W7*Y7</f>
        <v>0</v>
      </c>
      <c r="AB7" s="103"/>
    </row>
    <row r="8" spans="1:28" s="4" customFormat="1" ht="15.75" customHeight="1" x14ac:dyDescent="0.25">
      <c r="A8" s="55" t="s">
        <v>566</v>
      </c>
      <c r="B8" s="55" t="s">
        <v>567</v>
      </c>
      <c r="C8" s="55"/>
      <c r="D8" s="55"/>
      <c r="E8" s="55">
        <v>800</v>
      </c>
      <c r="F8" s="55">
        <v>1000</v>
      </c>
      <c r="G8" s="92">
        <f>VLOOKUP(A8,'[1]yourspreadsheetname (1)'!$A$2:$C$968, 3, FALSE)</f>
        <v>3500</v>
      </c>
      <c r="H8" s="421">
        <v>9600</v>
      </c>
      <c r="I8" s="593"/>
      <c r="J8" s="502" t="s">
        <v>486</v>
      </c>
      <c r="K8" s="503">
        <v>756474</v>
      </c>
      <c r="L8" s="93"/>
      <c r="M8" s="55" t="s">
        <v>293</v>
      </c>
      <c r="N8" s="421" t="s">
        <v>1525</v>
      </c>
      <c r="O8" s="55">
        <v>6</v>
      </c>
      <c r="P8" s="54"/>
      <c r="Q8" s="63"/>
      <c r="R8" s="18">
        <v>5600</v>
      </c>
      <c r="S8" s="66">
        <v>1440</v>
      </c>
      <c r="T8" s="66"/>
      <c r="U8" s="66"/>
      <c r="V8" s="66"/>
      <c r="W8" s="62">
        <f t="shared" si="0"/>
        <v>0</v>
      </c>
      <c r="X8" s="140">
        <v>210</v>
      </c>
      <c r="Y8" s="141">
        <v>371</v>
      </c>
      <c r="Z8" s="185">
        <f t="shared" si="1"/>
        <v>1176000</v>
      </c>
      <c r="AA8" s="65">
        <f>W8*Y8</f>
        <v>0</v>
      </c>
      <c r="AB8" s="103"/>
    </row>
    <row r="9" spans="1:28" s="4" customFormat="1" ht="15.75" customHeight="1" x14ac:dyDescent="0.25">
      <c r="A9" s="105" t="s">
        <v>1536</v>
      </c>
      <c r="B9" s="54" t="s">
        <v>1537</v>
      </c>
      <c r="C9" s="66"/>
      <c r="D9" s="66"/>
      <c r="E9" s="66">
        <v>200</v>
      </c>
      <c r="F9" s="18">
        <v>3000</v>
      </c>
      <c r="G9" s="54">
        <f>VLOOKUP(A9,'[1]yourspreadsheetname (1)'!$A$2:$C$968, 3, FALSE)</f>
        <v>0</v>
      </c>
      <c r="H9" s="273">
        <v>0</v>
      </c>
      <c r="I9" s="403"/>
      <c r="J9" s="494" t="s">
        <v>486</v>
      </c>
      <c r="K9" s="199">
        <v>756474</v>
      </c>
      <c r="L9" s="170"/>
      <c r="M9" s="63" t="s">
        <v>263</v>
      </c>
      <c r="N9" s="135" t="s">
        <v>1525</v>
      </c>
      <c r="O9" s="18">
        <v>7</v>
      </c>
      <c r="P9" s="66" t="s">
        <v>1538</v>
      </c>
      <c r="Q9" s="63"/>
      <c r="R9" s="18">
        <v>22000</v>
      </c>
      <c r="S9" s="66">
        <v>6500</v>
      </c>
      <c r="T9" s="66"/>
      <c r="U9" s="66">
        <v>6500</v>
      </c>
      <c r="V9" s="66"/>
      <c r="W9" s="62">
        <f t="shared" si="0"/>
        <v>6500</v>
      </c>
      <c r="X9" s="140">
        <v>49</v>
      </c>
      <c r="Y9" s="141">
        <v>48.96</v>
      </c>
      <c r="Z9" s="197">
        <f t="shared" si="1"/>
        <v>1078000</v>
      </c>
      <c r="AA9" s="65">
        <v>318240</v>
      </c>
      <c r="AB9" s="680"/>
    </row>
    <row r="10" spans="1:28" s="4" customFormat="1" x14ac:dyDescent="0.25">
      <c r="A10" s="273" t="s">
        <v>1539</v>
      </c>
      <c r="B10" s="273" t="s">
        <v>1540</v>
      </c>
      <c r="C10" s="64" t="s">
        <v>1541</v>
      </c>
      <c r="D10" s="170">
        <v>1400</v>
      </c>
      <c r="E10" s="173">
        <v>2500</v>
      </c>
      <c r="F10" s="391">
        <v>2500</v>
      </c>
      <c r="G10" s="54">
        <f>VLOOKUP(A10,'[1]yourspreadsheetname (1)'!$A$2:$C$968, 3, FALSE)</f>
        <v>270</v>
      </c>
      <c r="H10" s="273">
        <v>27750</v>
      </c>
      <c r="I10" s="399"/>
      <c r="J10" s="494" t="s">
        <v>486</v>
      </c>
      <c r="K10" s="199">
        <v>756474</v>
      </c>
      <c r="L10" s="64"/>
      <c r="M10" s="66" t="s">
        <v>293</v>
      </c>
      <c r="N10" s="135" t="s">
        <v>1525</v>
      </c>
      <c r="O10" s="18">
        <v>8</v>
      </c>
      <c r="P10" s="66" t="s">
        <v>1528</v>
      </c>
      <c r="Q10" s="66"/>
      <c r="R10" s="18">
        <v>18000</v>
      </c>
      <c r="S10" s="66">
        <v>5100</v>
      </c>
      <c r="T10" s="66"/>
      <c r="U10" s="66">
        <v>5100</v>
      </c>
      <c r="V10" s="66"/>
      <c r="W10" s="62">
        <f t="shared" si="0"/>
        <v>5100</v>
      </c>
      <c r="X10" s="140">
        <v>132.5</v>
      </c>
      <c r="Y10" s="141">
        <v>128</v>
      </c>
      <c r="Z10" s="185">
        <f t="shared" si="1"/>
        <v>2385000</v>
      </c>
      <c r="AA10" s="65">
        <v>652800</v>
      </c>
      <c r="AB10" s="680"/>
    </row>
    <row r="11" spans="1:28" s="4" customFormat="1" ht="15" customHeight="1" x14ac:dyDescent="0.25">
      <c r="A11" s="66" t="s">
        <v>1542</v>
      </c>
      <c r="B11" s="66" t="s">
        <v>1543</v>
      </c>
      <c r="C11" s="54">
        <v>6240</v>
      </c>
      <c r="D11" s="170">
        <v>5300</v>
      </c>
      <c r="E11" s="173">
        <v>9000</v>
      </c>
      <c r="F11" s="392">
        <v>9000</v>
      </c>
      <c r="G11" s="54">
        <v>0</v>
      </c>
      <c r="H11" s="273">
        <v>30000</v>
      </c>
      <c r="I11" s="400"/>
      <c r="J11" s="494" t="s">
        <v>486</v>
      </c>
      <c r="K11" s="199">
        <v>756474</v>
      </c>
      <c r="L11" s="66"/>
      <c r="M11" s="63" t="s">
        <v>293</v>
      </c>
      <c r="N11" s="135" t="s">
        <v>1525</v>
      </c>
      <c r="O11" s="18">
        <v>9</v>
      </c>
      <c r="P11" s="66" t="s">
        <v>1528</v>
      </c>
      <c r="Q11" s="66"/>
      <c r="R11" s="18">
        <v>68000</v>
      </c>
      <c r="S11" s="66">
        <v>21500</v>
      </c>
      <c r="T11" s="66"/>
      <c r="U11" s="66">
        <v>21500</v>
      </c>
      <c r="V11" s="66"/>
      <c r="W11" s="62">
        <f t="shared" si="0"/>
        <v>21500</v>
      </c>
      <c r="X11" s="140">
        <v>436.8</v>
      </c>
      <c r="Y11" s="141">
        <v>385</v>
      </c>
      <c r="Z11" s="185">
        <f t="shared" si="1"/>
        <v>29702400</v>
      </c>
      <c r="AA11" s="65">
        <v>8277500</v>
      </c>
      <c r="AB11" s="680"/>
    </row>
    <row r="12" spans="1:28" s="4" customFormat="1" x14ac:dyDescent="0.25">
      <c r="A12" s="66" t="s">
        <v>1544</v>
      </c>
      <c r="B12" s="66" t="s">
        <v>1545</v>
      </c>
      <c r="C12" s="66">
        <v>3000</v>
      </c>
      <c r="D12" s="171">
        <v>2500</v>
      </c>
      <c r="E12" s="171">
        <v>3000</v>
      </c>
      <c r="F12" s="393">
        <v>3000</v>
      </c>
      <c r="G12" s="54">
        <f>VLOOKUP(A12,'[1]yourspreadsheetname (1)'!$A$2:$C$968, 3, FALSE)</f>
        <v>17400</v>
      </c>
      <c r="H12" s="273">
        <v>21000</v>
      </c>
      <c r="I12" s="401"/>
      <c r="J12" s="384" t="s">
        <v>122</v>
      </c>
      <c r="K12" s="199">
        <v>756474</v>
      </c>
      <c r="L12" s="64"/>
      <c r="M12" s="66" t="s">
        <v>263</v>
      </c>
      <c r="N12" s="135" t="s">
        <v>1525</v>
      </c>
      <c r="O12" s="18">
        <v>10</v>
      </c>
      <c r="P12" s="66" t="s">
        <v>1538</v>
      </c>
      <c r="Q12" s="66" t="s">
        <v>2014</v>
      </c>
      <c r="R12" s="18">
        <v>14000</v>
      </c>
      <c r="S12" s="66">
        <v>14000</v>
      </c>
      <c r="T12" s="66"/>
      <c r="U12" s="66">
        <v>14000</v>
      </c>
      <c r="V12" s="66">
        <v>2800</v>
      </c>
      <c r="W12" s="62">
        <f t="shared" si="0"/>
        <v>16800</v>
      </c>
      <c r="X12" s="140">
        <v>334.5</v>
      </c>
      <c r="Y12" s="141">
        <v>514.65</v>
      </c>
      <c r="Z12" s="185">
        <f t="shared" si="1"/>
        <v>4683000</v>
      </c>
      <c r="AA12" s="65">
        <v>7205100</v>
      </c>
      <c r="AB12" s="679"/>
    </row>
    <row r="13" spans="1:28" s="4" customFormat="1" ht="15.75" customHeight="1" x14ac:dyDescent="0.25">
      <c r="A13" s="565" t="s">
        <v>201</v>
      </c>
      <c r="B13" s="134" t="s">
        <v>1546</v>
      </c>
      <c r="C13" s="66">
        <v>300</v>
      </c>
      <c r="D13" s="66">
        <v>500</v>
      </c>
      <c r="E13" s="66">
        <v>600</v>
      </c>
      <c r="F13" s="18">
        <v>1000</v>
      </c>
      <c r="G13" s="54" t="e">
        <f>VLOOKUP(A13,'[1]yourspreadsheetname (1)'!$A$2:$C$968, 3, FALSE)</f>
        <v>#N/A</v>
      </c>
      <c r="H13" s="273">
        <v>7860</v>
      </c>
      <c r="I13" s="401"/>
      <c r="J13" s="494" t="s">
        <v>486</v>
      </c>
      <c r="K13" s="199">
        <v>756474</v>
      </c>
      <c r="L13" s="64"/>
      <c r="M13" s="66" t="s">
        <v>293</v>
      </c>
      <c r="N13" s="135" t="s">
        <v>1525</v>
      </c>
      <c r="O13" s="18">
        <v>11</v>
      </c>
      <c r="P13" s="66" t="s">
        <v>1528</v>
      </c>
      <c r="Q13" s="66"/>
      <c r="R13" s="18">
        <v>7500</v>
      </c>
      <c r="S13" s="66">
        <v>1400</v>
      </c>
      <c r="T13" s="66"/>
      <c r="U13" s="66">
        <v>1400</v>
      </c>
      <c r="V13" s="66"/>
      <c r="W13" s="62">
        <f t="shared" si="0"/>
        <v>1400</v>
      </c>
      <c r="X13" s="140">
        <v>137</v>
      </c>
      <c r="Y13" s="141">
        <v>121</v>
      </c>
      <c r="Z13" s="185">
        <f t="shared" si="1"/>
        <v>1027500</v>
      </c>
      <c r="AA13" s="65">
        <v>169400</v>
      </c>
      <c r="AB13" s="37"/>
    </row>
    <row r="14" spans="1:28" s="4" customFormat="1" ht="15" customHeight="1" x14ac:dyDescent="0.25">
      <c r="A14" s="66" t="s">
        <v>1547</v>
      </c>
      <c r="B14" s="66" t="s">
        <v>1548</v>
      </c>
      <c r="C14" s="68">
        <v>2600</v>
      </c>
      <c r="D14" s="66">
        <v>2400</v>
      </c>
      <c r="E14" s="66">
        <v>2500</v>
      </c>
      <c r="F14" s="390">
        <v>2700</v>
      </c>
      <c r="G14" s="54">
        <f>VLOOKUP(A14,'[1]yourspreadsheetname (1)'!$A$2:$C$968, 3, FALSE)</f>
        <v>0</v>
      </c>
      <c r="H14" s="273">
        <v>20800</v>
      </c>
      <c r="I14" s="399"/>
      <c r="J14" s="494" t="s">
        <v>486</v>
      </c>
      <c r="K14" s="199">
        <v>756474</v>
      </c>
      <c r="L14" s="64"/>
      <c r="M14" s="66" t="s">
        <v>1346</v>
      </c>
      <c r="N14" s="135" t="s">
        <v>1525</v>
      </c>
      <c r="O14" s="18">
        <v>12</v>
      </c>
      <c r="P14" s="66" t="s">
        <v>1532</v>
      </c>
      <c r="Q14" s="63"/>
      <c r="R14" s="18">
        <v>20000</v>
      </c>
      <c r="S14" s="66">
        <v>12000</v>
      </c>
      <c r="T14" s="66"/>
      <c r="U14" s="66">
        <v>12000</v>
      </c>
      <c r="V14" s="66"/>
      <c r="W14" s="62">
        <f t="shared" si="0"/>
        <v>12000</v>
      </c>
      <c r="X14" s="140">
        <v>494</v>
      </c>
      <c r="Y14" s="141">
        <v>477.9</v>
      </c>
      <c r="Z14" s="185">
        <f t="shared" si="1"/>
        <v>9880000</v>
      </c>
      <c r="AA14" s="65">
        <v>5734800</v>
      </c>
      <c r="AB14" s="22"/>
    </row>
    <row r="15" spans="1:28" s="4" customFormat="1" x14ac:dyDescent="0.25">
      <c r="A15" s="55" t="s">
        <v>568</v>
      </c>
      <c r="B15" s="243" t="s">
        <v>569</v>
      </c>
      <c r="C15" s="55"/>
      <c r="D15" s="543"/>
      <c r="E15" s="482">
        <v>2400</v>
      </c>
      <c r="F15" s="482">
        <v>2400</v>
      </c>
      <c r="G15" s="92">
        <f>VLOOKUP(A15,'[1]yourspreadsheetname (1)'!$A$2:$C$968, 3, FALSE)</f>
        <v>0</v>
      </c>
      <c r="H15" s="421">
        <v>14000</v>
      </c>
      <c r="I15" s="600"/>
      <c r="J15" s="502" t="s">
        <v>486</v>
      </c>
      <c r="K15" s="503">
        <v>756474</v>
      </c>
      <c r="L15" s="55"/>
      <c r="M15" s="482" t="s">
        <v>263</v>
      </c>
      <c r="N15" s="421" t="s">
        <v>1525</v>
      </c>
      <c r="O15" s="55">
        <v>13</v>
      </c>
      <c r="P15" s="84"/>
      <c r="Q15" s="68"/>
      <c r="R15" s="18">
        <v>18000</v>
      </c>
      <c r="S15" s="186">
        <v>9000</v>
      </c>
      <c r="T15" s="186"/>
      <c r="U15" s="84"/>
      <c r="V15" s="84"/>
      <c r="W15" s="62">
        <f t="shared" si="0"/>
        <v>0</v>
      </c>
      <c r="X15" s="140">
        <v>336.95</v>
      </c>
      <c r="Y15" s="141">
        <v>438</v>
      </c>
      <c r="Z15" s="185">
        <f t="shared" si="1"/>
        <v>6065100</v>
      </c>
      <c r="AA15" s="65">
        <f>W15*Y15</f>
        <v>0</v>
      </c>
      <c r="AB15" s="680"/>
    </row>
    <row r="16" spans="1:28" s="4" customFormat="1" ht="15" customHeight="1" x14ac:dyDescent="0.25">
      <c r="A16" s="66" t="s">
        <v>1512</v>
      </c>
      <c r="B16" s="66" t="s">
        <v>1549</v>
      </c>
      <c r="C16" s="66">
        <v>155</v>
      </c>
      <c r="D16" s="66">
        <v>150</v>
      </c>
      <c r="E16" s="66">
        <v>150</v>
      </c>
      <c r="F16" s="390">
        <v>150</v>
      </c>
      <c r="G16" s="54">
        <f>VLOOKUP(A16,'[1]yourspreadsheetname (1)'!$A$2:$C$968, 3, FALSE)</f>
        <v>90</v>
      </c>
      <c r="H16" s="273">
        <v>740</v>
      </c>
      <c r="I16" s="399"/>
      <c r="J16" s="494" t="s">
        <v>486</v>
      </c>
      <c r="K16" s="199">
        <v>756474</v>
      </c>
      <c r="L16" s="64"/>
      <c r="M16" s="66" t="s">
        <v>1346</v>
      </c>
      <c r="N16" s="135" t="s">
        <v>1525</v>
      </c>
      <c r="O16" s="18">
        <v>14</v>
      </c>
      <c r="P16" s="66" t="s">
        <v>1532</v>
      </c>
      <c r="Q16" s="66"/>
      <c r="R16" s="18">
        <v>1000</v>
      </c>
      <c r="S16" s="186">
        <v>900</v>
      </c>
      <c r="T16" s="186"/>
      <c r="U16" s="66">
        <v>900</v>
      </c>
      <c r="V16" s="66"/>
      <c r="W16" s="62">
        <f t="shared" si="0"/>
        <v>900</v>
      </c>
      <c r="X16" s="140">
        <v>12200</v>
      </c>
      <c r="Y16" s="141">
        <v>9756</v>
      </c>
      <c r="Z16" s="185">
        <f t="shared" si="1"/>
        <v>12200000</v>
      </c>
      <c r="AA16" s="65">
        <v>8780400</v>
      </c>
      <c r="AB16" s="103"/>
    </row>
    <row r="17" spans="1:28" s="4" customFormat="1" x14ac:dyDescent="0.25">
      <c r="A17" s="66" t="s">
        <v>1934</v>
      </c>
      <c r="B17" s="66" t="s">
        <v>1550</v>
      </c>
      <c r="C17" s="68">
        <v>1150</v>
      </c>
      <c r="D17" s="66">
        <v>2000</v>
      </c>
      <c r="E17" s="66">
        <v>2200</v>
      </c>
      <c r="F17" s="390">
        <v>2500</v>
      </c>
      <c r="G17" s="54" t="e">
        <f>VLOOKUP(A17,'[1]yourspreadsheetname (1)'!$A$2:$C$968, 3, FALSE)</f>
        <v>#N/A</v>
      </c>
      <c r="H17" s="273">
        <v>23820</v>
      </c>
      <c r="I17" s="399">
        <v>1000</v>
      </c>
      <c r="J17" s="494" t="s">
        <v>486</v>
      </c>
      <c r="K17" s="199">
        <v>756474</v>
      </c>
      <c r="L17" s="64"/>
      <c r="M17" s="66" t="s">
        <v>263</v>
      </c>
      <c r="N17" s="135" t="s">
        <v>1525</v>
      </c>
      <c r="O17" s="18">
        <v>15</v>
      </c>
      <c r="P17" s="66" t="s">
        <v>1538</v>
      </c>
      <c r="Q17" s="66"/>
      <c r="R17" s="18">
        <v>16000</v>
      </c>
      <c r="S17" s="66">
        <v>4445</v>
      </c>
      <c r="T17" s="66"/>
      <c r="U17" s="66">
        <v>4445</v>
      </c>
      <c r="V17" s="66"/>
      <c r="W17" s="62">
        <f t="shared" si="0"/>
        <v>4445</v>
      </c>
      <c r="X17" s="140">
        <v>178</v>
      </c>
      <c r="Y17" s="141">
        <v>137.93</v>
      </c>
      <c r="Z17" s="185">
        <f t="shared" si="1"/>
        <v>2848000</v>
      </c>
      <c r="AA17" s="65">
        <v>613098.85</v>
      </c>
      <c r="AB17" s="103"/>
    </row>
    <row r="18" spans="1:28" s="4" customFormat="1" ht="15.75" customHeight="1" x14ac:dyDescent="0.25">
      <c r="A18" s="66" t="s">
        <v>184</v>
      </c>
      <c r="B18" s="66" t="s">
        <v>1551</v>
      </c>
      <c r="C18" s="66">
        <v>800</v>
      </c>
      <c r="D18" s="66">
        <v>1600</v>
      </c>
      <c r="E18" s="66">
        <v>2100</v>
      </c>
      <c r="F18" s="18">
        <v>1700</v>
      </c>
      <c r="G18" s="54">
        <f>VLOOKUP(A18,'[1]yourspreadsheetname (1)'!$A$2:$C$968, 3, FALSE)</f>
        <v>4300</v>
      </c>
      <c r="H18" s="273">
        <v>8000</v>
      </c>
      <c r="I18" s="396">
        <v>0</v>
      </c>
      <c r="J18" s="494" t="s">
        <v>486</v>
      </c>
      <c r="K18" s="199">
        <v>756474</v>
      </c>
      <c r="L18" s="170"/>
      <c r="M18" s="63" t="s">
        <v>688</v>
      </c>
      <c r="N18" s="135" t="s">
        <v>1525</v>
      </c>
      <c r="O18" s="18">
        <v>16</v>
      </c>
      <c r="P18" s="54" t="s">
        <v>1552</v>
      </c>
      <c r="Q18" s="66"/>
      <c r="R18" s="18">
        <v>10600</v>
      </c>
      <c r="S18" s="66">
        <v>4000</v>
      </c>
      <c r="T18" s="66"/>
      <c r="U18" s="66">
        <v>4000</v>
      </c>
      <c r="V18" s="66"/>
      <c r="W18" s="62">
        <f t="shared" si="0"/>
        <v>4000</v>
      </c>
      <c r="X18" s="140">
        <v>167.53</v>
      </c>
      <c r="Y18" s="141">
        <v>158</v>
      </c>
      <c r="Z18" s="185">
        <f t="shared" si="1"/>
        <v>1775818</v>
      </c>
      <c r="AA18" s="65">
        <v>632000</v>
      </c>
      <c r="AB18" s="103"/>
    </row>
    <row r="19" spans="1:28" s="4" customFormat="1" ht="15.75" customHeight="1" x14ac:dyDescent="0.25">
      <c r="A19" s="55" t="s">
        <v>570</v>
      </c>
      <c r="B19" s="55" t="s">
        <v>571</v>
      </c>
      <c r="C19" s="55"/>
      <c r="D19" s="250">
        <v>4300</v>
      </c>
      <c r="E19" s="250">
        <v>5500</v>
      </c>
      <c r="F19" s="250">
        <v>5300</v>
      </c>
      <c r="G19" s="92">
        <f>VLOOKUP(A19,'[1]yourspreadsheetname (1)'!$A$2:$C$968, 3, FALSE)</f>
        <v>9000</v>
      </c>
      <c r="H19" s="421">
        <v>46320</v>
      </c>
      <c r="I19" s="503"/>
      <c r="J19" s="502" t="s">
        <v>486</v>
      </c>
      <c r="K19" s="503">
        <v>756474</v>
      </c>
      <c r="L19" s="93"/>
      <c r="M19" s="55" t="s">
        <v>263</v>
      </c>
      <c r="N19" s="421" t="s">
        <v>1525</v>
      </c>
      <c r="O19" s="55">
        <v>17</v>
      </c>
      <c r="P19" s="66"/>
      <c r="Q19" s="66"/>
      <c r="R19" s="18">
        <v>35000</v>
      </c>
      <c r="S19" s="66">
        <v>11030</v>
      </c>
      <c r="T19" s="66"/>
      <c r="U19" s="66"/>
      <c r="V19" s="291"/>
      <c r="W19" s="62">
        <f t="shared" si="0"/>
        <v>0</v>
      </c>
      <c r="X19" s="140">
        <v>132.5</v>
      </c>
      <c r="Y19" s="141">
        <v>118.18</v>
      </c>
      <c r="Z19" s="185">
        <f t="shared" si="1"/>
        <v>4637500</v>
      </c>
      <c r="AA19" s="65">
        <f>W19*Y19</f>
        <v>0</v>
      </c>
      <c r="AB19" s="103"/>
    </row>
    <row r="20" spans="1:28" s="4" customFormat="1" ht="15" customHeight="1" x14ac:dyDescent="0.25">
      <c r="A20" s="66" t="s">
        <v>1553</v>
      </c>
      <c r="B20" s="66" t="s">
        <v>1554</v>
      </c>
      <c r="C20" s="54">
        <v>1400</v>
      </c>
      <c r="D20" s="173">
        <v>625</v>
      </c>
      <c r="E20" s="173">
        <v>800</v>
      </c>
      <c r="F20" s="76">
        <v>850</v>
      </c>
      <c r="G20" s="54">
        <f>VLOOKUP(A20,'[1]yourspreadsheetname (1)'!$A$2:$C$968, 3, FALSE)</f>
        <v>2576</v>
      </c>
      <c r="H20" s="273">
        <v>5600</v>
      </c>
      <c r="I20" s="401">
        <v>0</v>
      </c>
      <c r="J20" s="494" t="s">
        <v>486</v>
      </c>
      <c r="K20" s="199">
        <v>756474</v>
      </c>
      <c r="L20" s="64"/>
      <c r="M20" s="66" t="s">
        <v>263</v>
      </c>
      <c r="N20" s="135" t="s">
        <v>1525</v>
      </c>
      <c r="O20" s="18">
        <v>18</v>
      </c>
      <c r="P20" s="66" t="s">
        <v>1538</v>
      </c>
      <c r="Q20" s="66"/>
      <c r="R20" s="18">
        <v>5000</v>
      </c>
      <c r="S20" s="66">
        <v>2500</v>
      </c>
      <c r="T20" s="66"/>
      <c r="U20" s="66">
        <v>2500</v>
      </c>
      <c r="V20" s="66"/>
      <c r="W20" s="62">
        <f t="shared" si="0"/>
        <v>2500</v>
      </c>
      <c r="X20" s="140">
        <v>438</v>
      </c>
      <c r="Y20" s="141">
        <v>444.78</v>
      </c>
      <c r="Z20" s="185">
        <f t="shared" si="1"/>
        <v>2190000</v>
      </c>
      <c r="AA20" s="65">
        <v>1111950</v>
      </c>
      <c r="AB20" s="103"/>
    </row>
    <row r="21" spans="1:28" s="4" customFormat="1" x14ac:dyDescent="0.25">
      <c r="A21" s="66" t="s">
        <v>1555</v>
      </c>
      <c r="B21" s="66" t="s">
        <v>1556</v>
      </c>
      <c r="C21" s="81">
        <v>1920</v>
      </c>
      <c r="D21" s="173">
        <v>2100</v>
      </c>
      <c r="E21" s="173">
        <v>2500</v>
      </c>
      <c r="F21" s="76">
        <v>3000</v>
      </c>
      <c r="G21" s="54" t="e">
        <f>VLOOKUP(A21,'[1]yourspreadsheetname (1)'!$A$2:$C$968, 3, FALSE)</f>
        <v>#N/A</v>
      </c>
      <c r="H21" s="273">
        <v>9000</v>
      </c>
      <c r="I21" s="398"/>
      <c r="J21" s="494" t="s">
        <v>486</v>
      </c>
      <c r="K21" s="199">
        <v>756474</v>
      </c>
      <c r="L21" s="64"/>
      <c r="M21" s="66" t="s">
        <v>259</v>
      </c>
      <c r="N21" s="135" t="s">
        <v>1525</v>
      </c>
      <c r="O21" s="18">
        <v>19</v>
      </c>
      <c r="P21" s="66" t="s">
        <v>1535</v>
      </c>
      <c r="Q21" s="66"/>
      <c r="R21" s="18">
        <v>18000</v>
      </c>
      <c r="S21" s="66">
        <v>3000</v>
      </c>
      <c r="T21" s="66"/>
      <c r="U21" s="66">
        <v>3000</v>
      </c>
      <c r="V21" s="66"/>
      <c r="W21" s="62">
        <f t="shared" si="0"/>
        <v>3000</v>
      </c>
      <c r="X21" s="140">
        <v>225</v>
      </c>
      <c r="Y21" s="141">
        <v>168</v>
      </c>
      <c r="Z21" s="185">
        <f t="shared" si="1"/>
        <v>4050000</v>
      </c>
      <c r="AA21" s="65">
        <v>504000</v>
      </c>
      <c r="AB21" s="103"/>
    </row>
    <row r="22" spans="1:28" s="4" customFormat="1" ht="15.75" customHeight="1" x14ac:dyDescent="0.25">
      <c r="A22" s="66" t="s">
        <v>1557</v>
      </c>
      <c r="B22" s="66" t="s">
        <v>1558</v>
      </c>
      <c r="C22" s="66">
        <v>1600</v>
      </c>
      <c r="D22" s="66">
        <v>1600</v>
      </c>
      <c r="E22" s="66">
        <v>1800</v>
      </c>
      <c r="F22" s="18">
        <v>2000</v>
      </c>
      <c r="G22" s="54">
        <f>VLOOKUP(A22,'[1]yourspreadsheetname (1)'!$A$2:$C$968, 3, FALSE)</f>
        <v>4450</v>
      </c>
      <c r="H22" s="273">
        <v>17850</v>
      </c>
      <c r="I22" s="403"/>
      <c r="J22" s="494" t="s">
        <v>486</v>
      </c>
      <c r="K22" s="199">
        <v>756474</v>
      </c>
      <c r="L22" s="64"/>
      <c r="M22" s="66" t="s">
        <v>688</v>
      </c>
      <c r="N22" s="135" t="s">
        <v>1525</v>
      </c>
      <c r="O22" s="18">
        <v>20</v>
      </c>
      <c r="P22" s="66" t="s">
        <v>1552</v>
      </c>
      <c r="Q22" s="66"/>
      <c r="R22" s="18">
        <v>14000</v>
      </c>
      <c r="S22" s="66">
        <v>1465</v>
      </c>
      <c r="T22" s="66"/>
      <c r="U22" s="66">
        <v>1465</v>
      </c>
      <c r="V22" s="66"/>
      <c r="W22" s="62">
        <f t="shared" si="0"/>
        <v>1465</v>
      </c>
      <c r="X22" s="140">
        <v>192.5</v>
      </c>
      <c r="Y22" s="141">
        <v>218</v>
      </c>
      <c r="Z22" s="185">
        <f t="shared" si="1"/>
        <v>2695000</v>
      </c>
      <c r="AA22" s="65">
        <v>319370</v>
      </c>
      <c r="AB22" s="680"/>
    </row>
    <row r="23" spans="1:28" s="4" customFormat="1" ht="15.75" customHeight="1" x14ac:dyDescent="0.25">
      <c r="A23" s="12" t="s">
        <v>186</v>
      </c>
      <c r="B23" s="12" t="s">
        <v>1559</v>
      </c>
      <c r="C23" s="18">
        <v>5846</v>
      </c>
      <c r="D23" s="18">
        <v>6000</v>
      </c>
      <c r="E23" s="18">
        <v>6500</v>
      </c>
      <c r="F23" s="18">
        <v>6700</v>
      </c>
      <c r="G23" s="12" t="e">
        <f>VLOOKUP(A23,'[1]yourspreadsheetname (1)'!$A$2:$C$968, 3, FALSE)</f>
        <v>#N/A</v>
      </c>
      <c r="H23" s="135">
        <v>26000</v>
      </c>
      <c r="I23" s="398"/>
      <c r="J23" s="562" t="s">
        <v>122</v>
      </c>
      <c r="K23" s="398">
        <v>756474</v>
      </c>
      <c r="L23" s="13"/>
      <c r="M23" s="18" t="s">
        <v>293</v>
      </c>
      <c r="N23" s="135" t="s">
        <v>1525</v>
      </c>
      <c r="O23" s="18">
        <v>21</v>
      </c>
      <c r="P23" s="66" t="s">
        <v>1528</v>
      </c>
      <c r="Q23" s="66" t="s">
        <v>2015</v>
      </c>
      <c r="R23" s="18">
        <v>42000</v>
      </c>
      <c r="S23" s="66">
        <v>9300</v>
      </c>
      <c r="T23" s="66"/>
      <c r="U23" s="66">
        <v>9300</v>
      </c>
      <c r="V23" s="66">
        <v>1860</v>
      </c>
      <c r="W23" s="62">
        <f t="shared" si="0"/>
        <v>11160</v>
      </c>
      <c r="X23" s="140">
        <v>36</v>
      </c>
      <c r="Y23" s="141">
        <v>33.200000000000003</v>
      </c>
      <c r="Z23" s="185">
        <f t="shared" si="1"/>
        <v>1512000</v>
      </c>
      <c r="AA23" s="65">
        <v>308760</v>
      </c>
      <c r="AB23" s="22"/>
    </row>
    <row r="24" spans="1:28" s="4" customFormat="1" ht="15.75" customHeight="1" x14ac:dyDescent="0.25">
      <c r="A24" s="18" t="s">
        <v>1560</v>
      </c>
      <c r="B24" s="18" t="s">
        <v>1561</v>
      </c>
      <c r="C24" s="18">
        <v>14400</v>
      </c>
      <c r="D24" s="18">
        <v>13500</v>
      </c>
      <c r="E24" s="18">
        <v>22000</v>
      </c>
      <c r="F24" s="18">
        <v>22000</v>
      </c>
      <c r="G24" s="12">
        <f>VLOOKUP(A24,'[1]yourspreadsheetname (1)'!$A$2:$C$968, 3, FALSE)</f>
        <v>8340</v>
      </c>
      <c r="H24" s="135">
        <v>205250</v>
      </c>
      <c r="I24" s="401"/>
      <c r="J24" s="562" t="s">
        <v>486</v>
      </c>
      <c r="K24" s="398">
        <v>756474</v>
      </c>
      <c r="L24" s="13"/>
      <c r="M24" s="18" t="s">
        <v>293</v>
      </c>
      <c r="N24" s="135" t="s">
        <v>1525</v>
      </c>
      <c r="O24" s="18">
        <v>22</v>
      </c>
      <c r="P24" s="66" t="s">
        <v>1528</v>
      </c>
      <c r="Q24" s="63"/>
      <c r="R24" s="18">
        <v>160000</v>
      </c>
      <c r="S24" s="66">
        <v>4100</v>
      </c>
      <c r="T24" s="66"/>
      <c r="U24" s="66">
        <v>4100</v>
      </c>
      <c r="V24" s="66"/>
      <c r="W24" s="62">
        <f t="shared" si="0"/>
        <v>4100</v>
      </c>
      <c r="X24" s="140">
        <v>52.85</v>
      </c>
      <c r="Y24" s="141">
        <v>34.9</v>
      </c>
      <c r="Z24" s="185">
        <f t="shared" si="1"/>
        <v>8456000</v>
      </c>
      <c r="AA24" s="65">
        <v>143090</v>
      </c>
      <c r="AB24" s="37"/>
    </row>
    <row r="25" spans="1:28" s="4" customFormat="1" x14ac:dyDescent="0.25">
      <c r="A25" s="54" t="s">
        <v>1562</v>
      </c>
      <c r="B25" s="66" t="s">
        <v>1563</v>
      </c>
      <c r="C25" s="66"/>
      <c r="D25" s="66">
        <v>1000</v>
      </c>
      <c r="E25" s="66">
        <v>1500</v>
      </c>
      <c r="F25" s="18">
        <v>1500</v>
      </c>
      <c r="G25" s="54">
        <f>VLOOKUP(A25,'[1]yourspreadsheetname (1)'!$A$2:$C$968, 3, FALSE)</f>
        <v>0</v>
      </c>
      <c r="H25" s="273">
        <v>8500</v>
      </c>
      <c r="I25" s="398"/>
      <c r="J25" s="494" t="s">
        <v>486</v>
      </c>
      <c r="K25" s="199">
        <v>756474</v>
      </c>
      <c r="L25" s="64"/>
      <c r="M25" s="66" t="s">
        <v>259</v>
      </c>
      <c r="N25" s="135" t="s">
        <v>1525</v>
      </c>
      <c r="O25" s="18">
        <v>23</v>
      </c>
      <c r="P25" s="66" t="s">
        <v>1535</v>
      </c>
      <c r="Q25" s="66"/>
      <c r="R25" s="18">
        <v>12000</v>
      </c>
      <c r="S25" s="66">
        <v>3500</v>
      </c>
      <c r="T25" s="66"/>
      <c r="U25" s="66">
        <v>3500</v>
      </c>
      <c r="V25" s="66"/>
      <c r="W25" s="62">
        <f t="shared" si="0"/>
        <v>3500</v>
      </c>
      <c r="X25" s="140">
        <v>39.200000000000003</v>
      </c>
      <c r="Y25" s="141">
        <v>37.799999999999997</v>
      </c>
      <c r="Z25" s="185">
        <f>X25*R25</f>
        <v>470400.00000000006</v>
      </c>
      <c r="AA25" s="65">
        <v>132300</v>
      </c>
      <c r="AB25" s="22"/>
    </row>
    <row r="26" spans="1:28" s="4" customFormat="1" x14ac:dyDescent="0.25">
      <c r="A26" s="66" t="s">
        <v>1564</v>
      </c>
      <c r="B26" s="66" t="s">
        <v>1565</v>
      </c>
      <c r="C26" s="66">
        <v>2500</v>
      </c>
      <c r="D26" s="66">
        <v>2000</v>
      </c>
      <c r="E26" s="66">
        <v>2000</v>
      </c>
      <c r="F26" s="18">
        <v>2000</v>
      </c>
      <c r="G26" s="54">
        <f>VLOOKUP(A26,'[1]yourspreadsheetname (1)'!$A$2:$C$968, 3, FALSE)</f>
        <v>450</v>
      </c>
      <c r="H26" s="273">
        <v>7000</v>
      </c>
      <c r="I26" s="398">
        <v>4000</v>
      </c>
      <c r="J26" s="494" t="s">
        <v>486</v>
      </c>
      <c r="K26" s="199">
        <v>756474</v>
      </c>
      <c r="L26" s="66"/>
      <c r="M26" s="63" t="s">
        <v>293</v>
      </c>
      <c r="N26" s="135" t="s">
        <v>1525</v>
      </c>
      <c r="O26" s="18">
        <v>24</v>
      </c>
      <c r="P26" s="66" t="s">
        <v>1538</v>
      </c>
      <c r="Q26" s="66" t="s">
        <v>2014</v>
      </c>
      <c r="R26" s="18">
        <v>13000</v>
      </c>
      <c r="S26" s="66">
        <v>3615</v>
      </c>
      <c r="T26" s="66"/>
      <c r="U26" s="66">
        <v>3615</v>
      </c>
      <c r="V26" s="66">
        <v>720</v>
      </c>
      <c r="W26" s="62">
        <f t="shared" si="0"/>
        <v>4335</v>
      </c>
      <c r="X26" s="140">
        <v>163.51</v>
      </c>
      <c r="Y26" s="141">
        <v>149.09</v>
      </c>
      <c r="Z26" s="185">
        <f>H26*X26</f>
        <v>1144570</v>
      </c>
      <c r="AA26" s="65">
        <v>538960.35</v>
      </c>
      <c r="AB26" s="680"/>
    </row>
    <row r="27" spans="1:28" s="4" customFormat="1" x14ac:dyDescent="0.25">
      <c r="A27" s="388" t="s">
        <v>1566</v>
      </c>
      <c r="B27" s="63" t="s">
        <v>1567</v>
      </c>
      <c r="C27" s="386"/>
      <c r="D27" s="66"/>
      <c r="E27" s="66">
        <v>700</v>
      </c>
      <c r="F27" s="18">
        <v>800</v>
      </c>
      <c r="G27" s="54">
        <f>VLOOKUP(A27,'[1]yourspreadsheetname (1)'!$A$2:$C$968, 3, FALSE)</f>
        <v>0</v>
      </c>
      <c r="H27" s="273">
        <v>4200</v>
      </c>
      <c r="I27" s="403"/>
      <c r="J27" s="494" t="s">
        <v>486</v>
      </c>
      <c r="K27" s="199">
        <v>756474</v>
      </c>
      <c r="L27" s="170"/>
      <c r="M27" s="66" t="s">
        <v>263</v>
      </c>
      <c r="N27" s="135" t="s">
        <v>1525</v>
      </c>
      <c r="O27" s="18">
        <v>25</v>
      </c>
      <c r="P27" s="63" t="s">
        <v>1538</v>
      </c>
      <c r="Q27" s="66"/>
      <c r="R27" s="18">
        <v>6000</v>
      </c>
      <c r="S27" s="66">
        <v>1575</v>
      </c>
      <c r="T27" s="66"/>
      <c r="U27" s="66">
        <v>1575</v>
      </c>
      <c r="V27" s="66"/>
      <c r="W27" s="62">
        <f t="shared" si="0"/>
        <v>1575</v>
      </c>
      <c r="X27" s="140">
        <v>195</v>
      </c>
      <c r="Y27" s="141">
        <v>199</v>
      </c>
      <c r="Z27" s="185">
        <f t="shared" ref="Z27:Z37" si="2">R27*X27</f>
        <v>1170000</v>
      </c>
      <c r="AA27" s="65">
        <v>313425</v>
      </c>
      <c r="AB27" s="680"/>
    </row>
    <row r="28" spans="1:28" s="4" customFormat="1" x14ac:dyDescent="0.25">
      <c r="A28" s="273" t="s">
        <v>1568</v>
      </c>
      <c r="B28" s="273" t="s">
        <v>1569</v>
      </c>
      <c r="C28" s="66">
        <v>2000</v>
      </c>
      <c r="D28" s="66">
        <v>1500</v>
      </c>
      <c r="E28" s="66">
        <v>2500</v>
      </c>
      <c r="F28" s="390">
        <v>2600</v>
      </c>
      <c r="G28" s="54">
        <f>VLOOKUP(A28,'[1]yourspreadsheetname (1)'!$A$2:$C$968, 3, FALSE)</f>
        <v>2000</v>
      </c>
      <c r="H28" s="273">
        <v>15000</v>
      </c>
      <c r="I28" s="402"/>
      <c r="J28" s="494" t="s">
        <v>486</v>
      </c>
      <c r="K28" s="199">
        <v>756474</v>
      </c>
      <c r="L28" s="64"/>
      <c r="M28" s="66" t="s">
        <v>263</v>
      </c>
      <c r="N28" s="135" t="s">
        <v>1525</v>
      </c>
      <c r="O28" s="18">
        <v>26</v>
      </c>
      <c r="P28" s="66" t="s">
        <v>1538</v>
      </c>
      <c r="Q28" s="66"/>
      <c r="R28" s="18">
        <v>19000</v>
      </c>
      <c r="S28" s="66">
        <v>6000</v>
      </c>
      <c r="T28" s="66"/>
      <c r="U28" s="66">
        <v>6000</v>
      </c>
      <c r="V28" s="66"/>
      <c r="W28" s="62">
        <f t="shared" si="0"/>
        <v>6000</v>
      </c>
      <c r="X28" s="140">
        <v>46</v>
      </c>
      <c r="Y28" s="141">
        <v>46.67</v>
      </c>
      <c r="Z28" s="185">
        <f t="shared" si="2"/>
        <v>874000</v>
      </c>
      <c r="AA28" s="65">
        <v>280020</v>
      </c>
      <c r="AB28" s="37"/>
    </row>
    <row r="29" spans="1:28" s="4" customFormat="1" x14ac:dyDescent="0.25">
      <c r="A29" s="327" t="s">
        <v>1570</v>
      </c>
      <c r="B29" s="327" t="s">
        <v>1571</v>
      </c>
      <c r="C29" s="327">
        <v>750</v>
      </c>
      <c r="D29" s="327">
        <v>450</v>
      </c>
      <c r="E29" s="327">
        <v>500</v>
      </c>
      <c r="F29" s="327">
        <v>600</v>
      </c>
      <c r="G29" s="236">
        <f>VLOOKUP(A29,'[1]yourspreadsheetname (1)'!$A$2:$C$968, 3, FALSE)</f>
        <v>6266</v>
      </c>
      <c r="H29" s="492">
        <v>0</v>
      </c>
      <c r="I29" s="575">
        <v>800</v>
      </c>
      <c r="J29" s="494" t="s">
        <v>486</v>
      </c>
      <c r="K29" s="495">
        <v>756474</v>
      </c>
      <c r="L29" s="327"/>
      <c r="M29" s="327" t="s">
        <v>1572</v>
      </c>
      <c r="N29" s="135" t="s">
        <v>1525</v>
      </c>
      <c r="O29" s="18"/>
      <c r="P29" s="66"/>
      <c r="Q29" s="63"/>
      <c r="R29" s="18">
        <v>1000</v>
      </c>
      <c r="S29" s="174">
        <v>0</v>
      </c>
      <c r="T29" s="174"/>
      <c r="U29" s="66"/>
      <c r="V29" s="66"/>
      <c r="W29" s="62">
        <f t="shared" si="0"/>
        <v>0</v>
      </c>
      <c r="X29" s="140">
        <v>210</v>
      </c>
      <c r="Y29" s="141"/>
      <c r="Z29" s="185">
        <f t="shared" si="2"/>
        <v>210000</v>
      </c>
      <c r="AA29" s="65">
        <f t="shared" ref="AA29:AA71" si="3">W29*Y29</f>
        <v>0</v>
      </c>
      <c r="AB29" s="680"/>
    </row>
    <row r="30" spans="1:28" s="4" customFormat="1" x14ac:dyDescent="0.25">
      <c r="A30" s="327" t="s">
        <v>1573</v>
      </c>
      <c r="B30" s="327" t="s">
        <v>1574</v>
      </c>
      <c r="C30" s="327">
        <v>10300</v>
      </c>
      <c r="D30" s="327">
        <v>13000</v>
      </c>
      <c r="E30" s="327">
        <v>15000</v>
      </c>
      <c r="F30" s="327">
        <v>21000</v>
      </c>
      <c r="G30" s="236">
        <f>VLOOKUP(A30,'[1]yourspreadsheetname (1)'!$A$2:$C$968, 3, FALSE)</f>
        <v>58000</v>
      </c>
      <c r="H30" s="492">
        <v>191500</v>
      </c>
      <c r="I30" s="493"/>
      <c r="J30" s="494" t="s">
        <v>486</v>
      </c>
      <c r="K30" s="199">
        <v>756474</v>
      </c>
      <c r="L30" s="372"/>
      <c r="M30" s="327" t="s">
        <v>1572</v>
      </c>
      <c r="N30" s="135" t="s">
        <v>1525</v>
      </c>
      <c r="O30" s="18"/>
      <c r="P30" s="66"/>
      <c r="Q30" s="66"/>
      <c r="R30" s="18">
        <v>128000</v>
      </c>
      <c r="S30" s="66">
        <v>64000</v>
      </c>
      <c r="T30" s="66"/>
      <c r="U30" s="66"/>
      <c r="V30" s="66"/>
      <c r="W30" s="62">
        <f t="shared" si="0"/>
        <v>0</v>
      </c>
      <c r="X30" s="140">
        <v>132.5</v>
      </c>
      <c r="Y30" s="141"/>
      <c r="Z30" s="185">
        <f t="shared" si="2"/>
        <v>16960000</v>
      </c>
      <c r="AA30" s="65">
        <f t="shared" si="3"/>
        <v>0</v>
      </c>
      <c r="AB30" s="22"/>
    </row>
    <row r="31" spans="1:28" s="4" customFormat="1" x14ac:dyDescent="0.25">
      <c r="A31" s="327" t="s">
        <v>1575</v>
      </c>
      <c r="B31" s="496" t="s">
        <v>1576</v>
      </c>
      <c r="C31" s="497"/>
      <c r="D31" s="327">
        <v>1000</v>
      </c>
      <c r="E31" s="327">
        <v>3000</v>
      </c>
      <c r="F31" s="327">
        <v>3500</v>
      </c>
      <c r="G31" s="236">
        <f>VLOOKUP(A31,'[1]yourspreadsheetname (1)'!$A$2:$C$968, 3, FALSE)</f>
        <v>11200</v>
      </c>
      <c r="H31" s="492">
        <v>26800</v>
      </c>
      <c r="I31" s="493">
        <v>1600</v>
      </c>
      <c r="J31" s="494" t="s">
        <v>486</v>
      </c>
      <c r="K31" s="199">
        <v>756474</v>
      </c>
      <c r="L31" s="372"/>
      <c r="M31" s="327" t="s">
        <v>1572</v>
      </c>
      <c r="N31" s="135" t="s">
        <v>1525</v>
      </c>
      <c r="O31" s="18"/>
      <c r="P31" s="66"/>
      <c r="Q31" s="66"/>
      <c r="R31" s="18">
        <v>20000</v>
      </c>
      <c r="S31" s="66">
        <v>10000</v>
      </c>
      <c r="T31" s="66"/>
      <c r="U31" s="66"/>
      <c r="V31" s="66"/>
      <c r="W31" s="62">
        <f t="shared" si="0"/>
        <v>0</v>
      </c>
      <c r="X31" s="140">
        <v>111.97</v>
      </c>
      <c r="Y31" s="141"/>
      <c r="Z31" s="185">
        <f t="shared" si="2"/>
        <v>2239400</v>
      </c>
      <c r="AA31" s="65">
        <f t="shared" si="3"/>
        <v>0</v>
      </c>
      <c r="AB31" s="103"/>
    </row>
    <row r="32" spans="1:28" s="4" customFormat="1" x14ac:dyDescent="0.25">
      <c r="A32" s="327" t="s">
        <v>1577</v>
      </c>
      <c r="B32" s="327" t="s">
        <v>1578</v>
      </c>
      <c r="C32" s="236"/>
      <c r="D32" s="327"/>
      <c r="E32" s="327">
        <v>800</v>
      </c>
      <c r="F32" s="327">
        <v>1500</v>
      </c>
      <c r="G32" s="236">
        <f>VLOOKUP(A32,'[1]yourspreadsheetname (1)'!$A$2:$C$968, 3, FALSE)</f>
        <v>4487</v>
      </c>
      <c r="H32" s="492">
        <v>9600</v>
      </c>
      <c r="I32" s="495"/>
      <c r="J32" s="494" t="s">
        <v>486</v>
      </c>
      <c r="K32" s="199">
        <v>756474</v>
      </c>
      <c r="L32" s="372"/>
      <c r="M32" s="327" t="s">
        <v>1572</v>
      </c>
      <c r="N32" s="135" t="s">
        <v>1525</v>
      </c>
      <c r="O32" s="18"/>
      <c r="P32" s="66"/>
      <c r="Q32" s="63"/>
      <c r="R32" s="18">
        <v>9000</v>
      </c>
      <c r="S32" s="186">
        <v>4500</v>
      </c>
      <c r="T32" s="186"/>
      <c r="U32" s="66"/>
      <c r="V32" s="63"/>
      <c r="W32" s="62">
        <f t="shared" si="0"/>
        <v>0</v>
      </c>
      <c r="X32" s="140">
        <v>63</v>
      </c>
      <c r="Y32" s="141"/>
      <c r="Z32" s="185">
        <f t="shared" si="2"/>
        <v>567000</v>
      </c>
      <c r="AA32" s="65">
        <f t="shared" si="3"/>
        <v>0</v>
      </c>
      <c r="AB32" s="32"/>
    </row>
    <row r="33" spans="1:28" s="4" customFormat="1" x14ac:dyDescent="0.25">
      <c r="A33" s="327" t="s">
        <v>1579</v>
      </c>
      <c r="B33" s="327" t="s">
        <v>1580</v>
      </c>
      <c r="C33" s="327">
        <v>3000</v>
      </c>
      <c r="D33" s="327">
        <v>3000</v>
      </c>
      <c r="E33" s="327">
        <v>3500</v>
      </c>
      <c r="F33" s="327">
        <v>1500</v>
      </c>
      <c r="G33" s="236">
        <f>VLOOKUP(A33,'[1]yourspreadsheetname (1)'!$A$2:$C$968, 3, FALSE)</f>
        <v>18020</v>
      </c>
      <c r="H33" s="492">
        <v>12500</v>
      </c>
      <c r="I33" s="495">
        <v>600</v>
      </c>
      <c r="J33" s="494" t="s">
        <v>486</v>
      </c>
      <c r="K33" s="495">
        <v>756474</v>
      </c>
      <c r="L33" s="372"/>
      <c r="M33" s="327" t="s">
        <v>1572</v>
      </c>
      <c r="N33" s="135" t="s">
        <v>1525</v>
      </c>
      <c r="O33" s="18"/>
      <c r="P33" s="66"/>
      <c r="Q33" s="66"/>
      <c r="R33" s="18">
        <v>2000</v>
      </c>
      <c r="S33" s="66">
        <v>0</v>
      </c>
      <c r="T33" s="66"/>
      <c r="U33" s="66"/>
      <c r="V33" s="66"/>
      <c r="W33" s="62">
        <f t="shared" si="0"/>
        <v>0</v>
      </c>
      <c r="X33" s="140">
        <v>77.5</v>
      </c>
      <c r="Y33" s="141"/>
      <c r="Z33" s="185">
        <f t="shared" si="2"/>
        <v>155000</v>
      </c>
      <c r="AA33" s="65">
        <f t="shared" si="3"/>
        <v>0</v>
      </c>
      <c r="AB33" s="680"/>
    </row>
    <row r="34" spans="1:28" s="4" customFormat="1" x14ac:dyDescent="0.25">
      <c r="A34" s="327" t="s">
        <v>1581</v>
      </c>
      <c r="B34" s="327" t="s">
        <v>1582</v>
      </c>
      <c r="C34" s="327">
        <v>1000</v>
      </c>
      <c r="D34" s="327">
        <v>1000</v>
      </c>
      <c r="E34" s="327">
        <v>1500</v>
      </c>
      <c r="F34" s="327">
        <v>2000</v>
      </c>
      <c r="G34" s="236">
        <f>VLOOKUP(A34,'[1]yourspreadsheetname (1)'!$A$2:$C$968, 3, FALSE)</f>
        <v>17906</v>
      </c>
      <c r="H34" s="492">
        <v>18000</v>
      </c>
      <c r="I34" s="495">
        <v>2000</v>
      </c>
      <c r="J34" s="494" t="s">
        <v>486</v>
      </c>
      <c r="K34" s="495">
        <v>756474</v>
      </c>
      <c r="L34" s="372"/>
      <c r="M34" s="327" t="s">
        <v>1572</v>
      </c>
      <c r="N34" s="135" t="s">
        <v>1525</v>
      </c>
      <c r="O34" s="18"/>
      <c r="P34" s="66"/>
      <c r="Q34" s="63"/>
      <c r="R34" s="18">
        <v>5100</v>
      </c>
      <c r="S34" s="66">
        <v>0</v>
      </c>
      <c r="T34" s="66"/>
      <c r="U34" s="66"/>
      <c r="V34" s="66"/>
      <c r="W34" s="62">
        <f t="shared" si="0"/>
        <v>0</v>
      </c>
      <c r="X34" s="140">
        <v>45.61</v>
      </c>
      <c r="Y34" s="141"/>
      <c r="Z34" s="185">
        <f t="shared" si="2"/>
        <v>232611</v>
      </c>
      <c r="AA34" s="65">
        <f t="shared" si="3"/>
        <v>0</v>
      </c>
      <c r="AB34" s="680"/>
    </row>
    <row r="35" spans="1:28" s="4" customFormat="1" x14ac:dyDescent="0.25">
      <c r="A35" s="327" t="s">
        <v>1583</v>
      </c>
      <c r="B35" s="327" t="s">
        <v>1584</v>
      </c>
      <c r="C35" s="236">
        <v>3500</v>
      </c>
      <c r="D35" s="433">
        <v>4000</v>
      </c>
      <c r="E35" s="433">
        <v>6500</v>
      </c>
      <c r="F35" s="563">
        <v>4500</v>
      </c>
      <c r="G35" s="236">
        <f>VLOOKUP(A35,'[1]yourspreadsheetname (1)'!$A$2:$C$968, 3, FALSE)</f>
        <v>61800</v>
      </c>
      <c r="H35" s="492">
        <v>60000</v>
      </c>
      <c r="I35" s="566">
        <v>0</v>
      </c>
      <c r="J35" s="494" t="s">
        <v>486</v>
      </c>
      <c r="K35" s="495">
        <v>756474</v>
      </c>
      <c r="L35" s="327"/>
      <c r="M35" s="327" t="s">
        <v>1572</v>
      </c>
      <c r="N35" s="135" t="s">
        <v>1525</v>
      </c>
      <c r="O35" s="18"/>
      <c r="P35" s="66"/>
      <c r="Q35" s="63"/>
      <c r="R35" s="18">
        <v>3000</v>
      </c>
      <c r="S35" s="66">
        <v>0</v>
      </c>
      <c r="T35" s="66"/>
      <c r="U35" s="66"/>
      <c r="V35" s="63"/>
      <c r="W35" s="62">
        <f t="shared" ref="W35:W66" si="4">U35+V35</f>
        <v>0</v>
      </c>
      <c r="X35" s="140">
        <v>154</v>
      </c>
      <c r="Y35" s="141"/>
      <c r="Z35" s="185">
        <f t="shared" si="2"/>
        <v>462000</v>
      </c>
      <c r="AA35" s="65">
        <f t="shared" si="3"/>
        <v>0</v>
      </c>
      <c r="AB35" s="680"/>
    </row>
    <row r="36" spans="1:28" s="4" customFormat="1" x14ac:dyDescent="0.25">
      <c r="A36" s="564" t="s">
        <v>1585</v>
      </c>
      <c r="B36" s="327" t="s">
        <v>1586</v>
      </c>
      <c r="C36" s="564">
        <v>400</v>
      </c>
      <c r="D36" s="327"/>
      <c r="E36" s="327">
        <v>800</v>
      </c>
      <c r="F36" s="327">
        <v>500</v>
      </c>
      <c r="G36" s="236">
        <f>VLOOKUP(A36,'[1]yourspreadsheetname (1)'!$A$2:$C$968, 3, FALSE)</f>
        <v>6000</v>
      </c>
      <c r="H36" s="492">
        <v>6000</v>
      </c>
      <c r="I36" s="493"/>
      <c r="J36" s="494" t="s">
        <v>486</v>
      </c>
      <c r="K36" s="495">
        <v>756474</v>
      </c>
      <c r="L36" s="372"/>
      <c r="M36" s="327" t="s">
        <v>1572</v>
      </c>
      <c r="N36" s="135" t="s">
        <v>1525</v>
      </c>
      <c r="O36" s="18"/>
      <c r="P36" s="66"/>
      <c r="Q36" s="66"/>
      <c r="R36" s="18">
        <v>1000</v>
      </c>
      <c r="S36" s="66">
        <v>0</v>
      </c>
      <c r="T36" s="66"/>
      <c r="U36" s="66"/>
      <c r="V36" s="66"/>
      <c r="W36" s="62">
        <f t="shared" si="4"/>
        <v>0</v>
      </c>
      <c r="X36" s="140">
        <v>548</v>
      </c>
      <c r="Y36" s="141"/>
      <c r="Z36" s="185">
        <f t="shared" si="2"/>
        <v>548000</v>
      </c>
      <c r="AA36" s="65">
        <f t="shared" si="3"/>
        <v>0</v>
      </c>
      <c r="AB36" s="103"/>
    </row>
    <row r="37" spans="1:28" s="4" customFormat="1" x14ac:dyDescent="0.25">
      <c r="A37" s="499" t="s">
        <v>311</v>
      </c>
      <c r="B37" s="243" t="s">
        <v>312</v>
      </c>
      <c r="C37" s="500"/>
      <c r="D37" s="55"/>
      <c r="E37" s="55">
        <v>1000</v>
      </c>
      <c r="F37" s="501">
        <v>1000</v>
      </c>
      <c r="G37" s="92">
        <f>VLOOKUP(A37,'[1]yourspreadsheetname (1)'!$A$2:$C$968, 3, FALSE)</f>
        <v>0</v>
      </c>
      <c r="H37" s="421">
        <v>4000</v>
      </c>
      <c r="I37" s="573"/>
      <c r="J37" s="502" t="s">
        <v>122</v>
      </c>
      <c r="K37" s="503">
        <v>756478</v>
      </c>
      <c r="L37" s="93"/>
      <c r="M37" s="55" t="s">
        <v>272</v>
      </c>
      <c r="N37" s="421" t="s">
        <v>1587</v>
      </c>
      <c r="O37" s="55">
        <v>1</v>
      </c>
      <c r="P37" s="63"/>
      <c r="Q37" s="66"/>
      <c r="R37" s="18">
        <v>7500</v>
      </c>
      <c r="S37" s="66"/>
      <c r="T37" s="66"/>
      <c r="U37" s="66"/>
      <c r="V37" s="66"/>
      <c r="W37" s="62">
        <f t="shared" si="4"/>
        <v>0</v>
      </c>
      <c r="X37" s="140">
        <v>306.7</v>
      </c>
      <c r="Y37" s="141">
        <v>568.53</v>
      </c>
      <c r="Z37" s="185">
        <f t="shared" si="2"/>
        <v>2300250</v>
      </c>
      <c r="AA37" s="65">
        <f t="shared" si="3"/>
        <v>0</v>
      </c>
      <c r="AB37" s="103"/>
    </row>
    <row r="38" spans="1:28" s="4" customFormat="1" x14ac:dyDescent="0.25">
      <c r="A38" s="68" t="s">
        <v>1588</v>
      </c>
      <c r="B38" s="134" t="s">
        <v>1589</v>
      </c>
      <c r="C38" s="66">
        <v>1100</v>
      </c>
      <c r="D38" s="66">
        <v>2150</v>
      </c>
      <c r="E38" s="66">
        <v>2000</v>
      </c>
      <c r="F38" s="18">
        <v>2800</v>
      </c>
      <c r="G38" s="54">
        <f>VLOOKUP(A38,'[1]yourspreadsheetname (1)'!$A$2:$C$968, 3, FALSE)</f>
        <v>4400</v>
      </c>
      <c r="H38" s="273">
        <v>10000</v>
      </c>
      <c r="I38" s="398"/>
      <c r="J38" s="384" t="s">
        <v>122</v>
      </c>
      <c r="K38" s="199">
        <v>756478</v>
      </c>
      <c r="L38" s="173"/>
      <c r="M38" s="63" t="s">
        <v>293</v>
      </c>
      <c r="N38" s="273" t="s">
        <v>1587</v>
      </c>
      <c r="O38" s="63">
        <v>2</v>
      </c>
      <c r="P38" s="63" t="s">
        <v>1590</v>
      </c>
      <c r="Q38" s="66"/>
      <c r="R38" s="18">
        <v>19000</v>
      </c>
      <c r="S38" s="66"/>
      <c r="T38" s="66"/>
      <c r="U38" s="66">
        <v>19000</v>
      </c>
      <c r="V38" s="66"/>
      <c r="W38" s="62">
        <f t="shared" si="4"/>
        <v>19000</v>
      </c>
      <c r="X38" s="140">
        <v>126</v>
      </c>
      <c r="Y38" s="141">
        <v>121.9</v>
      </c>
      <c r="Z38" s="568"/>
      <c r="AA38" s="170">
        <f t="shared" si="3"/>
        <v>2316100</v>
      </c>
      <c r="AB38" s="103"/>
    </row>
    <row r="39" spans="1:28" s="4" customFormat="1" x14ac:dyDescent="0.25">
      <c r="A39" s="66" t="s">
        <v>1591</v>
      </c>
      <c r="B39" s="66" t="s">
        <v>1592</v>
      </c>
      <c r="C39" s="66">
        <v>1000</v>
      </c>
      <c r="D39" s="66">
        <v>580</v>
      </c>
      <c r="E39" s="66">
        <v>800</v>
      </c>
      <c r="F39" s="18">
        <v>1000</v>
      </c>
      <c r="G39" s="54">
        <f>VLOOKUP(A39,'[1]yourspreadsheetname (1)'!$A$2:$C$968, 3, FALSE)</f>
        <v>1850</v>
      </c>
      <c r="H39" s="273">
        <v>4800</v>
      </c>
      <c r="I39" s="403"/>
      <c r="J39" s="494" t="s">
        <v>486</v>
      </c>
      <c r="K39" s="199">
        <v>756478</v>
      </c>
      <c r="L39" s="170"/>
      <c r="M39" s="66" t="s">
        <v>688</v>
      </c>
      <c r="N39" s="273" t="s">
        <v>1587</v>
      </c>
      <c r="O39" s="66">
        <v>3</v>
      </c>
      <c r="P39" s="63" t="s">
        <v>1593</v>
      </c>
      <c r="Q39" s="66"/>
      <c r="R39" s="18">
        <v>6500</v>
      </c>
      <c r="S39" s="66">
        <v>4800</v>
      </c>
      <c r="T39" s="66"/>
      <c r="U39" s="66">
        <v>4800</v>
      </c>
      <c r="V39" s="66"/>
      <c r="W39" s="62">
        <f t="shared" si="4"/>
        <v>4800</v>
      </c>
      <c r="X39" s="140">
        <v>179</v>
      </c>
      <c r="Y39" s="141">
        <v>168</v>
      </c>
      <c r="Z39" s="185">
        <f>R39*X39</f>
        <v>1163500</v>
      </c>
      <c r="AA39" s="65">
        <f t="shared" si="3"/>
        <v>806400</v>
      </c>
      <c r="AB39" s="103"/>
    </row>
    <row r="40" spans="1:28" s="4" customFormat="1" x14ac:dyDescent="0.25">
      <c r="A40" s="66" t="s">
        <v>1594</v>
      </c>
      <c r="B40" s="54" t="s">
        <v>1595</v>
      </c>
      <c r="C40" s="54">
        <v>1400</v>
      </c>
      <c r="D40" s="66">
        <v>1930</v>
      </c>
      <c r="E40" s="66">
        <v>2000</v>
      </c>
      <c r="F40" s="18">
        <v>2000</v>
      </c>
      <c r="G40" s="54">
        <f>VLOOKUP(A40,'[1]yourspreadsheetname (1)'!$A$2:$C$968, 3, FALSE)</f>
        <v>7680</v>
      </c>
      <c r="H40" s="273">
        <v>12000</v>
      </c>
      <c r="I40" s="403"/>
      <c r="J40" s="494" t="s">
        <v>486</v>
      </c>
      <c r="K40" s="199">
        <v>756478</v>
      </c>
      <c r="L40" s="64"/>
      <c r="M40" s="66" t="s">
        <v>263</v>
      </c>
      <c r="N40" s="273" t="s">
        <v>1587</v>
      </c>
      <c r="O40" s="66">
        <v>4</v>
      </c>
      <c r="P40" s="66" t="s">
        <v>1596</v>
      </c>
      <c r="Q40" s="66"/>
      <c r="R40" s="18">
        <v>11000</v>
      </c>
      <c r="S40" s="66"/>
      <c r="T40" s="66"/>
      <c r="U40" s="66">
        <v>11000</v>
      </c>
      <c r="V40" s="66"/>
      <c r="W40" s="62">
        <f t="shared" si="4"/>
        <v>11000</v>
      </c>
      <c r="X40" s="140">
        <v>205.98</v>
      </c>
      <c r="Y40" s="141">
        <v>219.99</v>
      </c>
      <c r="Z40" s="185">
        <f>R40*X40</f>
        <v>2265780</v>
      </c>
      <c r="AA40" s="65">
        <f t="shared" si="3"/>
        <v>2419890</v>
      </c>
      <c r="AB40" s="680"/>
    </row>
    <row r="41" spans="1:28" s="4" customFormat="1" x14ac:dyDescent="0.25">
      <c r="A41" s="589" t="s">
        <v>1597</v>
      </c>
      <c r="B41" s="92" t="s">
        <v>485</v>
      </c>
      <c r="C41" s="55">
        <v>3000</v>
      </c>
      <c r="D41" s="55">
        <v>2560</v>
      </c>
      <c r="E41" s="55">
        <v>3000</v>
      </c>
      <c r="F41" s="55">
        <v>3000</v>
      </c>
      <c r="G41" s="92" t="e">
        <f>VLOOKUP(A41,'[1]yourspreadsheetname (1)'!$A$2:$C$968, 3, FALSE)</f>
        <v>#N/A</v>
      </c>
      <c r="H41" s="421">
        <v>24300</v>
      </c>
      <c r="I41" s="590"/>
      <c r="J41" s="502" t="s">
        <v>486</v>
      </c>
      <c r="K41" s="503">
        <v>756478</v>
      </c>
      <c r="L41" s="55"/>
      <c r="M41" s="243" t="s">
        <v>259</v>
      </c>
      <c r="N41" s="273" t="s">
        <v>1587</v>
      </c>
      <c r="O41" s="66">
        <v>5</v>
      </c>
      <c r="P41" s="66"/>
      <c r="Q41" s="63"/>
      <c r="R41" s="18">
        <v>16500</v>
      </c>
      <c r="S41" s="66"/>
      <c r="T41" s="66"/>
      <c r="U41" s="66"/>
      <c r="V41" s="63"/>
      <c r="W41" s="62">
        <f t="shared" si="4"/>
        <v>0</v>
      </c>
      <c r="X41" s="140">
        <v>176.99</v>
      </c>
      <c r="Y41" s="141">
        <v>231</v>
      </c>
      <c r="Z41" s="185">
        <f>R41*X41</f>
        <v>2920335</v>
      </c>
      <c r="AA41" s="65">
        <f t="shared" si="3"/>
        <v>0</v>
      </c>
      <c r="AB41" s="38"/>
    </row>
    <row r="42" spans="1:28" s="4" customFormat="1" ht="18.75" customHeight="1" x14ac:dyDescent="0.25">
      <c r="A42" s="199" t="s">
        <v>1598</v>
      </c>
      <c r="B42" s="66" t="s">
        <v>1599</v>
      </c>
      <c r="C42" s="66">
        <v>3500</v>
      </c>
      <c r="D42" s="66">
        <v>5000</v>
      </c>
      <c r="E42" s="66">
        <v>10000</v>
      </c>
      <c r="F42" s="18">
        <v>10000</v>
      </c>
      <c r="G42" s="54">
        <f>VLOOKUP(A42,'[1]yourspreadsheetname (1)'!$A$2:$C$968, 3, FALSE)</f>
        <v>193580</v>
      </c>
      <c r="H42" s="273">
        <v>60000</v>
      </c>
      <c r="I42" s="401"/>
      <c r="J42" s="494" t="s">
        <v>486</v>
      </c>
      <c r="K42" s="199">
        <v>756478</v>
      </c>
      <c r="L42" s="66"/>
      <c r="M42" s="63" t="s">
        <v>293</v>
      </c>
      <c r="N42" s="273" t="s">
        <v>1587</v>
      </c>
      <c r="O42" s="66">
        <v>6</v>
      </c>
      <c r="P42" s="63" t="s">
        <v>1590</v>
      </c>
      <c r="Q42" s="63"/>
      <c r="R42" s="18">
        <v>60000</v>
      </c>
      <c r="S42" s="66">
        <v>30000</v>
      </c>
      <c r="T42" s="66"/>
      <c r="U42" s="66">
        <v>30000</v>
      </c>
      <c r="V42" s="63"/>
      <c r="W42" s="62">
        <f t="shared" si="4"/>
        <v>30000</v>
      </c>
      <c r="X42" s="140">
        <v>48.6</v>
      </c>
      <c r="Y42" s="141">
        <v>36.700000000000003</v>
      </c>
      <c r="Z42" s="185">
        <f>R42*X42</f>
        <v>2916000</v>
      </c>
      <c r="AA42" s="65">
        <f t="shared" si="3"/>
        <v>1101000</v>
      </c>
      <c r="AB42" s="103"/>
    </row>
    <row r="43" spans="1:28" s="4" customFormat="1" x14ac:dyDescent="0.25">
      <c r="A43" s="96" t="s">
        <v>1600</v>
      </c>
      <c r="B43" s="96" t="s">
        <v>1601</v>
      </c>
      <c r="C43" s="104">
        <v>400</v>
      </c>
      <c r="D43" s="54">
        <v>350</v>
      </c>
      <c r="E43" s="54">
        <v>400</v>
      </c>
      <c r="F43" s="12">
        <v>400</v>
      </c>
      <c r="G43" s="54">
        <f>VLOOKUP(A43,'[1]yourspreadsheetname (1)'!$A$2:$C$968, 3, FALSE)</f>
        <v>1200</v>
      </c>
      <c r="H43" s="273">
        <v>1800</v>
      </c>
      <c r="I43" s="403"/>
      <c r="J43" s="494" t="s">
        <v>486</v>
      </c>
      <c r="K43" s="199">
        <v>756478</v>
      </c>
      <c r="L43" s="64"/>
      <c r="M43" s="66" t="s">
        <v>272</v>
      </c>
      <c r="N43" s="273" t="s">
        <v>1587</v>
      </c>
      <c r="O43" s="54">
        <v>7</v>
      </c>
      <c r="P43" s="54" t="s">
        <v>1602</v>
      </c>
      <c r="Q43" s="54"/>
      <c r="R43" s="18">
        <v>2400</v>
      </c>
      <c r="S43" s="54"/>
      <c r="T43" s="54"/>
      <c r="U43" s="54">
        <v>2400</v>
      </c>
      <c r="V43" s="54"/>
      <c r="W43" s="62">
        <f t="shared" si="4"/>
        <v>2400</v>
      </c>
      <c r="X43" s="140">
        <v>316</v>
      </c>
      <c r="Y43" s="141">
        <v>285</v>
      </c>
      <c r="Z43" s="185">
        <f>R43*X43</f>
        <v>758400</v>
      </c>
      <c r="AA43" s="65">
        <f t="shared" si="3"/>
        <v>684000</v>
      </c>
      <c r="AB43" s="680"/>
    </row>
    <row r="44" spans="1:28" s="4" customFormat="1" x14ac:dyDescent="0.25">
      <c r="A44" s="55" t="s">
        <v>487</v>
      </c>
      <c r="B44" s="55" t="s">
        <v>488</v>
      </c>
      <c r="C44" s="55"/>
      <c r="D44" s="55">
        <v>200</v>
      </c>
      <c r="E44" s="55">
        <v>300</v>
      </c>
      <c r="F44" s="55">
        <v>600</v>
      </c>
      <c r="G44" s="92">
        <f>VLOOKUP(A44,'[1]yourspreadsheetname (1)'!$A$2:$C$968, 3, FALSE)</f>
        <v>0</v>
      </c>
      <c r="H44" s="421">
        <v>1800</v>
      </c>
      <c r="I44" s="503"/>
      <c r="J44" s="502" t="s">
        <v>122</v>
      </c>
      <c r="K44" s="503">
        <v>756478</v>
      </c>
      <c r="L44" s="55"/>
      <c r="M44" s="55" t="s">
        <v>272</v>
      </c>
      <c r="N44" s="273" t="s">
        <v>1587</v>
      </c>
      <c r="O44" s="66">
        <v>8</v>
      </c>
      <c r="P44" s="66"/>
      <c r="Q44" s="64"/>
      <c r="R44" s="18">
        <v>4500</v>
      </c>
      <c r="S44" s="66"/>
      <c r="T44" s="66"/>
      <c r="U44" s="66"/>
      <c r="V44" s="66"/>
      <c r="W44" s="62">
        <f t="shared" si="4"/>
        <v>0</v>
      </c>
      <c r="X44" s="140">
        <v>424</v>
      </c>
      <c r="Y44" s="141">
        <v>675.83</v>
      </c>
      <c r="Z44" s="185">
        <f>H44*X44</f>
        <v>763200</v>
      </c>
      <c r="AA44" s="65">
        <f t="shared" si="3"/>
        <v>0</v>
      </c>
      <c r="AB44" s="103"/>
    </row>
    <row r="45" spans="1:28" s="4" customFormat="1" x14ac:dyDescent="0.25">
      <c r="A45" s="12" t="s">
        <v>192</v>
      </c>
      <c r="B45" s="66" t="s">
        <v>1603</v>
      </c>
      <c r="C45" s="62">
        <v>8000</v>
      </c>
      <c r="D45" s="62">
        <v>4420</v>
      </c>
      <c r="E45" s="62">
        <v>7000</v>
      </c>
      <c r="F45" s="490">
        <v>7000</v>
      </c>
      <c r="G45" s="54" t="e">
        <f>VLOOKUP(A45,'[1]yourspreadsheetname (1)'!$A$2:$C$968, 3, FALSE)</f>
        <v>#N/A</v>
      </c>
      <c r="H45" s="273">
        <v>49000</v>
      </c>
      <c r="I45" s="397"/>
      <c r="J45" s="494" t="s">
        <v>486</v>
      </c>
      <c r="K45" s="199">
        <v>756478</v>
      </c>
      <c r="L45" s="64"/>
      <c r="M45" s="66" t="s">
        <v>263</v>
      </c>
      <c r="N45" s="273" t="s">
        <v>1587</v>
      </c>
      <c r="O45" s="66">
        <v>9</v>
      </c>
      <c r="P45" s="54" t="s">
        <v>1596</v>
      </c>
      <c r="Q45" s="66"/>
      <c r="R45" s="18">
        <v>50000</v>
      </c>
      <c r="S45" s="66">
        <v>25000</v>
      </c>
      <c r="T45" s="66"/>
      <c r="U45" s="66">
        <v>25000</v>
      </c>
      <c r="V45" s="66"/>
      <c r="W45" s="62">
        <f t="shared" si="4"/>
        <v>25000</v>
      </c>
      <c r="X45" s="140">
        <v>266.67</v>
      </c>
      <c r="Y45" s="141">
        <v>236.98</v>
      </c>
      <c r="Z45" s="185">
        <f t="shared" ref="Z45:Z71" si="5">R45*X45</f>
        <v>13333500</v>
      </c>
      <c r="AA45" s="65">
        <f t="shared" si="3"/>
        <v>5924500</v>
      </c>
      <c r="AB45" s="103"/>
    </row>
    <row r="46" spans="1:28" s="4" customFormat="1" x14ac:dyDescent="0.25">
      <c r="A46" s="499" t="s">
        <v>1604</v>
      </c>
      <c r="B46" s="243" t="s">
        <v>490</v>
      </c>
      <c r="C46" s="55"/>
      <c r="D46" s="55">
        <v>300</v>
      </c>
      <c r="E46" s="55">
        <v>500</v>
      </c>
      <c r="F46" s="55">
        <v>500</v>
      </c>
      <c r="G46" s="92" t="e">
        <f>VLOOKUP(A46,'[1]yourspreadsheetname (1)'!$A$2:$C$968, 3, FALSE)</f>
        <v>#N/A</v>
      </c>
      <c r="H46" s="421">
        <v>6050</v>
      </c>
      <c r="I46" s="591"/>
      <c r="J46" s="502" t="s">
        <v>122</v>
      </c>
      <c r="K46" s="503">
        <v>756478</v>
      </c>
      <c r="L46" s="93"/>
      <c r="M46" s="55" t="s">
        <v>263</v>
      </c>
      <c r="N46" s="273" t="s">
        <v>1587</v>
      </c>
      <c r="O46" s="66">
        <v>10</v>
      </c>
      <c r="P46" s="54"/>
      <c r="Q46" s="66"/>
      <c r="R46" s="18">
        <v>3000</v>
      </c>
      <c r="S46" s="66"/>
      <c r="T46" s="66"/>
      <c r="U46" s="66"/>
      <c r="V46" s="66"/>
      <c r="W46" s="62">
        <f t="shared" si="4"/>
        <v>0</v>
      </c>
      <c r="X46" s="140">
        <v>509.44</v>
      </c>
      <c r="Y46" s="141">
        <v>699</v>
      </c>
      <c r="Z46" s="185">
        <f t="shared" si="5"/>
        <v>1528320</v>
      </c>
      <c r="AA46" s="65">
        <f t="shared" si="3"/>
        <v>0</v>
      </c>
      <c r="AB46" s="680"/>
    </row>
    <row r="47" spans="1:28" s="4" customFormat="1" x14ac:dyDescent="0.25">
      <c r="A47" s="592" t="s">
        <v>491</v>
      </c>
      <c r="B47" s="243" t="s">
        <v>492</v>
      </c>
      <c r="C47" s="55"/>
      <c r="D47" s="55">
        <v>500</v>
      </c>
      <c r="E47" s="55">
        <v>1000</v>
      </c>
      <c r="F47" s="55">
        <v>1000</v>
      </c>
      <c r="G47" s="92">
        <f>VLOOKUP(A47,'[1]yourspreadsheetname (1)'!$A$2:$C$968, 3, FALSE)</f>
        <v>0</v>
      </c>
      <c r="H47" s="421">
        <v>7000</v>
      </c>
      <c r="I47" s="593"/>
      <c r="J47" s="502" t="s">
        <v>486</v>
      </c>
      <c r="K47" s="503">
        <v>756478</v>
      </c>
      <c r="L47" s="93"/>
      <c r="M47" s="55" t="s">
        <v>263</v>
      </c>
      <c r="N47" s="273" t="s">
        <v>1587</v>
      </c>
      <c r="O47" s="66">
        <v>11</v>
      </c>
      <c r="P47" s="54"/>
      <c r="Q47" s="66"/>
      <c r="R47" s="18">
        <v>4000</v>
      </c>
      <c r="S47" s="66"/>
      <c r="T47" s="66"/>
      <c r="U47" s="66"/>
      <c r="V47" s="66"/>
      <c r="W47" s="62">
        <f t="shared" si="4"/>
        <v>0</v>
      </c>
      <c r="X47" s="140">
        <v>173.4</v>
      </c>
      <c r="Y47" s="141">
        <v>239.99</v>
      </c>
      <c r="Z47" s="185">
        <f t="shared" si="5"/>
        <v>693600</v>
      </c>
      <c r="AA47" s="65">
        <f t="shared" si="3"/>
        <v>0</v>
      </c>
      <c r="AB47" s="103"/>
    </row>
    <row r="48" spans="1:28" s="4" customFormat="1" x14ac:dyDescent="0.25">
      <c r="A48" s="96" t="s">
        <v>197</v>
      </c>
      <c r="B48" s="96" t="s">
        <v>1605</v>
      </c>
      <c r="C48" s="570">
        <v>3500</v>
      </c>
      <c r="D48" s="555">
        <v>4080</v>
      </c>
      <c r="E48" s="555">
        <v>4000</v>
      </c>
      <c r="F48" s="572">
        <v>8000</v>
      </c>
      <c r="G48" s="54">
        <f>VLOOKUP(A48,'[1]yourspreadsheetname (1)'!$A$2:$C$968, 3, FALSE)</f>
        <v>0</v>
      </c>
      <c r="H48" s="273">
        <v>68400</v>
      </c>
      <c r="I48" s="397"/>
      <c r="J48" s="494" t="s">
        <v>486</v>
      </c>
      <c r="K48" s="199">
        <v>756478</v>
      </c>
      <c r="L48" s="64"/>
      <c r="M48" s="66" t="s">
        <v>263</v>
      </c>
      <c r="N48" s="273" t="s">
        <v>1587</v>
      </c>
      <c r="O48" s="54">
        <v>12</v>
      </c>
      <c r="P48" s="54" t="s">
        <v>1596</v>
      </c>
      <c r="Q48" s="128"/>
      <c r="R48" s="18">
        <v>62000</v>
      </c>
      <c r="S48" s="128">
        <v>30000</v>
      </c>
      <c r="T48" s="128"/>
      <c r="U48" s="128">
        <v>30000</v>
      </c>
      <c r="V48" s="128"/>
      <c r="W48" s="62">
        <f t="shared" si="4"/>
        <v>30000</v>
      </c>
      <c r="X48" s="140">
        <v>48.5</v>
      </c>
      <c r="Y48" s="141">
        <v>47.59</v>
      </c>
      <c r="Z48" s="185">
        <f t="shared" si="5"/>
        <v>3007000</v>
      </c>
      <c r="AA48" s="65">
        <f t="shared" si="3"/>
        <v>1427700</v>
      </c>
      <c r="AB48" s="103"/>
    </row>
    <row r="49" spans="1:28" s="4" customFormat="1" x14ac:dyDescent="0.25">
      <c r="A49" s="70" t="s">
        <v>1606</v>
      </c>
      <c r="B49" s="66" t="s">
        <v>1607</v>
      </c>
      <c r="C49" s="62">
        <v>500</v>
      </c>
      <c r="D49" s="529">
        <v>500</v>
      </c>
      <c r="E49" s="529">
        <v>1000</v>
      </c>
      <c r="F49" s="571">
        <v>2000</v>
      </c>
      <c r="G49" s="54" t="e">
        <f>VLOOKUP(A49,'[1]yourspreadsheetname (1)'!$A$2:$C$968, 3, FALSE)</f>
        <v>#N/A</v>
      </c>
      <c r="H49" s="273">
        <v>8100</v>
      </c>
      <c r="I49" s="401"/>
      <c r="J49" s="494" t="s">
        <v>486</v>
      </c>
      <c r="K49" s="199">
        <v>756478</v>
      </c>
      <c r="L49" s="66"/>
      <c r="M49" s="66" t="s">
        <v>259</v>
      </c>
      <c r="N49" s="273" t="s">
        <v>1587</v>
      </c>
      <c r="O49" s="66">
        <v>13</v>
      </c>
      <c r="P49" s="66" t="s">
        <v>1608</v>
      </c>
      <c r="Q49" s="66"/>
      <c r="R49" s="18">
        <v>15000</v>
      </c>
      <c r="S49" s="66">
        <v>3000</v>
      </c>
      <c r="T49" s="66"/>
      <c r="U49" s="66">
        <v>3000</v>
      </c>
      <c r="V49" s="66"/>
      <c r="W49" s="62">
        <f t="shared" si="4"/>
        <v>3000</v>
      </c>
      <c r="X49" s="140">
        <v>2295</v>
      </c>
      <c r="Y49" s="141">
        <v>2585.3000000000002</v>
      </c>
      <c r="Z49" s="185">
        <f t="shared" si="5"/>
        <v>34425000</v>
      </c>
      <c r="AA49" s="65">
        <f t="shared" si="3"/>
        <v>7755900.0000000009</v>
      </c>
      <c r="AB49" s="103"/>
    </row>
    <row r="50" spans="1:28" s="4" customFormat="1" x14ac:dyDescent="0.25">
      <c r="A50" s="66" t="s">
        <v>1609</v>
      </c>
      <c r="B50" s="54" t="s">
        <v>1610</v>
      </c>
      <c r="C50" s="66">
        <v>140</v>
      </c>
      <c r="D50" s="171"/>
      <c r="E50" s="171">
        <v>140</v>
      </c>
      <c r="F50" s="393">
        <v>200</v>
      </c>
      <c r="G50" s="54" t="e">
        <f>VLOOKUP(A50,'[1]yourspreadsheetname (1)'!$A$2:$C$968, 3, FALSE)</f>
        <v>#N/A</v>
      </c>
      <c r="H50" s="273">
        <v>800</v>
      </c>
      <c r="I50" s="398"/>
      <c r="J50" s="384" t="s">
        <v>122</v>
      </c>
      <c r="K50" s="199">
        <v>756478</v>
      </c>
      <c r="L50" s="64"/>
      <c r="M50" s="66" t="s">
        <v>259</v>
      </c>
      <c r="N50" s="273" t="s">
        <v>1587</v>
      </c>
      <c r="O50" s="66">
        <v>14</v>
      </c>
      <c r="P50" s="66" t="s">
        <v>1608</v>
      </c>
      <c r="Q50" s="66" t="s">
        <v>2007</v>
      </c>
      <c r="R50" s="18">
        <v>1500</v>
      </c>
      <c r="S50" s="66"/>
      <c r="T50" s="66"/>
      <c r="U50" s="66">
        <v>1500</v>
      </c>
      <c r="V50" s="66">
        <v>750</v>
      </c>
      <c r="W50" s="62">
        <f t="shared" si="4"/>
        <v>2250</v>
      </c>
      <c r="X50" s="140">
        <v>2486.29</v>
      </c>
      <c r="Y50" s="141">
        <v>2945.37</v>
      </c>
      <c r="Z50" s="185">
        <f t="shared" si="5"/>
        <v>3729435</v>
      </c>
      <c r="AA50" s="65">
        <f t="shared" si="3"/>
        <v>6627082.5</v>
      </c>
      <c r="AB50" s="103"/>
    </row>
    <row r="51" spans="1:28" s="4" customFormat="1" x14ac:dyDescent="0.25">
      <c r="A51" s="273" t="s">
        <v>1611</v>
      </c>
      <c r="B51" s="63" t="s">
        <v>1612</v>
      </c>
      <c r="C51" s="66">
        <v>4000</v>
      </c>
      <c r="D51" s="171">
        <v>2260</v>
      </c>
      <c r="E51" s="171">
        <v>3500</v>
      </c>
      <c r="F51" s="393">
        <v>2500</v>
      </c>
      <c r="G51" s="54">
        <f>VLOOKUP(A51,'[1]yourspreadsheetname (1)'!$A$2:$C$968, 3, FALSE)</f>
        <v>23000</v>
      </c>
      <c r="H51" s="273">
        <v>28000</v>
      </c>
      <c r="I51" s="398"/>
      <c r="J51" s="494" t="s">
        <v>486</v>
      </c>
      <c r="K51" s="199">
        <v>756478</v>
      </c>
      <c r="L51" s="64"/>
      <c r="M51" s="66" t="s">
        <v>259</v>
      </c>
      <c r="N51" s="273" t="s">
        <v>1587</v>
      </c>
      <c r="O51" s="66">
        <v>15</v>
      </c>
      <c r="P51" s="66" t="s">
        <v>1608</v>
      </c>
      <c r="Q51" s="66"/>
      <c r="R51" s="18">
        <v>7500</v>
      </c>
      <c r="S51" s="66"/>
      <c r="T51" s="66"/>
      <c r="U51" s="66">
        <v>7500</v>
      </c>
      <c r="V51" s="66"/>
      <c r="W51" s="62">
        <f t="shared" si="4"/>
        <v>7500</v>
      </c>
      <c r="X51" s="140">
        <v>895</v>
      </c>
      <c r="Y51" s="141">
        <v>1034.58</v>
      </c>
      <c r="Z51" s="185">
        <f t="shared" si="5"/>
        <v>6712500</v>
      </c>
      <c r="AA51" s="65">
        <f t="shared" si="3"/>
        <v>7759349.9999999991</v>
      </c>
      <c r="AB51" s="680"/>
    </row>
    <row r="52" spans="1:28" s="4" customFormat="1" x14ac:dyDescent="0.25">
      <c r="A52" s="66" t="s">
        <v>1613</v>
      </c>
      <c r="B52" s="66" t="s">
        <v>1614</v>
      </c>
      <c r="C52" s="66">
        <v>100</v>
      </c>
      <c r="D52" s="66">
        <v>62</v>
      </c>
      <c r="E52" s="66">
        <v>100</v>
      </c>
      <c r="F52" s="390">
        <v>150</v>
      </c>
      <c r="G52" s="54">
        <f>VLOOKUP(A52,'[1]yourspreadsheetname (1)'!$A$2:$C$968, 3, FALSE)</f>
        <v>0</v>
      </c>
      <c r="H52" s="273">
        <v>1210</v>
      </c>
      <c r="I52" s="399"/>
      <c r="J52" s="384" t="s">
        <v>122</v>
      </c>
      <c r="K52" s="199">
        <v>756478</v>
      </c>
      <c r="L52" s="276"/>
      <c r="M52" s="66" t="s">
        <v>293</v>
      </c>
      <c r="N52" s="273" t="s">
        <v>1587</v>
      </c>
      <c r="O52" s="54">
        <v>16</v>
      </c>
      <c r="P52" s="63" t="s">
        <v>1590</v>
      </c>
      <c r="Q52" s="66"/>
      <c r="R52" s="18">
        <v>1200</v>
      </c>
      <c r="S52" s="66"/>
      <c r="T52" s="66"/>
      <c r="U52" s="66">
        <v>1200</v>
      </c>
      <c r="V52" s="66"/>
      <c r="W52" s="62">
        <f t="shared" si="4"/>
        <v>1200</v>
      </c>
      <c r="X52" s="140">
        <v>1465.56</v>
      </c>
      <c r="Y52" s="141">
        <v>768</v>
      </c>
      <c r="Z52" s="185">
        <f t="shared" si="5"/>
        <v>1758672</v>
      </c>
      <c r="AA52" s="65">
        <f t="shared" si="3"/>
        <v>921600</v>
      </c>
      <c r="AB52" s="103"/>
    </row>
    <row r="53" spans="1:28" s="4" customFormat="1" x14ac:dyDescent="0.25">
      <c r="A53" s="92" t="s">
        <v>493</v>
      </c>
      <c r="B53" s="55" t="s">
        <v>494</v>
      </c>
      <c r="C53" s="56"/>
      <c r="D53" s="56">
        <v>200</v>
      </c>
      <c r="E53" s="56">
        <v>250</v>
      </c>
      <c r="F53" s="548">
        <v>300</v>
      </c>
      <c r="G53" s="92" t="e">
        <f>VLOOKUP(A53,'[1]yourspreadsheetname (1)'!$A$2:$C$968, 3, FALSE)</f>
        <v>#N/A</v>
      </c>
      <c r="H53" s="421">
        <v>2420</v>
      </c>
      <c r="I53" s="594"/>
      <c r="J53" s="502" t="s">
        <v>122</v>
      </c>
      <c r="K53" s="503">
        <v>756478</v>
      </c>
      <c r="L53" s="93"/>
      <c r="M53" s="55" t="s">
        <v>263</v>
      </c>
      <c r="N53" s="273" t="s">
        <v>1587</v>
      </c>
      <c r="O53" s="66">
        <v>17</v>
      </c>
      <c r="P53" s="66"/>
      <c r="Q53" s="66"/>
      <c r="R53" s="18">
        <v>2300</v>
      </c>
      <c r="S53" s="66"/>
      <c r="T53" s="66"/>
      <c r="U53" s="66"/>
      <c r="V53" s="66"/>
      <c r="W53" s="62">
        <f t="shared" si="4"/>
        <v>0</v>
      </c>
      <c r="X53" s="140">
        <v>2100</v>
      </c>
      <c r="Y53" s="141">
        <v>3459.99</v>
      </c>
      <c r="Z53" s="185">
        <f t="shared" si="5"/>
        <v>4830000</v>
      </c>
      <c r="AA53" s="65">
        <f t="shared" si="3"/>
        <v>0</v>
      </c>
      <c r="AB53" s="103"/>
    </row>
    <row r="54" spans="1:28" s="4" customFormat="1" x14ac:dyDescent="0.25">
      <c r="A54" s="55" t="s">
        <v>495</v>
      </c>
      <c r="B54" s="55" t="s">
        <v>496</v>
      </c>
      <c r="C54" s="55"/>
      <c r="D54" s="55"/>
      <c r="E54" s="55">
        <v>100</v>
      </c>
      <c r="F54" s="501">
        <v>150</v>
      </c>
      <c r="G54" s="92">
        <f>VLOOKUP(A54,'[1]yourspreadsheetname (1)'!$A$2:$C$968, 3, FALSE)</f>
        <v>0</v>
      </c>
      <c r="H54" s="421">
        <v>600</v>
      </c>
      <c r="I54" s="573"/>
      <c r="J54" s="502" t="s">
        <v>122</v>
      </c>
      <c r="K54" s="503">
        <v>756478</v>
      </c>
      <c r="L54" s="93"/>
      <c r="M54" s="55" t="s">
        <v>272</v>
      </c>
      <c r="N54" s="273" t="s">
        <v>1587</v>
      </c>
      <c r="O54" s="66">
        <v>18</v>
      </c>
      <c r="P54" s="54"/>
      <c r="Q54" s="66"/>
      <c r="R54" s="18">
        <v>1100</v>
      </c>
      <c r="S54" s="66"/>
      <c r="T54" s="66"/>
      <c r="U54" s="66"/>
      <c r="V54" s="66"/>
      <c r="W54" s="62">
        <f t="shared" si="4"/>
        <v>0</v>
      </c>
      <c r="X54" s="140">
        <v>351.3</v>
      </c>
      <c r="Y54" s="141">
        <v>714.53</v>
      </c>
      <c r="Z54" s="185">
        <f t="shared" si="5"/>
        <v>386430</v>
      </c>
      <c r="AA54" s="65">
        <f t="shared" si="3"/>
        <v>0</v>
      </c>
      <c r="AB54" s="680"/>
    </row>
    <row r="55" spans="1:28" s="4" customFormat="1" x14ac:dyDescent="0.25">
      <c r="A55" s="55" t="s">
        <v>497</v>
      </c>
      <c r="B55" s="55" t="s">
        <v>498</v>
      </c>
      <c r="C55" s="55">
        <v>370</v>
      </c>
      <c r="D55" s="55">
        <v>442</v>
      </c>
      <c r="E55" s="55">
        <v>500</v>
      </c>
      <c r="F55" s="55">
        <v>500</v>
      </c>
      <c r="G55" s="92">
        <f>VLOOKUP(A55,'[1]yourspreadsheetname (1)'!$A$2:$C$968, 3, FALSE)</f>
        <v>1600</v>
      </c>
      <c r="H55" s="421">
        <v>6050</v>
      </c>
      <c r="I55" s="593"/>
      <c r="J55" s="502" t="s">
        <v>122</v>
      </c>
      <c r="K55" s="503">
        <v>756478</v>
      </c>
      <c r="L55" s="93"/>
      <c r="M55" s="55" t="s">
        <v>263</v>
      </c>
      <c r="N55" s="273" t="s">
        <v>1587</v>
      </c>
      <c r="O55" s="66">
        <v>19</v>
      </c>
      <c r="P55" s="66"/>
      <c r="Q55" s="66"/>
      <c r="R55" s="18">
        <v>2900</v>
      </c>
      <c r="S55" s="66"/>
      <c r="T55" s="66"/>
      <c r="U55" s="66"/>
      <c r="V55" s="66"/>
      <c r="W55" s="62">
        <f t="shared" si="4"/>
        <v>0</v>
      </c>
      <c r="X55" s="140">
        <v>1298</v>
      </c>
      <c r="Y55" s="141">
        <v>1441.99</v>
      </c>
      <c r="Z55" s="185">
        <f t="shared" si="5"/>
        <v>3764200</v>
      </c>
      <c r="AA55" s="65">
        <f t="shared" si="3"/>
        <v>0</v>
      </c>
      <c r="AB55" s="103"/>
    </row>
    <row r="56" spans="1:28" s="4" customFormat="1" x14ac:dyDescent="0.25">
      <c r="A56" s="343" t="s">
        <v>1615</v>
      </c>
      <c r="B56" s="66" t="s">
        <v>1616</v>
      </c>
      <c r="C56" s="66">
        <v>1500</v>
      </c>
      <c r="D56" s="66">
        <v>1200</v>
      </c>
      <c r="E56" s="66">
        <v>1600</v>
      </c>
      <c r="F56" s="18">
        <v>1600</v>
      </c>
      <c r="G56" s="54">
        <f>VLOOKUP(A56,'[1]yourspreadsheetname (1)'!$A$2:$C$968, 3, FALSE)</f>
        <v>5500</v>
      </c>
      <c r="H56" s="273">
        <v>9600</v>
      </c>
      <c r="I56" s="401"/>
      <c r="J56" s="494" t="s">
        <v>486</v>
      </c>
      <c r="K56" s="199">
        <v>756478</v>
      </c>
      <c r="L56" s="64"/>
      <c r="M56" s="66" t="s">
        <v>259</v>
      </c>
      <c r="N56" s="273" t="s">
        <v>1587</v>
      </c>
      <c r="O56" s="66">
        <v>20</v>
      </c>
      <c r="P56" s="66" t="s">
        <v>1608</v>
      </c>
      <c r="Q56" s="66"/>
      <c r="R56" s="18">
        <v>9300</v>
      </c>
      <c r="S56" s="66"/>
      <c r="T56" s="66"/>
      <c r="U56" s="66">
        <v>9300</v>
      </c>
      <c r="V56" s="66"/>
      <c r="W56" s="62">
        <f t="shared" si="4"/>
        <v>9300</v>
      </c>
      <c r="X56" s="140">
        <v>114.4</v>
      </c>
      <c r="Y56" s="141">
        <v>137.13999999999999</v>
      </c>
      <c r="Z56" s="185">
        <f t="shared" si="5"/>
        <v>1063920</v>
      </c>
      <c r="AA56" s="65">
        <f t="shared" si="3"/>
        <v>1275401.9999999998</v>
      </c>
      <c r="AB56" s="103"/>
    </row>
    <row r="57" spans="1:28" s="4" customFormat="1" x14ac:dyDescent="0.25">
      <c r="A57" s="66" t="s">
        <v>1617</v>
      </c>
      <c r="B57" s="54" t="s">
        <v>1618</v>
      </c>
      <c r="C57" s="54"/>
      <c r="D57" s="66">
        <v>165</v>
      </c>
      <c r="E57" s="66">
        <v>250</v>
      </c>
      <c r="F57" s="18">
        <v>200</v>
      </c>
      <c r="G57" s="54">
        <f>VLOOKUP(A57,'[1]yourspreadsheetname (1)'!$A$2:$C$968, 3, FALSE)</f>
        <v>1520</v>
      </c>
      <c r="H57" s="273">
        <v>1500</v>
      </c>
      <c r="I57" s="401"/>
      <c r="J57" s="494" t="s">
        <v>486</v>
      </c>
      <c r="K57" s="199">
        <v>756478</v>
      </c>
      <c r="L57" s="64"/>
      <c r="M57" s="66" t="s">
        <v>688</v>
      </c>
      <c r="N57" s="273" t="s">
        <v>1587</v>
      </c>
      <c r="O57" s="66">
        <v>21</v>
      </c>
      <c r="P57" s="66" t="s">
        <v>1593</v>
      </c>
      <c r="Q57" s="66"/>
      <c r="R57" s="18">
        <v>800</v>
      </c>
      <c r="S57" s="66"/>
      <c r="T57" s="66"/>
      <c r="U57" s="66">
        <v>800</v>
      </c>
      <c r="V57" s="66"/>
      <c r="W57" s="62">
        <f t="shared" si="4"/>
        <v>800</v>
      </c>
      <c r="X57" s="140">
        <v>689</v>
      </c>
      <c r="Y57" s="141">
        <v>690</v>
      </c>
      <c r="Z57" s="185">
        <f t="shared" si="5"/>
        <v>551200</v>
      </c>
      <c r="AA57" s="65">
        <f t="shared" si="3"/>
        <v>552000</v>
      </c>
      <c r="AB57" s="37"/>
    </row>
    <row r="58" spans="1:28" s="4" customFormat="1" x14ac:dyDescent="0.25">
      <c r="A58" s="66" t="s">
        <v>1619</v>
      </c>
      <c r="B58" s="54" t="s">
        <v>1620</v>
      </c>
      <c r="C58" s="214">
        <v>300</v>
      </c>
      <c r="D58" s="66">
        <v>260</v>
      </c>
      <c r="E58" s="62">
        <v>300</v>
      </c>
      <c r="F58" s="7">
        <v>500</v>
      </c>
      <c r="G58" s="54">
        <f>VLOOKUP(A58,'[1]yourspreadsheetname (1)'!$A$2:$C$968, 3, FALSE)</f>
        <v>0</v>
      </c>
      <c r="H58" s="273">
        <v>1800</v>
      </c>
      <c r="I58" s="396"/>
      <c r="J58" s="494" t="s">
        <v>486</v>
      </c>
      <c r="K58" s="199">
        <v>756478</v>
      </c>
      <c r="L58" s="170"/>
      <c r="M58" s="66" t="s">
        <v>293</v>
      </c>
      <c r="N58" s="273" t="s">
        <v>1587</v>
      </c>
      <c r="O58" s="66">
        <v>22</v>
      </c>
      <c r="P58" s="63" t="s">
        <v>1590</v>
      </c>
      <c r="Q58" s="63"/>
      <c r="R58" s="18">
        <v>3800</v>
      </c>
      <c r="S58" s="66">
        <v>1800</v>
      </c>
      <c r="T58" s="66"/>
      <c r="U58" s="66">
        <v>1800</v>
      </c>
      <c r="V58" s="66"/>
      <c r="W58" s="62">
        <f t="shared" si="4"/>
        <v>1800</v>
      </c>
      <c r="X58" s="140">
        <v>144.6</v>
      </c>
      <c r="Y58" s="141">
        <v>112.7</v>
      </c>
      <c r="Z58" s="185">
        <f t="shared" si="5"/>
        <v>549480</v>
      </c>
      <c r="AA58" s="65">
        <f t="shared" si="3"/>
        <v>202860</v>
      </c>
      <c r="AB58" s="103"/>
    </row>
    <row r="59" spans="1:28" s="4" customFormat="1" x14ac:dyDescent="0.25">
      <c r="A59" s="66" t="s">
        <v>1621</v>
      </c>
      <c r="B59" s="54" t="s">
        <v>1622</v>
      </c>
      <c r="C59" s="54">
        <v>2500</v>
      </c>
      <c r="D59" s="66">
        <v>2100</v>
      </c>
      <c r="E59" s="66">
        <v>2500</v>
      </c>
      <c r="F59" s="18">
        <v>3500</v>
      </c>
      <c r="G59" s="54">
        <f>VLOOKUP(A59,'[1]yourspreadsheetname (1)'!$A$2:$C$968, 3, FALSE)</f>
        <v>5000</v>
      </c>
      <c r="H59" s="273">
        <v>15000</v>
      </c>
      <c r="I59" s="403"/>
      <c r="J59" s="384" t="s">
        <v>122</v>
      </c>
      <c r="K59" s="199">
        <v>756478</v>
      </c>
      <c r="L59" s="64"/>
      <c r="M59" s="66" t="s">
        <v>263</v>
      </c>
      <c r="N59" s="273" t="s">
        <v>1587</v>
      </c>
      <c r="O59" s="66">
        <v>23</v>
      </c>
      <c r="P59" s="54" t="s">
        <v>1596</v>
      </c>
      <c r="Q59" s="63"/>
      <c r="R59" s="18">
        <v>24000</v>
      </c>
      <c r="S59" s="66"/>
      <c r="T59" s="66"/>
      <c r="U59" s="66">
        <v>24000</v>
      </c>
      <c r="V59" s="66"/>
      <c r="W59" s="62">
        <f t="shared" si="4"/>
        <v>24000</v>
      </c>
      <c r="X59" s="140">
        <v>210</v>
      </c>
      <c r="Y59" s="141">
        <v>199.99</v>
      </c>
      <c r="Z59" s="185">
        <f t="shared" si="5"/>
        <v>5040000</v>
      </c>
      <c r="AA59" s="65">
        <f t="shared" si="3"/>
        <v>4799760</v>
      </c>
      <c r="AB59" s="103"/>
    </row>
    <row r="60" spans="1:28" s="4" customFormat="1" x14ac:dyDescent="0.25">
      <c r="A60" s="66" t="s">
        <v>1623</v>
      </c>
      <c r="B60" s="54" t="s">
        <v>1624</v>
      </c>
      <c r="C60" s="54">
        <v>12000</v>
      </c>
      <c r="D60" s="66">
        <v>20600</v>
      </c>
      <c r="E60" s="66">
        <v>21000</v>
      </c>
      <c r="F60" s="18">
        <v>21000</v>
      </c>
      <c r="G60" s="54">
        <f>VLOOKUP(A60,'[1]yourspreadsheetname (1)'!$A$2:$C$968, 3, FALSE)</f>
        <v>35779</v>
      </c>
      <c r="H60" s="273">
        <v>166300</v>
      </c>
      <c r="I60" s="401"/>
      <c r="J60" s="384" t="s">
        <v>122</v>
      </c>
      <c r="K60" s="199">
        <v>756478</v>
      </c>
      <c r="L60" s="64"/>
      <c r="M60" s="66" t="s">
        <v>263</v>
      </c>
      <c r="N60" s="273" t="s">
        <v>1587</v>
      </c>
      <c r="O60" s="66">
        <v>24</v>
      </c>
      <c r="P60" s="54" t="s">
        <v>1596</v>
      </c>
      <c r="Q60" s="63"/>
      <c r="R60" s="18">
        <v>140000</v>
      </c>
      <c r="S60" s="66"/>
      <c r="T60" s="66"/>
      <c r="U60" s="66">
        <v>140000</v>
      </c>
      <c r="V60" s="63"/>
      <c r="W60" s="62">
        <f t="shared" si="4"/>
        <v>140000</v>
      </c>
      <c r="X60" s="140">
        <v>39.5</v>
      </c>
      <c r="Y60" s="141">
        <v>33.99</v>
      </c>
      <c r="Z60" s="185">
        <f t="shared" si="5"/>
        <v>5530000</v>
      </c>
      <c r="AA60" s="65">
        <f t="shared" si="3"/>
        <v>4758600</v>
      </c>
      <c r="AB60" s="38"/>
    </row>
    <row r="61" spans="1:28" s="4" customFormat="1" x14ac:dyDescent="0.25">
      <c r="A61" s="66" t="s">
        <v>1625</v>
      </c>
      <c r="B61" s="54" t="s">
        <v>1626</v>
      </c>
      <c r="C61" s="54">
        <v>9000</v>
      </c>
      <c r="D61" s="66">
        <v>13600</v>
      </c>
      <c r="E61" s="66">
        <v>20000</v>
      </c>
      <c r="F61" s="390">
        <v>20000</v>
      </c>
      <c r="G61" s="54">
        <f>VLOOKUP(A61,'[1]yourspreadsheetname (1)'!$A$2:$C$968, 3, FALSE)</f>
        <v>31200</v>
      </c>
      <c r="H61" s="273">
        <v>120000</v>
      </c>
      <c r="I61" s="399"/>
      <c r="J61" s="494" t="s">
        <v>486</v>
      </c>
      <c r="K61" s="199">
        <v>756478</v>
      </c>
      <c r="L61" s="64"/>
      <c r="M61" s="66" t="s">
        <v>293</v>
      </c>
      <c r="N61" s="273" t="s">
        <v>1587</v>
      </c>
      <c r="O61" s="66">
        <v>25</v>
      </c>
      <c r="P61" s="63" t="s">
        <v>1590</v>
      </c>
      <c r="Q61" s="63"/>
      <c r="R61" s="18">
        <v>140000</v>
      </c>
      <c r="S61" s="66">
        <v>70000</v>
      </c>
      <c r="T61" s="66"/>
      <c r="U61" s="66">
        <v>70000</v>
      </c>
      <c r="V61" s="63"/>
      <c r="W61" s="62">
        <f t="shared" si="4"/>
        <v>70000</v>
      </c>
      <c r="X61" s="140">
        <v>36.25</v>
      </c>
      <c r="Y61" s="141">
        <v>35.1</v>
      </c>
      <c r="Z61" s="185">
        <f t="shared" si="5"/>
        <v>5075000</v>
      </c>
      <c r="AA61" s="65">
        <f t="shared" si="3"/>
        <v>2457000</v>
      </c>
      <c r="AB61" s="38"/>
    </row>
    <row r="62" spans="1:28" s="4" customFormat="1" x14ac:dyDescent="0.25">
      <c r="A62" s="273" t="s">
        <v>1627</v>
      </c>
      <c r="B62" s="273" t="s">
        <v>1628</v>
      </c>
      <c r="C62" s="273" t="s">
        <v>782</v>
      </c>
      <c r="D62" s="66"/>
      <c r="E62" s="66">
        <v>25</v>
      </c>
      <c r="F62" s="18">
        <v>25</v>
      </c>
      <c r="G62" s="54">
        <f>VLOOKUP(A62,'[1]yourspreadsheetname (1)'!$A$2:$C$968, 3, FALSE)</f>
        <v>75</v>
      </c>
      <c r="H62" s="273">
        <v>200</v>
      </c>
      <c r="I62" s="401"/>
      <c r="J62" s="494" t="s">
        <v>486</v>
      </c>
      <c r="K62" s="199">
        <v>756478</v>
      </c>
      <c r="L62" s="66"/>
      <c r="M62" s="66" t="s">
        <v>293</v>
      </c>
      <c r="N62" s="273" t="s">
        <v>1587</v>
      </c>
      <c r="O62" s="66">
        <v>26</v>
      </c>
      <c r="P62" s="63" t="s">
        <v>1590</v>
      </c>
      <c r="Q62" s="66"/>
      <c r="R62" s="18">
        <v>150</v>
      </c>
      <c r="S62" s="66">
        <v>100</v>
      </c>
      <c r="T62" s="66"/>
      <c r="U62" s="262" t="s">
        <v>1629</v>
      </c>
      <c r="V62" s="292"/>
      <c r="W62" s="62">
        <f t="shared" si="4"/>
        <v>100</v>
      </c>
      <c r="X62" s="140">
        <v>3780</v>
      </c>
      <c r="Y62" s="141">
        <v>2278</v>
      </c>
      <c r="Z62" s="185">
        <f t="shared" si="5"/>
        <v>567000</v>
      </c>
      <c r="AA62" s="65">
        <f t="shared" si="3"/>
        <v>227800</v>
      </c>
      <c r="AB62" s="103"/>
    </row>
    <row r="63" spans="1:28" s="4" customFormat="1" x14ac:dyDescent="0.25">
      <c r="A63" s="105" t="s">
        <v>209</v>
      </c>
      <c r="B63" s="66" t="s">
        <v>1630</v>
      </c>
      <c r="C63" s="54"/>
      <c r="D63" s="66"/>
      <c r="E63" s="66">
        <v>3000</v>
      </c>
      <c r="F63" s="18">
        <v>3500</v>
      </c>
      <c r="G63" s="54">
        <f>VLOOKUP(A63,'[1]yourspreadsheetname (1)'!$A$2:$C$968, 3, FALSE)</f>
        <v>400</v>
      </c>
      <c r="H63" s="273">
        <v>28250</v>
      </c>
      <c r="I63" s="396"/>
      <c r="J63" s="494" t="s">
        <v>486</v>
      </c>
      <c r="K63" s="199">
        <v>756478</v>
      </c>
      <c r="L63" s="64"/>
      <c r="M63" s="66" t="s">
        <v>263</v>
      </c>
      <c r="N63" s="273" t="s">
        <v>1587</v>
      </c>
      <c r="O63" s="66">
        <v>27</v>
      </c>
      <c r="P63" s="54" t="s">
        <v>1596</v>
      </c>
      <c r="Q63" s="63"/>
      <c r="R63" s="18">
        <v>26000</v>
      </c>
      <c r="S63" s="66">
        <v>15000</v>
      </c>
      <c r="T63" s="66"/>
      <c r="U63" s="66">
        <v>15000</v>
      </c>
      <c r="V63" s="66"/>
      <c r="W63" s="62">
        <f t="shared" si="4"/>
        <v>15000</v>
      </c>
      <c r="X63" s="140">
        <v>61.87</v>
      </c>
      <c r="Y63" s="141">
        <v>71.59</v>
      </c>
      <c r="Z63" s="185">
        <f t="shared" si="5"/>
        <v>1608620</v>
      </c>
      <c r="AA63" s="65">
        <f t="shared" si="3"/>
        <v>1073850</v>
      </c>
      <c r="AB63" s="103"/>
    </row>
    <row r="64" spans="1:28" s="4" customFormat="1" x14ac:dyDescent="0.25">
      <c r="A64" s="68" t="s">
        <v>1514</v>
      </c>
      <c r="B64" s="66" t="s">
        <v>1631</v>
      </c>
      <c r="C64" s="66"/>
      <c r="D64" s="66">
        <v>200</v>
      </c>
      <c r="E64" s="66">
        <v>350</v>
      </c>
      <c r="F64" s="18">
        <v>350</v>
      </c>
      <c r="G64" s="54">
        <f>VLOOKUP(A64,'[1]yourspreadsheetname (1)'!$A$2:$C$968, 3, FALSE)</f>
        <v>1720</v>
      </c>
      <c r="H64" s="273">
        <v>1500</v>
      </c>
      <c r="I64" s="401"/>
      <c r="J64" s="494" t="s">
        <v>486</v>
      </c>
      <c r="K64" s="199">
        <v>756478</v>
      </c>
      <c r="L64" s="66"/>
      <c r="M64" s="64" t="s">
        <v>263</v>
      </c>
      <c r="N64" s="273" t="s">
        <v>1587</v>
      </c>
      <c r="O64" s="66">
        <v>28</v>
      </c>
      <c r="P64" s="54" t="s">
        <v>1596</v>
      </c>
      <c r="Q64" s="66"/>
      <c r="R64" s="18">
        <v>1800</v>
      </c>
      <c r="S64" s="186">
        <v>1500</v>
      </c>
      <c r="T64" s="186"/>
      <c r="U64" s="66">
        <v>1500</v>
      </c>
      <c r="V64" s="66"/>
      <c r="W64" s="62">
        <f t="shared" si="4"/>
        <v>1500</v>
      </c>
      <c r="X64" s="140">
        <v>4239</v>
      </c>
      <c r="Y64" s="141">
        <v>3895</v>
      </c>
      <c r="Z64" s="185">
        <f t="shared" si="5"/>
        <v>7630200</v>
      </c>
      <c r="AA64" s="65">
        <f t="shared" si="3"/>
        <v>5842500</v>
      </c>
      <c r="AB64" s="37"/>
    </row>
    <row r="65" spans="1:28" s="4" customFormat="1" x14ac:dyDescent="0.25">
      <c r="A65" s="55" t="s">
        <v>499</v>
      </c>
      <c r="B65" s="55" t="s">
        <v>500</v>
      </c>
      <c r="C65" s="55">
        <v>120</v>
      </c>
      <c r="D65" s="55">
        <v>20</v>
      </c>
      <c r="E65" s="55">
        <v>25</v>
      </c>
      <c r="F65" s="55">
        <v>25</v>
      </c>
      <c r="G65" s="92" t="e">
        <f>VLOOKUP(A65,'[1]yourspreadsheetname (1)'!$A$2:$C$968, 3, FALSE)</f>
        <v>#N/A</v>
      </c>
      <c r="H65" s="421">
        <v>400</v>
      </c>
      <c r="I65" s="503"/>
      <c r="J65" s="502" t="s">
        <v>486</v>
      </c>
      <c r="K65" s="503">
        <v>756478</v>
      </c>
      <c r="L65" s="93"/>
      <c r="M65" s="55" t="s">
        <v>272</v>
      </c>
      <c r="N65" s="273" t="s">
        <v>1587</v>
      </c>
      <c r="O65" s="66">
        <v>29</v>
      </c>
      <c r="P65" s="66"/>
      <c r="Q65" s="66"/>
      <c r="R65" s="18">
        <v>140</v>
      </c>
      <c r="S65" s="66"/>
      <c r="T65" s="66"/>
      <c r="U65" s="66"/>
      <c r="V65" s="66"/>
      <c r="W65" s="62">
        <f t="shared" si="4"/>
        <v>0</v>
      </c>
      <c r="X65" s="140">
        <v>520.15</v>
      </c>
      <c r="Y65" s="141">
        <v>892.82</v>
      </c>
      <c r="Z65" s="185">
        <f t="shared" si="5"/>
        <v>72821</v>
      </c>
      <c r="AA65" s="65">
        <f t="shared" si="3"/>
        <v>0</v>
      </c>
      <c r="AB65" s="22"/>
    </row>
    <row r="66" spans="1:28" s="4" customFormat="1" x14ac:dyDescent="0.25">
      <c r="A66" s="66" t="s">
        <v>1632</v>
      </c>
      <c r="B66" s="54" t="s">
        <v>1633</v>
      </c>
      <c r="C66" s="54">
        <v>1400</v>
      </c>
      <c r="D66" s="66">
        <v>1686</v>
      </c>
      <c r="E66" s="66">
        <v>2000</v>
      </c>
      <c r="F66" s="18">
        <v>2600</v>
      </c>
      <c r="G66" s="54">
        <f>VLOOKUP(A66,'[1]yourspreadsheetname (1)'!$A$2:$C$968, 3, FALSE)</f>
        <v>10950</v>
      </c>
      <c r="H66" s="273">
        <v>12000</v>
      </c>
      <c r="I66" s="396"/>
      <c r="J66" s="494" t="s">
        <v>486</v>
      </c>
      <c r="K66" s="199">
        <v>756478</v>
      </c>
      <c r="L66" s="64"/>
      <c r="M66" s="66" t="s">
        <v>293</v>
      </c>
      <c r="N66" s="273" t="s">
        <v>1587</v>
      </c>
      <c r="O66" s="66">
        <v>30</v>
      </c>
      <c r="P66" s="63" t="s">
        <v>1590</v>
      </c>
      <c r="Q66" s="66"/>
      <c r="R66" s="18">
        <v>14000</v>
      </c>
      <c r="S66" s="66"/>
      <c r="T66" s="66"/>
      <c r="U66" s="66">
        <v>14000</v>
      </c>
      <c r="V66" s="66"/>
      <c r="W66" s="62">
        <f t="shared" si="4"/>
        <v>14000</v>
      </c>
      <c r="X66" s="140">
        <v>299</v>
      </c>
      <c r="Y66" s="141">
        <v>287.60000000000002</v>
      </c>
      <c r="Z66" s="185">
        <f t="shared" si="5"/>
        <v>4186000</v>
      </c>
      <c r="AA66" s="65">
        <f t="shared" si="3"/>
        <v>4026400.0000000005</v>
      </c>
      <c r="AB66" s="680"/>
    </row>
    <row r="67" spans="1:28" s="4" customFormat="1" x14ac:dyDescent="0.25">
      <c r="A67" s="66" t="s">
        <v>1634</v>
      </c>
      <c r="B67" s="54" t="s">
        <v>1635</v>
      </c>
      <c r="C67" s="54"/>
      <c r="D67" s="66">
        <v>1400</v>
      </c>
      <c r="E67" s="66">
        <v>2000</v>
      </c>
      <c r="F67" s="18">
        <v>2500</v>
      </c>
      <c r="G67" s="54">
        <f>VLOOKUP(A67,'[1]yourspreadsheetname (1)'!$A$2:$C$968, 3, FALSE)</f>
        <v>11000</v>
      </c>
      <c r="H67" s="273">
        <v>12000</v>
      </c>
      <c r="I67" s="401"/>
      <c r="J67" s="384" t="s">
        <v>122</v>
      </c>
      <c r="K67" s="199">
        <v>756478</v>
      </c>
      <c r="L67" s="64"/>
      <c r="M67" s="66" t="s">
        <v>293</v>
      </c>
      <c r="N67" s="273" t="s">
        <v>1587</v>
      </c>
      <c r="O67" s="66">
        <v>31</v>
      </c>
      <c r="P67" s="63" t="s">
        <v>1590</v>
      </c>
      <c r="Q67" s="66"/>
      <c r="R67" s="18">
        <v>13000</v>
      </c>
      <c r="S67" s="66"/>
      <c r="T67" s="66"/>
      <c r="U67" s="66">
        <v>13000</v>
      </c>
      <c r="V67" s="63"/>
      <c r="W67" s="62">
        <f t="shared" ref="W67:W71" si="6">U67+V67</f>
        <v>13000</v>
      </c>
      <c r="X67" s="140">
        <v>146</v>
      </c>
      <c r="Y67" s="141">
        <v>118.9</v>
      </c>
      <c r="Z67" s="185">
        <f t="shared" si="5"/>
        <v>1898000</v>
      </c>
      <c r="AA67" s="65">
        <f t="shared" si="3"/>
        <v>1545700</v>
      </c>
      <c r="AB67" s="38"/>
    </row>
    <row r="68" spans="1:28" x14ac:dyDescent="0.25">
      <c r="A68" s="212" t="s">
        <v>1636</v>
      </c>
      <c r="B68" s="66" t="s">
        <v>1637</v>
      </c>
      <c r="C68" s="54"/>
      <c r="D68" s="66"/>
      <c r="E68" s="66">
        <v>600</v>
      </c>
      <c r="F68" s="488">
        <v>600</v>
      </c>
      <c r="G68" s="54">
        <f>VLOOKUP(A68,'[1]yourspreadsheetname (1)'!$A$2:$C$968, 3, FALSE)</f>
        <v>0</v>
      </c>
      <c r="H68" s="273">
        <v>3600</v>
      </c>
      <c r="I68" s="400"/>
      <c r="J68" s="494" t="s">
        <v>486</v>
      </c>
      <c r="K68" s="199">
        <v>756478</v>
      </c>
      <c r="L68" s="66"/>
      <c r="M68" s="63" t="s">
        <v>293</v>
      </c>
      <c r="N68" s="273" t="s">
        <v>1587</v>
      </c>
      <c r="O68" s="66">
        <v>32</v>
      </c>
      <c r="P68" s="63" t="s">
        <v>1590</v>
      </c>
      <c r="Q68" s="66"/>
      <c r="R68" s="18">
        <v>5000</v>
      </c>
      <c r="S68" s="66"/>
      <c r="T68" s="66"/>
      <c r="U68" s="66">
        <v>5000</v>
      </c>
      <c r="V68" s="63"/>
      <c r="W68" s="62">
        <f t="shared" si="6"/>
        <v>5000</v>
      </c>
      <c r="X68" s="140">
        <v>253.8</v>
      </c>
      <c r="Y68" s="141">
        <v>114.97</v>
      </c>
      <c r="Z68" s="185">
        <f t="shared" si="5"/>
        <v>1269000</v>
      </c>
      <c r="AA68" s="65">
        <f t="shared" si="3"/>
        <v>574850</v>
      </c>
      <c r="AB68" s="38"/>
    </row>
    <row r="69" spans="1:28" x14ac:dyDescent="0.25">
      <c r="A69" s="66" t="s">
        <v>1638</v>
      </c>
      <c r="B69" s="66" t="s">
        <v>1639</v>
      </c>
      <c r="C69" s="54"/>
      <c r="D69" s="66"/>
      <c r="E69" s="66">
        <v>10</v>
      </c>
      <c r="F69" s="18">
        <v>15</v>
      </c>
      <c r="G69" s="54">
        <f>VLOOKUP(A69,'[1]yourspreadsheetname (1)'!$A$2:$C$968, 3, FALSE)</f>
        <v>90</v>
      </c>
      <c r="H69" s="273">
        <v>160</v>
      </c>
      <c r="I69" s="401"/>
      <c r="J69" s="494" t="s">
        <v>486</v>
      </c>
      <c r="K69" s="199">
        <v>756478</v>
      </c>
      <c r="L69" s="64"/>
      <c r="M69" s="66" t="s">
        <v>259</v>
      </c>
      <c r="N69" s="273" t="s">
        <v>1587</v>
      </c>
      <c r="O69" s="66">
        <v>33</v>
      </c>
      <c r="P69" s="66" t="s">
        <v>1608</v>
      </c>
      <c r="Q69" s="66"/>
      <c r="R69" s="18">
        <v>100</v>
      </c>
      <c r="S69" s="66"/>
      <c r="T69" s="66"/>
      <c r="U69" s="66">
        <v>100</v>
      </c>
      <c r="V69" s="63"/>
      <c r="W69" s="62">
        <f t="shared" si="6"/>
        <v>100</v>
      </c>
      <c r="X69" s="140">
        <v>3477.24</v>
      </c>
      <c r="Y69" s="141">
        <v>3894.5</v>
      </c>
      <c r="Z69" s="185">
        <f t="shared" si="5"/>
        <v>347724</v>
      </c>
      <c r="AA69" s="65">
        <f t="shared" si="3"/>
        <v>389450</v>
      </c>
      <c r="AB69" s="38"/>
    </row>
    <row r="70" spans="1:28" s="4" customFormat="1" x14ac:dyDescent="0.25">
      <c r="A70" s="66"/>
      <c r="B70" s="385" t="s">
        <v>1640</v>
      </c>
      <c r="C70" s="66"/>
      <c r="D70" s="66"/>
      <c r="E70" s="66">
        <v>0</v>
      </c>
      <c r="F70" s="18">
        <v>0</v>
      </c>
      <c r="G70" s="54" t="e">
        <f>VLOOKUP(A70,'[1]yourspreadsheetname (1)'!$A$2:$C$968, 3, FALSE)</f>
        <v>#N/A</v>
      </c>
      <c r="H70" s="273">
        <v>0</v>
      </c>
      <c r="I70" s="403"/>
      <c r="J70" s="384" t="s">
        <v>122</v>
      </c>
      <c r="K70" s="198"/>
      <c r="L70" s="170"/>
      <c r="M70" s="63"/>
      <c r="N70" s="64"/>
      <c r="O70" s="18"/>
      <c r="P70" s="54"/>
      <c r="Q70" s="63"/>
      <c r="R70" s="18">
        <v>0</v>
      </c>
      <c r="S70" s="66"/>
      <c r="T70" s="66"/>
      <c r="U70" s="66"/>
      <c r="V70" s="66"/>
      <c r="W70" s="62">
        <f t="shared" si="6"/>
        <v>0</v>
      </c>
      <c r="X70" s="140"/>
      <c r="Y70" s="141"/>
      <c r="Z70" s="185">
        <f t="shared" si="5"/>
        <v>0</v>
      </c>
      <c r="AA70" s="65">
        <f t="shared" si="3"/>
        <v>0</v>
      </c>
      <c r="AB70" s="103"/>
    </row>
    <row r="71" spans="1:28" x14ac:dyDescent="0.25">
      <c r="A71" s="273"/>
      <c r="B71" s="66" t="s">
        <v>1641</v>
      </c>
      <c r="C71" s="54"/>
      <c r="D71" s="170"/>
      <c r="E71" s="173">
        <v>0</v>
      </c>
      <c r="F71" s="76"/>
      <c r="G71" s="54">
        <v>0</v>
      </c>
      <c r="H71" s="273">
        <v>0</v>
      </c>
      <c r="I71" s="22"/>
      <c r="J71" s="384" t="s">
        <v>122</v>
      </c>
      <c r="K71" s="199"/>
      <c r="L71" s="64"/>
      <c r="M71" s="66"/>
      <c r="N71" s="66"/>
      <c r="O71" s="66"/>
      <c r="P71" s="66"/>
      <c r="Q71" s="66"/>
      <c r="R71" s="18">
        <v>0</v>
      </c>
      <c r="S71" s="66"/>
      <c r="T71" s="66"/>
      <c r="U71" s="66"/>
      <c r="V71" s="67"/>
      <c r="W71" s="62">
        <f t="shared" si="6"/>
        <v>0</v>
      </c>
      <c r="X71" s="140"/>
      <c r="Y71" s="141"/>
      <c r="Z71" s="65">
        <f t="shared" si="5"/>
        <v>0</v>
      </c>
      <c r="AA71" s="65">
        <f t="shared" si="3"/>
        <v>0</v>
      </c>
      <c r="AB71" s="680"/>
    </row>
    <row r="72" spans="1:28" x14ac:dyDescent="0.25">
      <c r="A72" s="273"/>
      <c r="B72" s="66" t="s">
        <v>1642</v>
      </c>
      <c r="C72" s="54"/>
      <c r="D72" s="170"/>
      <c r="E72" s="173"/>
      <c r="F72" s="76"/>
      <c r="G72" s="54"/>
      <c r="H72" s="273"/>
      <c r="I72" s="22"/>
      <c r="J72" s="384"/>
      <c r="K72" s="199"/>
      <c r="L72" s="64"/>
      <c r="M72" s="66"/>
      <c r="N72" s="66"/>
      <c r="O72" s="66"/>
      <c r="P72" s="66"/>
      <c r="Q72" s="66"/>
      <c r="R72" s="18"/>
      <c r="S72" s="66"/>
      <c r="T72" s="66"/>
      <c r="U72" s="66"/>
      <c r="V72" s="67"/>
      <c r="W72" s="62"/>
      <c r="X72" s="140"/>
      <c r="Y72" s="141"/>
      <c r="Z72" s="65"/>
      <c r="AA72" s="65"/>
      <c r="AB72" s="680"/>
    </row>
    <row r="73" spans="1:28" s="4" customFormat="1" x14ac:dyDescent="0.25">
      <c r="A73" s="273" t="s">
        <v>1643</v>
      </c>
      <c r="B73" s="66" t="s">
        <v>1644</v>
      </c>
      <c r="C73" s="54"/>
      <c r="D73" s="170"/>
      <c r="E73" s="173">
        <v>0</v>
      </c>
      <c r="F73" s="76">
        <v>60</v>
      </c>
      <c r="G73" s="54" t="e">
        <f>VLOOKUP(A73,'[1]yourspreadsheetname (1)'!$A$2:$C$968, 3, FALSE)</f>
        <v>#N/A</v>
      </c>
      <c r="H73" s="273">
        <v>360</v>
      </c>
      <c r="I73" s="398"/>
      <c r="J73" s="384" t="s">
        <v>122</v>
      </c>
      <c r="K73" s="199"/>
      <c r="L73" s="64"/>
      <c r="M73" s="66"/>
      <c r="N73" s="273"/>
      <c r="O73" s="66"/>
      <c r="P73" s="66"/>
      <c r="Q73" s="66"/>
      <c r="R73" s="18">
        <v>0</v>
      </c>
      <c r="S73" s="66"/>
      <c r="T73" s="66"/>
      <c r="U73" s="66"/>
      <c r="V73" s="67"/>
      <c r="W73" s="62">
        <f t="shared" ref="W73:W78" si="7">U73+V73</f>
        <v>0</v>
      </c>
      <c r="X73" s="140">
        <v>2260</v>
      </c>
      <c r="Y73" s="141">
        <v>3120</v>
      </c>
      <c r="Z73" s="65">
        <f t="shared" ref="Z73:Z78" si="8">R73*X73</f>
        <v>0</v>
      </c>
      <c r="AA73" s="65">
        <f t="shared" ref="AA73:AA78" si="9">W73*Y73</f>
        <v>0</v>
      </c>
      <c r="AB73" s="103"/>
    </row>
    <row r="74" spans="1:28" s="4" customFormat="1" x14ac:dyDescent="0.25">
      <c r="A74" s="66"/>
      <c r="B74" s="385" t="s">
        <v>1645</v>
      </c>
      <c r="C74" s="66"/>
      <c r="D74" s="171"/>
      <c r="E74" s="171">
        <v>0</v>
      </c>
      <c r="F74" s="76">
        <v>60</v>
      </c>
      <c r="G74" s="54" t="e">
        <f>VLOOKUP(A74,'[1]yourspreadsheetname (1)'!$A$2:$C$968, 3, FALSE)</f>
        <v>#N/A</v>
      </c>
      <c r="H74" s="273">
        <v>0</v>
      </c>
      <c r="I74" s="398"/>
      <c r="J74" s="384" t="s">
        <v>122</v>
      </c>
      <c r="K74" s="199"/>
      <c r="L74" s="66"/>
      <c r="M74" s="63"/>
      <c r="N74" s="66"/>
      <c r="O74" s="66"/>
      <c r="P74" s="63"/>
      <c r="Q74" s="66"/>
      <c r="R74" s="18">
        <v>0</v>
      </c>
      <c r="S74" s="66"/>
      <c r="T74" s="66"/>
      <c r="U74" s="66"/>
      <c r="V74" s="66"/>
      <c r="W74" s="62">
        <f t="shared" si="7"/>
        <v>0</v>
      </c>
      <c r="X74" s="140">
        <v>2100</v>
      </c>
      <c r="Y74" s="141">
        <v>2439</v>
      </c>
      <c r="Z74" s="65">
        <f t="shared" si="8"/>
        <v>0</v>
      </c>
      <c r="AA74" s="65">
        <f t="shared" si="9"/>
        <v>0</v>
      </c>
      <c r="AB74" s="680"/>
    </row>
    <row r="75" spans="1:28" x14ac:dyDescent="0.25">
      <c r="A75" s="66" t="s">
        <v>1646</v>
      </c>
      <c r="B75" s="66" t="s">
        <v>1647</v>
      </c>
      <c r="C75" s="54"/>
      <c r="D75" s="170"/>
      <c r="E75" s="173">
        <v>0</v>
      </c>
      <c r="F75" s="391">
        <v>10</v>
      </c>
      <c r="G75" s="54" t="e">
        <f>VLOOKUP(A75,'[1]yourspreadsheetname (1)'!$A$2:$C$968, 3, FALSE)</f>
        <v>#N/A</v>
      </c>
      <c r="H75" s="273">
        <v>30</v>
      </c>
      <c r="I75" s="402"/>
      <c r="J75" s="384" t="s">
        <v>122</v>
      </c>
      <c r="K75" s="201"/>
      <c r="L75" s="64"/>
      <c r="M75" s="66"/>
      <c r="N75" s="273"/>
      <c r="O75" s="66"/>
      <c r="P75" s="66"/>
      <c r="Q75" s="63"/>
      <c r="R75" s="18">
        <v>0</v>
      </c>
      <c r="S75" s="66"/>
      <c r="T75" s="66"/>
      <c r="U75" s="66"/>
      <c r="V75" s="63"/>
      <c r="W75" s="62">
        <f t="shared" si="7"/>
        <v>0</v>
      </c>
      <c r="X75" s="140">
        <v>4181.51</v>
      </c>
      <c r="Y75" s="141">
        <v>4848</v>
      </c>
      <c r="Z75" s="65">
        <f t="shared" si="8"/>
        <v>0</v>
      </c>
      <c r="AA75" s="65">
        <f t="shared" si="9"/>
        <v>0</v>
      </c>
      <c r="AB75" s="31"/>
    </row>
    <row r="76" spans="1:28" ht="15" customHeight="1" x14ac:dyDescent="0.25">
      <c r="A76" s="66" t="s">
        <v>1648</v>
      </c>
      <c r="B76" s="66" t="s">
        <v>1649</v>
      </c>
      <c r="C76" s="54"/>
      <c r="D76" s="173"/>
      <c r="E76" s="173">
        <v>0</v>
      </c>
      <c r="F76" s="76">
        <v>60</v>
      </c>
      <c r="G76" s="54">
        <f>VLOOKUP(A76,'[1]yourspreadsheetname (1)'!$A$2:$C$968, 3, FALSE)</f>
        <v>280</v>
      </c>
      <c r="H76" s="273">
        <v>350</v>
      </c>
      <c r="I76" s="401"/>
      <c r="J76" s="384" t="s">
        <v>122</v>
      </c>
      <c r="K76" s="199"/>
      <c r="L76" s="64"/>
      <c r="M76" s="66"/>
      <c r="N76" s="66"/>
      <c r="O76" s="66"/>
      <c r="P76" s="66"/>
      <c r="Q76" s="66"/>
      <c r="R76" s="18">
        <v>0</v>
      </c>
      <c r="S76" s="66"/>
      <c r="T76" s="66"/>
      <c r="U76" s="66"/>
      <c r="V76" s="67"/>
      <c r="W76" s="62">
        <f t="shared" si="7"/>
        <v>0</v>
      </c>
      <c r="X76" s="140"/>
      <c r="Y76" s="141"/>
      <c r="Z76" s="65">
        <f t="shared" si="8"/>
        <v>0</v>
      </c>
      <c r="AA76" s="65">
        <f t="shared" si="9"/>
        <v>0</v>
      </c>
      <c r="AB76" s="31"/>
    </row>
    <row r="77" spans="1:28" x14ac:dyDescent="0.25">
      <c r="A77" s="105" t="s">
        <v>1650</v>
      </c>
      <c r="B77" s="63" t="s">
        <v>1651</v>
      </c>
      <c r="C77" s="386"/>
      <c r="D77" s="66">
        <v>30</v>
      </c>
      <c r="E77" s="66">
        <v>0</v>
      </c>
      <c r="F77" s="18">
        <v>0</v>
      </c>
      <c r="G77" s="54">
        <v>0</v>
      </c>
      <c r="H77" s="273">
        <v>0</v>
      </c>
      <c r="I77" s="396">
        <v>0</v>
      </c>
      <c r="J77" s="384" t="s">
        <v>122</v>
      </c>
      <c r="K77" s="200"/>
      <c r="L77" s="170"/>
      <c r="M77" s="66"/>
      <c r="N77" s="64"/>
      <c r="O77" s="66"/>
      <c r="P77" s="63"/>
      <c r="Q77" s="66"/>
      <c r="R77" s="18">
        <v>0</v>
      </c>
      <c r="S77" s="66"/>
      <c r="T77" s="66"/>
      <c r="U77" s="66"/>
      <c r="V77" s="66"/>
      <c r="W77" s="62">
        <f t="shared" si="7"/>
        <v>0</v>
      </c>
      <c r="X77" s="140"/>
      <c r="Y77" s="141"/>
      <c r="Z77" s="65">
        <f t="shared" si="8"/>
        <v>0</v>
      </c>
      <c r="AA77" s="65">
        <f t="shared" si="9"/>
        <v>0</v>
      </c>
      <c r="AB77" s="31"/>
    </row>
    <row r="78" spans="1:28" s="4" customFormat="1" x14ac:dyDescent="0.25">
      <c r="A78" s="487"/>
      <c r="B78" s="54" t="s">
        <v>1652</v>
      </c>
      <c r="C78" s="54"/>
      <c r="D78" s="66"/>
      <c r="E78" s="66">
        <v>0</v>
      </c>
      <c r="F78" s="18">
        <v>0</v>
      </c>
      <c r="G78" s="54" t="e">
        <f>VLOOKUP(A78,'[1]yourspreadsheetname (1)'!$A$2:$C$968, 3, FALSE)</f>
        <v>#N/A</v>
      </c>
      <c r="H78" s="273">
        <v>0</v>
      </c>
      <c r="I78" s="396"/>
      <c r="J78" s="384" t="s">
        <v>122</v>
      </c>
      <c r="K78" s="200"/>
      <c r="L78" s="170"/>
      <c r="M78" s="66"/>
      <c r="N78" s="64"/>
      <c r="O78" s="66"/>
      <c r="P78" s="66"/>
      <c r="Q78" s="66"/>
      <c r="R78" s="18">
        <v>0</v>
      </c>
      <c r="S78" s="66"/>
      <c r="T78" s="66"/>
      <c r="U78" s="66"/>
      <c r="V78" s="66"/>
      <c r="W78" s="62">
        <f t="shared" si="7"/>
        <v>0</v>
      </c>
      <c r="X78" s="140"/>
      <c r="Y78" s="141"/>
      <c r="Z78" s="65">
        <f t="shared" si="8"/>
        <v>0</v>
      </c>
      <c r="AA78" s="65">
        <f t="shared" si="9"/>
        <v>0</v>
      </c>
      <c r="AB78" s="31"/>
    </row>
    <row r="79" spans="1:28" s="4" customFormat="1" x14ac:dyDescent="0.25">
      <c r="A79" s="487"/>
      <c r="B79" s="66" t="s">
        <v>1653</v>
      </c>
      <c r="C79" s="54"/>
      <c r="D79" s="66"/>
      <c r="E79" s="66"/>
      <c r="F79" s="76">
        <v>60</v>
      </c>
      <c r="G79" s="54"/>
      <c r="H79" s="273"/>
      <c r="I79" s="396"/>
      <c r="J79" s="384"/>
      <c r="K79" s="200"/>
      <c r="L79" s="170"/>
      <c r="M79" s="66"/>
      <c r="N79" s="64"/>
      <c r="O79" s="66"/>
      <c r="P79" s="66"/>
      <c r="Q79" s="66"/>
      <c r="R79" s="18"/>
      <c r="S79" s="66"/>
      <c r="T79" s="66"/>
      <c r="U79" s="66"/>
      <c r="V79" s="66"/>
      <c r="W79" s="62"/>
      <c r="X79" s="140"/>
      <c r="Y79" s="141"/>
      <c r="Z79" s="65"/>
      <c r="AA79" s="65"/>
      <c r="AB79" s="103"/>
    </row>
    <row r="80" spans="1:28" s="4" customFormat="1" x14ac:dyDescent="0.25">
      <c r="A80" s="66" t="s">
        <v>1654</v>
      </c>
      <c r="B80" s="66" t="s">
        <v>1655</v>
      </c>
      <c r="C80" s="66"/>
      <c r="D80" s="66"/>
      <c r="E80" s="66">
        <v>0</v>
      </c>
      <c r="F80" s="76">
        <v>75</v>
      </c>
      <c r="G80" s="54" t="e">
        <f>VLOOKUP(A80,'[1]yourspreadsheetname (1)'!$A$2:$C$968, 3, FALSE)</f>
        <v>#N/A</v>
      </c>
      <c r="H80" s="273">
        <v>700</v>
      </c>
      <c r="I80" s="398"/>
      <c r="J80" s="384" t="s">
        <v>122</v>
      </c>
      <c r="K80" s="199"/>
      <c r="L80" s="170"/>
      <c r="M80" s="63"/>
      <c r="N80" s="64"/>
      <c r="O80" s="66"/>
      <c r="P80" s="63"/>
      <c r="Q80" s="63"/>
      <c r="R80" s="18">
        <v>0</v>
      </c>
      <c r="S80" s="66"/>
      <c r="T80" s="66"/>
      <c r="U80" s="66"/>
      <c r="V80" s="63"/>
      <c r="W80" s="62">
        <f t="shared" ref="W80:W88" si="10">U80+V80</f>
        <v>0</v>
      </c>
      <c r="X80" s="140"/>
      <c r="Y80" s="141"/>
      <c r="Z80" s="65">
        <f t="shared" ref="Z80:Z88" si="11">R80*X80</f>
        <v>0</v>
      </c>
      <c r="AA80" s="65">
        <f t="shared" ref="AA80:AA88" si="12">W80*Y80</f>
        <v>0</v>
      </c>
      <c r="AB80" s="38"/>
    </row>
    <row r="81" spans="1:28" s="4" customFormat="1" x14ac:dyDescent="0.25">
      <c r="A81" s="66"/>
      <c r="B81" s="66" t="s">
        <v>1656</v>
      </c>
      <c r="C81" s="66"/>
      <c r="D81" s="66"/>
      <c r="E81" s="66">
        <v>0</v>
      </c>
      <c r="F81" s="18">
        <v>0</v>
      </c>
      <c r="G81" s="54" t="e">
        <f>VLOOKUP(A81,'[1]yourspreadsheetname (1)'!$A$2:$C$968, 3, FALSE)</f>
        <v>#N/A</v>
      </c>
      <c r="H81" s="273">
        <v>0</v>
      </c>
      <c r="I81" s="396"/>
      <c r="J81" s="384" t="s">
        <v>122</v>
      </c>
      <c r="K81" s="198"/>
      <c r="L81" s="276"/>
      <c r="M81" s="66"/>
      <c r="N81" s="64"/>
      <c r="O81" s="66"/>
      <c r="P81" s="54"/>
      <c r="Q81" s="66"/>
      <c r="R81" s="18">
        <v>0</v>
      </c>
      <c r="S81" s="66"/>
      <c r="T81" s="66"/>
      <c r="U81" s="66"/>
      <c r="V81" s="66"/>
      <c r="W81" s="62">
        <f t="shared" si="10"/>
        <v>0</v>
      </c>
      <c r="X81" s="140"/>
      <c r="Y81" s="141"/>
      <c r="Z81" s="65">
        <f t="shared" si="11"/>
        <v>0</v>
      </c>
      <c r="AA81" s="65">
        <f t="shared" si="12"/>
        <v>0</v>
      </c>
      <c r="AB81" s="31"/>
    </row>
    <row r="82" spans="1:28" s="4" customFormat="1" x14ac:dyDescent="0.25">
      <c r="A82" s="276" t="s">
        <v>1657</v>
      </c>
      <c r="B82" s="54" t="s">
        <v>1658</v>
      </c>
      <c r="C82" s="276"/>
      <c r="D82" s="276"/>
      <c r="E82" s="171">
        <v>0</v>
      </c>
      <c r="F82" s="489">
        <v>25</v>
      </c>
      <c r="G82" s="54" t="e">
        <f>VLOOKUP(A82,'[1]yourspreadsheetname (1)'!$A$2:$C$968, 3, FALSE)</f>
        <v>#N/A</v>
      </c>
      <c r="H82" s="273">
        <v>120</v>
      </c>
      <c r="I82" s="491"/>
      <c r="J82" s="384" t="s">
        <v>122</v>
      </c>
      <c r="K82" s="199"/>
      <c r="L82" s="64"/>
      <c r="M82" s="66"/>
      <c r="N82" s="273"/>
      <c r="O82" s="166"/>
      <c r="P82" s="276"/>
      <c r="Q82" s="276"/>
      <c r="R82" s="18">
        <v>0</v>
      </c>
      <c r="S82" s="276"/>
      <c r="T82" s="171"/>
      <c r="U82" s="276"/>
      <c r="V82" s="276"/>
      <c r="W82" s="62">
        <f t="shared" si="10"/>
        <v>0</v>
      </c>
      <c r="X82" s="140">
        <v>1067.72</v>
      </c>
      <c r="Y82" s="141">
        <v>1625.05</v>
      </c>
      <c r="Z82" s="65">
        <f t="shared" si="11"/>
        <v>0</v>
      </c>
      <c r="AA82" s="65">
        <f t="shared" si="12"/>
        <v>0</v>
      </c>
      <c r="AB82" s="36"/>
    </row>
    <row r="83" spans="1:28" x14ac:dyDescent="0.25">
      <c r="A83" s="105" t="s">
        <v>1659</v>
      </c>
      <c r="B83" s="66" t="s">
        <v>1660</v>
      </c>
      <c r="C83" s="54"/>
      <c r="D83" s="66"/>
      <c r="E83" s="66">
        <v>30</v>
      </c>
      <c r="F83" s="18">
        <v>30</v>
      </c>
      <c r="G83" s="54">
        <f>VLOOKUP(A83,'[1]yourspreadsheetname (1)'!$A$2:$C$968, 3, FALSE)</f>
        <v>0</v>
      </c>
      <c r="H83" s="273">
        <v>0</v>
      </c>
      <c r="I83" s="403"/>
      <c r="J83" s="384" t="s">
        <v>122</v>
      </c>
      <c r="K83" s="198"/>
      <c r="L83" s="170"/>
      <c r="M83" s="63"/>
      <c r="N83" s="64"/>
      <c r="O83" s="66"/>
      <c r="P83" s="54"/>
      <c r="Q83" s="63"/>
      <c r="R83" s="18">
        <v>0</v>
      </c>
      <c r="S83" s="66"/>
      <c r="T83" s="66"/>
      <c r="U83" s="66"/>
      <c r="V83" s="66"/>
      <c r="W83" s="62">
        <f t="shared" si="10"/>
        <v>0</v>
      </c>
      <c r="X83" s="140"/>
      <c r="Y83" s="141"/>
      <c r="Z83" s="65">
        <f t="shared" si="11"/>
        <v>0</v>
      </c>
      <c r="AA83" s="65">
        <f t="shared" si="12"/>
        <v>0</v>
      </c>
      <c r="AB83" s="31"/>
    </row>
    <row r="84" spans="1:28" s="4" customFormat="1" x14ac:dyDescent="0.25">
      <c r="A84" s="212" t="s">
        <v>1661</v>
      </c>
      <c r="B84" s="66" t="s">
        <v>1662</v>
      </c>
      <c r="C84" s="54"/>
      <c r="D84" s="66"/>
      <c r="E84" s="66">
        <v>0</v>
      </c>
      <c r="F84" s="390"/>
      <c r="G84" s="54" t="e">
        <f>VLOOKUP(A84,'[1]yourspreadsheetname (1)'!$A$2:$C$968, 3, FALSE)</f>
        <v>#N/A</v>
      </c>
      <c r="H84" s="273">
        <v>300</v>
      </c>
      <c r="I84" s="397"/>
      <c r="J84" s="384" t="s">
        <v>122</v>
      </c>
      <c r="K84" s="199"/>
      <c r="L84" s="64"/>
      <c r="M84" s="66"/>
      <c r="N84" s="273"/>
      <c r="O84" s="66"/>
      <c r="P84" s="54"/>
      <c r="Q84" s="63"/>
      <c r="R84" s="18">
        <v>0</v>
      </c>
      <c r="S84" s="66"/>
      <c r="T84" s="66"/>
      <c r="U84" s="66"/>
      <c r="V84" s="66"/>
      <c r="W84" s="62">
        <f t="shared" si="10"/>
        <v>0</v>
      </c>
      <c r="X84" s="140"/>
      <c r="Y84" s="141"/>
      <c r="Z84" s="65">
        <f t="shared" si="11"/>
        <v>0</v>
      </c>
      <c r="AA84" s="65">
        <f t="shared" si="12"/>
        <v>0</v>
      </c>
      <c r="AB84" s="31"/>
    </row>
    <row r="85" spans="1:28" s="4" customFormat="1" ht="26.25" customHeight="1" x14ac:dyDescent="0.25">
      <c r="A85" s="66" t="s">
        <v>1663</v>
      </c>
      <c r="B85" s="54" t="s">
        <v>1664</v>
      </c>
      <c r="C85" s="62"/>
      <c r="D85" s="62"/>
      <c r="E85" s="62">
        <v>50</v>
      </c>
      <c r="F85" s="7">
        <v>300</v>
      </c>
      <c r="G85" s="54">
        <f>VLOOKUP(A85,'[1]yourspreadsheetname (1)'!$A$2:$C$968, 3, FALSE)</f>
        <v>15000</v>
      </c>
      <c r="H85" s="273">
        <v>18300</v>
      </c>
      <c r="I85" s="401"/>
      <c r="J85" s="384" t="s">
        <v>122</v>
      </c>
      <c r="K85" s="201"/>
      <c r="L85" s="64"/>
      <c r="M85" s="66"/>
      <c r="N85" s="273"/>
      <c r="O85" s="66"/>
      <c r="P85" s="66"/>
      <c r="Q85" s="66"/>
      <c r="R85" s="18">
        <v>0</v>
      </c>
      <c r="S85" s="186"/>
      <c r="T85" s="186"/>
      <c r="U85" s="66"/>
      <c r="V85" s="66"/>
      <c r="W85" s="62">
        <f t="shared" si="10"/>
        <v>0</v>
      </c>
      <c r="X85" s="140">
        <v>694</v>
      </c>
      <c r="Y85" s="141">
        <v>790.35</v>
      </c>
      <c r="Z85" s="65">
        <f t="shared" si="11"/>
        <v>0</v>
      </c>
      <c r="AA85" s="65">
        <f t="shared" si="12"/>
        <v>0</v>
      </c>
      <c r="AB85" s="18"/>
    </row>
    <row r="86" spans="1:28" x14ac:dyDescent="0.25">
      <c r="A86" s="105" t="s">
        <v>1665</v>
      </c>
      <c r="B86" s="63" t="s">
        <v>1666</v>
      </c>
      <c r="C86" s="62"/>
      <c r="D86" s="62"/>
      <c r="E86" s="62">
        <v>0</v>
      </c>
      <c r="F86" s="7">
        <v>0</v>
      </c>
      <c r="G86" s="54">
        <f>VLOOKUP(A86,'[1]yourspreadsheetname (1)'!$A$2:$C$968, 3, FALSE)</f>
        <v>0</v>
      </c>
      <c r="H86" s="273">
        <v>0</v>
      </c>
      <c r="I86" s="401"/>
      <c r="J86" s="384" t="s">
        <v>122</v>
      </c>
      <c r="K86" s="198"/>
      <c r="L86" s="66"/>
      <c r="M86" s="64"/>
      <c r="N86" s="64"/>
      <c r="O86" s="66"/>
      <c r="P86" s="66"/>
      <c r="Q86" s="66"/>
      <c r="R86" s="18">
        <v>0</v>
      </c>
      <c r="S86" s="186"/>
      <c r="T86" s="186"/>
      <c r="U86" s="66"/>
      <c r="V86" s="66"/>
      <c r="W86" s="62">
        <f t="shared" si="10"/>
        <v>0</v>
      </c>
      <c r="X86" s="140"/>
      <c r="Y86" s="141"/>
      <c r="Z86" s="65">
        <f t="shared" si="11"/>
        <v>0</v>
      </c>
      <c r="AA86" s="65">
        <f t="shared" si="12"/>
        <v>0</v>
      </c>
      <c r="AB86" s="18"/>
    </row>
    <row r="87" spans="1:28" ht="18.75" customHeight="1" x14ac:dyDescent="0.25">
      <c r="A87" s="66"/>
      <c r="B87" s="54" t="s">
        <v>1667</v>
      </c>
      <c r="C87" s="214"/>
      <c r="D87" s="62"/>
      <c r="E87" s="62">
        <v>0</v>
      </c>
      <c r="F87" s="7">
        <v>5</v>
      </c>
      <c r="G87" s="54" t="e">
        <f>VLOOKUP(A87,'[1]yourspreadsheetname (1)'!$A$2:$C$968, 3, FALSE)</f>
        <v>#N/A</v>
      </c>
      <c r="H87" s="273">
        <v>0</v>
      </c>
      <c r="I87" s="396"/>
      <c r="J87" s="384" t="s">
        <v>122</v>
      </c>
      <c r="K87" s="202"/>
      <c r="L87" s="170"/>
      <c r="M87" s="66"/>
      <c r="N87" s="64"/>
      <c r="O87" s="66"/>
      <c r="P87" s="54"/>
      <c r="Q87" s="66"/>
      <c r="R87" s="18">
        <v>0</v>
      </c>
      <c r="S87" s="66"/>
      <c r="T87" s="66"/>
      <c r="U87" s="66"/>
      <c r="V87" s="66"/>
      <c r="W87" s="62">
        <f t="shared" si="10"/>
        <v>0</v>
      </c>
      <c r="X87" s="140"/>
      <c r="Y87" s="141"/>
      <c r="Z87" s="65">
        <f t="shared" si="11"/>
        <v>0</v>
      </c>
      <c r="AA87" s="65">
        <f t="shared" si="12"/>
        <v>0</v>
      </c>
      <c r="AB87" s="31"/>
    </row>
    <row r="88" spans="1:28" s="4" customFormat="1" ht="19.5" customHeight="1" x14ac:dyDescent="0.25">
      <c r="A88" s="212"/>
      <c r="B88" s="66" t="s">
        <v>1668</v>
      </c>
      <c r="C88" s="214"/>
      <c r="D88" s="62"/>
      <c r="E88" s="62">
        <v>0</v>
      </c>
      <c r="F88" s="7"/>
      <c r="G88" s="54" t="e">
        <f>VLOOKUP(A88,'[1]yourspreadsheetname (1)'!$A$2:$C$968, 3, FALSE)</f>
        <v>#N/A</v>
      </c>
      <c r="H88" s="273">
        <v>0</v>
      </c>
      <c r="I88" s="401"/>
      <c r="J88" s="384" t="s">
        <v>122</v>
      </c>
      <c r="K88" s="198"/>
      <c r="L88" s="66"/>
      <c r="M88" s="63"/>
      <c r="N88" s="66"/>
      <c r="O88" s="66"/>
      <c r="P88" s="66"/>
      <c r="Q88" s="66"/>
      <c r="R88" s="18">
        <v>0</v>
      </c>
      <c r="S88" s="66"/>
      <c r="T88" s="66"/>
      <c r="U88" s="66"/>
      <c r="V88" s="63"/>
      <c r="W88" s="62">
        <f t="shared" si="10"/>
        <v>0</v>
      </c>
      <c r="X88" s="140"/>
      <c r="Y88" s="141"/>
      <c r="Z88" s="65">
        <f t="shared" si="11"/>
        <v>0</v>
      </c>
      <c r="AA88" s="65">
        <f t="shared" si="12"/>
        <v>0</v>
      </c>
      <c r="AB88" s="6"/>
    </row>
    <row r="89" spans="1:28" x14ac:dyDescent="0.25">
      <c r="F89" s="395"/>
      <c r="I89" s="394"/>
      <c r="R89" s="394"/>
      <c r="Z89" s="598">
        <f>SUM(Z3:Z88)</f>
        <v>262284816</v>
      </c>
      <c r="AA89" s="598">
        <f>SUM(AA3:AA88)</f>
        <v>105172012.7</v>
      </c>
    </row>
    <row r="90" spans="1:28" x14ac:dyDescent="0.25">
      <c r="F90" s="395"/>
      <c r="I90" s="394"/>
      <c r="R90" s="394"/>
    </row>
    <row r="91" spans="1:28" x14ac:dyDescent="0.25">
      <c r="F91" s="395"/>
      <c r="I91" s="394"/>
      <c r="R91" s="394"/>
    </row>
    <row r="92" spans="1:28" x14ac:dyDescent="0.25">
      <c r="F92" s="395"/>
      <c r="I92" s="394"/>
      <c r="R92" s="394"/>
    </row>
    <row r="93" spans="1:28" x14ac:dyDescent="0.25">
      <c r="F93" s="395"/>
      <c r="I93" s="394"/>
      <c r="R93" s="394"/>
    </row>
    <row r="94" spans="1:28" x14ac:dyDescent="0.25">
      <c r="F94" s="395"/>
      <c r="I94" s="394"/>
      <c r="R94" s="394"/>
    </row>
    <row r="95" spans="1:28" x14ac:dyDescent="0.25">
      <c r="F95" s="395"/>
      <c r="I95" s="394"/>
      <c r="R95" s="394"/>
    </row>
    <row r="96" spans="1:28" x14ac:dyDescent="0.25">
      <c r="F96" s="395"/>
      <c r="I96" s="394"/>
      <c r="R96" s="394"/>
    </row>
    <row r="97" spans="6:28" x14ac:dyDescent="0.25">
      <c r="F97" s="395"/>
      <c r="I97" s="394"/>
      <c r="R97" s="394"/>
    </row>
    <row r="98" spans="6:28" x14ac:dyDescent="0.25">
      <c r="F98" s="395"/>
      <c r="I98" s="394"/>
      <c r="R98" s="394"/>
    </row>
    <row r="99" spans="6:28" x14ac:dyDescent="0.25">
      <c r="F99" s="395"/>
      <c r="I99" s="394"/>
      <c r="R99" s="394"/>
    </row>
    <row r="100" spans="6:28" x14ac:dyDescent="0.25">
      <c r="F100" s="395"/>
      <c r="I100" s="394"/>
      <c r="R100" s="394"/>
    </row>
    <row r="101" spans="6:28" x14ac:dyDescent="0.25">
      <c r="F101" s="395"/>
      <c r="I101" s="394"/>
      <c r="R101" s="394"/>
    </row>
    <row r="102" spans="6:28" x14ac:dyDescent="0.25">
      <c r="F102" s="395"/>
      <c r="I102" s="394"/>
      <c r="R102" s="394"/>
    </row>
    <row r="103" spans="6:28" x14ac:dyDescent="0.25">
      <c r="F103" s="395"/>
      <c r="I103" s="394"/>
      <c r="R103" s="394"/>
    </row>
    <row r="104" spans="6:28" x14ac:dyDescent="0.25">
      <c r="F104" s="395"/>
      <c r="I104" s="394"/>
      <c r="R104" s="394"/>
    </row>
    <row r="105" spans="6:28" x14ac:dyDescent="0.25">
      <c r="F105" s="395"/>
      <c r="I105" s="394"/>
      <c r="R105" s="394"/>
    </row>
    <row r="106" spans="6:28" x14ac:dyDescent="0.25">
      <c r="F106" s="395"/>
      <c r="I106" s="394"/>
      <c r="R106" s="394"/>
    </row>
    <row r="107" spans="6:28" x14ac:dyDescent="0.25">
      <c r="F107" s="395"/>
      <c r="I107" s="394"/>
      <c r="R107" s="394"/>
    </row>
    <row r="108" spans="6:28" x14ac:dyDescent="0.25">
      <c r="F108" s="395"/>
      <c r="I108" s="394"/>
      <c r="M108" s="2"/>
      <c r="N108" s="2"/>
      <c r="O108" s="2"/>
      <c r="P108" s="2"/>
      <c r="Q108" s="2"/>
      <c r="R108" s="395"/>
      <c r="S108" s="2"/>
      <c r="T108" s="2"/>
      <c r="U108" s="2"/>
      <c r="V108" s="2"/>
      <c r="W108" s="2"/>
      <c r="X108" s="2"/>
      <c r="Y108" s="2"/>
      <c r="AB108" s="2"/>
    </row>
    <row r="109" spans="6:28" x14ac:dyDescent="0.25">
      <c r="F109" s="395"/>
      <c r="I109" s="394"/>
      <c r="M109" s="2"/>
      <c r="N109" s="2"/>
      <c r="O109" s="2"/>
      <c r="P109" s="2"/>
      <c r="Q109" s="2"/>
      <c r="R109" s="395"/>
      <c r="S109" s="2"/>
      <c r="T109" s="2"/>
      <c r="U109" s="2"/>
      <c r="V109" s="2"/>
      <c r="W109" s="2"/>
      <c r="X109" s="2"/>
      <c r="Y109" s="2"/>
      <c r="AB109" s="2"/>
    </row>
    <row r="110" spans="6:28" x14ac:dyDescent="0.25">
      <c r="F110" s="395"/>
      <c r="I110" s="394"/>
      <c r="M110" s="2"/>
      <c r="N110" s="2"/>
      <c r="O110" s="2"/>
      <c r="P110" s="2"/>
      <c r="Q110" s="2"/>
      <c r="R110" s="395"/>
      <c r="S110" s="2"/>
      <c r="T110" s="2"/>
      <c r="U110" s="2"/>
      <c r="V110" s="2"/>
      <c r="W110" s="2"/>
      <c r="X110" s="2"/>
      <c r="Y110" s="2"/>
      <c r="AB110" s="2"/>
    </row>
    <row r="111" spans="6:28" x14ac:dyDescent="0.25">
      <c r="F111" s="395"/>
      <c r="I111" s="394"/>
      <c r="M111" s="2"/>
      <c r="N111" s="2"/>
      <c r="O111" s="2"/>
      <c r="P111" s="2"/>
      <c r="Q111" s="2"/>
      <c r="R111" s="395"/>
      <c r="S111" s="2"/>
      <c r="T111" s="2"/>
      <c r="U111" s="2"/>
      <c r="V111" s="2"/>
      <c r="W111" s="2"/>
      <c r="X111" s="2"/>
      <c r="Y111" s="2"/>
      <c r="AB111" s="2"/>
    </row>
    <row r="112" spans="6:28" x14ac:dyDescent="0.25">
      <c r="F112" s="395"/>
      <c r="I112" s="394"/>
      <c r="M112" s="2"/>
      <c r="N112" s="2"/>
      <c r="O112" s="2"/>
      <c r="P112" s="2"/>
      <c r="Q112" s="2"/>
      <c r="R112" s="395"/>
      <c r="S112" s="2"/>
      <c r="T112" s="2"/>
      <c r="U112" s="2"/>
      <c r="V112" s="2"/>
      <c r="W112" s="2"/>
      <c r="X112" s="2"/>
      <c r="Y112" s="2"/>
      <c r="AB112" s="2"/>
    </row>
    <row r="113" spans="6:28" x14ac:dyDescent="0.25">
      <c r="F113" s="395"/>
      <c r="I113" s="394"/>
      <c r="M113" s="2"/>
      <c r="N113" s="2"/>
      <c r="O113" s="2"/>
      <c r="P113" s="2"/>
      <c r="Q113" s="2"/>
      <c r="R113" s="395"/>
      <c r="S113" s="2"/>
      <c r="T113" s="2"/>
      <c r="U113" s="2"/>
      <c r="V113" s="2"/>
      <c r="W113" s="2"/>
      <c r="X113" s="2"/>
      <c r="Y113" s="2"/>
      <c r="AB113" s="2"/>
    </row>
    <row r="114" spans="6:28" x14ac:dyDescent="0.25">
      <c r="F114" s="395"/>
      <c r="I114" s="394"/>
      <c r="M114" s="2"/>
      <c r="N114" s="2"/>
      <c r="O114" s="2"/>
      <c r="P114" s="2"/>
      <c r="Q114" s="2"/>
      <c r="R114" s="395"/>
      <c r="S114" s="2"/>
      <c r="T114" s="2"/>
      <c r="U114" s="2"/>
      <c r="V114" s="2"/>
      <c r="W114" s="2"/>
      <c r="X114" s="2"/>
      <c r="Y114" s="2"/>
      <c r="AB114" s="2"/>
    </row>
    <row r="115" spans="6:28" x14ac:dyDescent="0.25">
      <c r="F115" s="395"/>
      <c r="I115" s="394"/>
      <c r="M115" s="2"/>
      <c r="N115" s="2"/>
      <c r="O115" s="2"/>
      <c r="P115" s="2"/>
      <c r="Q115" s="2"/>
      <c r="R115" s="395"/>
      <c r="S115" s="2"/>
      <c r="T115" s="2"/>
      <c r="U115" s="2"/>
      <c r="V115" s="2"/>
      <c r="W115" s="2"/>
      <c r="X115" s="2"/>
      <c r="Y115" s="2"/>
      <c r="AB115" s="2"/>
    </row>
    <row r="116" spans="6:28" x14ac:dyDescent="0.25">
      <c r="F116" s="395"/>
      <c r="I116" s="394"/>
      <c r="M116" s="2"/>
      <c r="N116" s="2"/>
      <c r="O116" s="2"/>
      <c r="P116" s="2"/>
      <c r="Q116" s="2"/>
      <c r="R116" s="395"/>
      <c r="S116" s="2"/>
      <c r="T116" s="2"/>
      <c r="U116" s="2"/>
      <c r="V116" s="2"/>
      <c r="W116" s="2"/>
      <c r="X116" s="2"/>
      <c r="Y116" s="2"/>
      <c r="AB116" s="2"/>
    </row>
    <row r="117" spans="6:28" x14ac:dyDescent="0.25">
      <c r="F117" s="395"/>
      <c r="I117" s="394"/>
      <c r="M117" s="2"/>
      <c r="N117" s="2"/>
      <c r="O117" s="2"/>
      <c r="P117" s="2"/>
      <c r="Q117" s="2"/>
      <c r="R117" s="395"/>
      <c r="S117" s="2"/>
      <c r="T117" s="2"/>
      <c r="U117" s="2"/>
      <c r="V117" s="2"/>
      <c r="W117" s="2"/>
      <c r="X117" s="2"/>
      <c r="Y117" s="2"/>
      <c r="AB117" s="2"/>
    </row>
    <row r="118" spans="6:28" x14ac:dyDescent="0.25">
      <c r="F118" s="395"/>
      <c r="I118" s="394"/>
      <c r="M118" s="2"/>
      <c r="N118" s="2"/>
      <c r="O118" s="2"/>
      <c r="P118" s="2"/>
      <c r="Q118" s="2"/>
      <c r="R118" s="395"/>
      <c r="S118" s="2"/>
      <c r="T118" s="2"/>
      <c r="U118" s="2"/>
      <c r="V118" s="2"/>
      <c r="W118" s="2"/>
      <c r="X118" s="2"/>
      <c r="Y118" s="2"/>
      <c r="AB118" s="2"/>
    </row>
    <row r="119" spans="6:28" x14ac:dyDescent="0.25">
      <c r="F119" s="395"/>
      <c r="I119" s="394"/>
      <c r="M119" s="2"/>
      <c r="N119" s="2"/>
      <c r="O119" s="2"/>
      <c r="P119" s="2"/>
      <c r="Q119" s="2"/>
      <c r="R119" s="395"/>
      <c r="S119" s="2"/>
      <c r="T119" s="2"/>
      <c r="U119" s="2"/>
      <c r="V119" s="2"/>
      <c r="W119" s="2"/>
      <c r="X119" s="2"/>
      <c r="Y119" s="2"/>
      <c r="AB119" s="2"/>
    </row>
    <row r="120" spans="6:28" x14ac:dyDescent="0.25">
      <c r="F120" s="395"/>
      <c r="I120" s="394"/>
      <c r="M120" s="2"/>
      <c r="N120" s="2"/>
      <c r="O120" s="2"/>
      <c r="P120" s="2"/>
      <c r="Q120" s="2"/>
      <c r="R120" s="395"/>
      <c r="S120" s="2"/>
      <c r="T120" s="2"/>
      <c r="U120" s="2"/>
      <c r="V120" s="2"/>
      <c r="W120" s="2"/>
      <c r="X120" s="2"/>
      <c r="Y120" s="2"/>
      <c r="AB120" s="2"/>
    </row>
    <row r="121" spans="6:28" x14ac:dyDescent="0.25">
      <c r="F121" s="395"/>
      <c r="I121" s="394"/>
      <c r="M121" s="2"/>
      <c r="N121" s="2"/>
      <c r="O121" s="2"/>
      <c r="P121" s="2"/>
      <c r="Q121" s="2"/>
      <c r="R121" s="395"/>
      <c r="S121" s="2"/>
      <c r="T121" s="2"/>
      <c r="U121" s="2"/>
      <c r="V121" s="2"/>
      <c r="W121" s="2"/>
      <c r="X121" s="2"/>
      <c r="Y121" s="2"/>
      <c r="AB121" s="2"/>
    </row>
    <row r="122" spans="6:28" x14ac:dyDescent="0.25">
      <c r="F122" s="395"/>
      <c r="I122" s="394"/>
      <c r="M122" s="2"/>
      <c r="N122" s="2"/>
      <c r="O122" s="2"/>
      <c r="P122" s="2"/>
      <c r="Q122" s="2"/>
      <c r="R122" s="395"/>
      <c r="S122" s="2"/>
      <c r="T122" s="2"/>
      <c r="U122" s="2"/>
      <c r="V122" s="2"/>
      <c r="W122" s="2"/>
      <c r="X122" s="2"/>
      <c r="Y122" s="2"/>
      <c r="AB122" s="2"/>
    </row>
    <row r="123" spans="6:28" x14ac:dyDescent="0.25">
      <c r="F123" s="395"/>
      <c r="I123" s="394"/>
      <c r="M123" s="2"/>
      <c r="N123" s="2"/>
      <c r="O123" s="2"/>
      <c r="P123" s="2"/>
      <c r="Q123" s="2"/>
      <c r="R123" s="395"/>
      <c r="S123" s="2"/>
      <c r="T123" s="2"/>
      <c r="U123" s="2"/>
      <c r="V123" s="2"/>
      <c r="W123" s="2"/>
      <c r="X123" s="2"/>
      <c r="Y123" s="2"/>
      <c r="AB123" s="2"/>
    </row>
    <row r="124" spans="6:28" x14ac:dyDescent="0.25">
      <c r="F124" s="395"/>
      <c r="I124" s="394"/>
      <c r="R124" s="394"/>
    </row>
    <row r="125" spans="6:28" x14ac:dyDescent="0.25">
      <c r="F125" s="395"/>
      <c r="I125" s="394"/>
      <c r="R125" s="394"/>
    </row>
    <row r="126" spans="6:28" x14ac:dyDescent="0.25">
      <c r="F126" s="395"/>
      <c r="I126" s="394"/>
      <c r="R126" s="394"/>
    </row>
    <row r="127" spans="6:28" x14ac:dyDescent="0.25">
      <c r="F127" s="395"/>
      <c r="I127" s="394"/>
      <c r="R127" s="394"/>
    </row>
    <row r="128" spans="6:28" x14ac:dyDescent="0.25">
      <c r="F128" s="395"/>
      <c r="I128" s="394"/>
      <c r="R128" s="394"/>
    </row>
    <row r="129" spans="6:18" x14ac:dyDescent="0.25">
      <c r="F129" s="395"/>
      <c r="I129" s="394"/>
      <c r="R129" s="394"/>
    </row>
    <row r="130" spans="6:18" x14ac:dyDescent="0.25">
      <c r="F130" s="395"/>
      <c r="I130" s="394"/>
      <c r="R130" s="394"/>
    </row>
    <row r="131" spans="6:18" x14ac:dyDescent="0.25">
      <c r="F131" s="395"/>
      <c r="I131" s="394"/>
      <c r="R131" s="394"/>
    </row>
    <row r="132" spans="6:18" x14ac:dyDescent="0.25">
      <c r="F132" s="395"/>
      <c r="I132" s="394"/>
      <c r="R132" s="394"/>
    </row>
    <row r="133" spans="6:18" x14ac:dyDescent="0.25">
      <c r="F133" s="395"/>
      <c r="I133" s="394"/>
      <c r="R133" s="394"/>
    </row>
    <row r="134" spans="6:18" x14ac:dyDescent="0.25">
      <c r="F134" s="395"/>
      <c r="I134" s="394"/>
      <c r="R134" s="394"/>
    </row>
    <row r="135" spans="6:18" x14ac:dyDescent="0.25">
      <c r="F135" s="395"/>
      <c r="I135" s="394"/>
      <c r="R135" s="394"/>
    </row>
    <row r="136" spans="6:18" x14ac:dyDescent="0.25">
      <c r="F136" s="395"/>
      <c r="I136" s="394"/>
      <c r="R136" s="394"/>
    </row>
    <row r="137" spans="6:18" x14ac:dyDescent="0.25">
      <c r="F137" s="395"/>
      <c r="I137" s="394"/>
      <c r="R137" s="394"/>
    </row>
    <row r="138" spans="6:18" x14ac:dyDescent="0.25">
      <c r="F138" s="395"/>
      <c r="I138" s="394"/>
      <c r="R138" s="394"/>
    </row>
    <row r="139" spans="6:18" x14ac:dyDescent="0.25">
      <c r="F139" s="395"/>
      <c r="I139" s="394"/>
      <c r="R139" s="394"/>
    </row>
    <row r="140" spans="6:18" x14ac:dyDescent="0.25">
      <c r="F140" s="395"/>
      <c r="I140" s="394"/>
      <c r="R140" s="394"/>
    </row>
    <row r="141" spans="6:18" x14ac:dyDescent="0.25">
      <c r="F141" s="395"/>
      <c r="I141" s="394"/>
      <c r="R141" s="394"/>
    </row>
    <row r="142" spans="6:18" x14ac:dyDescent="0.25">
      <c r="F142" s="395"/>
      <c r="I142" s="394"/>
      <c r="R142" s="394"/>
    </row>
    <row r="143" spans="6:18" x14ac:dyDescent="0.25">
      <c r="F143" s="395"/>
      <c r="I143" s="394"/>
      <c r="R143" s="394"/>
    </row>
    <row r="144" spans="6:18" x14ac:dyDescent="0.25">
      <c r="F144" s="395"/>
      <c r="I144" s="394"/>
      <c r="R144" s="394"/>
    </row>
    <row r="145" spans="6:18" x14ac:dyDescent="0.25">
      <c r="F145" s="395"/>
      <c r="I145" s="394"/>
      <c r="R145" s="394"/>
    </row>
    <row r="146" spans="6:18" x14ac:dyDescent="0.25">
      <c r="F146" s="395"/>
      <c r="I146" s="394"/>
      <c r="R146" s="394"/>
    </row>
    <row r="147" spans="6:18" x14ac:dyDescent="0.25">
      <c r="F147" s="395"/>
      <c r="I147" s="394"/>
      <c r="R147" s="394"/>
    </row>
    <row r="148" spans="6:18" x14ac:dyDescent="0.25">
      <c r="F148" s="395"/>
      <c r="I148" s="394"/>
      <c r="R148" s="394"/>
    </row>
    <row r="149" spans="6:18" x14ac:dyDescent="0.25">
      <c r="F149" s="395"/>
      <c r="I149" s="394"/>
      <c r="R149" s="394"/>
    </row>
    <row r="150" spans="6:18" x14ac:dyDescent="0.25">
      <c r="F150" s="395"/>
      <c r="I150" s="394"/>
      <c r="R150" s="394"/>
    </row>
    <row r="151" spans="6:18" x14ac:dyDescent="0.25">
      <c r="F151" s="395"/>
      <c r="I151" s="394"/>
      <c r="R151" s="394"/>
    </row>
    <row r="152" spans="6:18" x14ac:dyDescent="0.25">
      <c r="F152" s="395"/>
      <c r="I152" s="394"/>
      <c r="R152" s="394"/>
    </row>
    <row r="153" spans="6:18" x14ac:dyDescent="0.25">
      <c r="F153" s="395"/>
      <c r="I153" s="394"/>
      <c r="R153" s="394"/>
    </row>
    <row r="154" spans="6:18" x14ac:dyDescent="0.25">
      <c r="F154" s="395"/>
      <c r="I154" s="394"/>
      <c r="R154" s="394"/>
    </row>
    <row r="155" spans="6:18" x14ac:dyDescent="0.25">
      <c r="F155" s="395"/>
      <c r="I155" s="394"/>
      <c r="R155" s="394"/>
    </row>
    <row r="156" spans="6:18" x14ac:dyDescent="0.25">
      <c r="F156" s="395"/>
      <c r="I156" s="394"/>
      <c r="R156" s="394"/>
    </row>
    <row r="157" spans="6:18" x14ac:dyDescent="0.25">
      <c r="F157" s="395"/>
      <c r="I157" s="394"/>
      <c r="R157" s="394"/>
    </row>
    <row r="158" spans="6:18" x14ac:dyDescent="0.25">
      <c r="F158" s="395"/>
      <c r="I158" s="394"/>
      <c r="R158" s="394"/>
    </row>
    <row r="159" spans="6:18" x14ac:dyDescent="0.25">
      <c r="F159" s="395"/>
      <c r="I159" s="394"/>
      <c r="R159" s="394"/>
    </row>
    <row r="160" spans="6:18" x14ac:dyDescent="0.25">
      <c r="F160" s="395"/>
      <c r="I160" s="394"/>
      <c r="R160" s="394"/>
    </row>
    <row r="161" spans="6:18" x14ac:dyDescent="0.25">
      <c r="F161" s="395"/>
      <c r="I161" s="394"/>
      <c r="R161" s="394"/>
    </row>
    <row r="162" spans="6:18" x14ac:dyDescent="0.25">
      <c r="F162" s="395"/>
      <c r="I162" s="394"/>
      <c r="R162" s="394"/>
    </row>
    <row r="163" spans="6:18" x14ac:dyDescent="0.25">
      <c r="F163" s="395"/>
      <c r="I163" s="394"/>
      <c r="R163" s="394"/>
    </row>
    <row r="164" spans="6:18" x14ac:dyDescent="0.25">
      <c r="F164" s="395"/>
      <c r="I164" s="394"/>
      <c r="R164" s="394"/>
    </row>
    <row r="165" spans="6:18" x14ac:dyDescent="0.25">
      <c r="F165" s="395"/>
      <c r="I165" s="394"/>
      <c r="R165" s="394"/>
    </row>
    <row r="166" spans="6:18" x14ac:dyDescent="0.25">
      <c r="F166" s="395"/>
      <c r="I166" s="394"/>
      <c r="R166" s="394"/>
    </row>
    <row r="167" spans="6:18" x14ac:dyDescent="0.25">
      <c r="F167" s="395"/>
      <c r="I167" s="394"/>
      <c r="R167" s="394"/>
    </row>
    <row r="168" spans="6:18" x14ac:dyDescent="0.25">
      <c r="F168" s="395"/>
      <c r="I168" s="394"/>
      <c r="R168" s="394"/>
    </row>
    <row r="169" spans="6:18" x14ac:dyDescent="0.25">
      <c r="F169" s="395"/>
      <c r="I169" s="394"/>
      <c r="R169" s="394"/>
    </row>
    <row r="170" spans="6:18" x14ac:dyDescent="0.25">
      <c r="F170" s="395"/>
      <c r="I170" s="394"/>
      <c r="R170" s="394"/>
    </row>
    <row r="171" spans="6:18" x14ac:dyDescent="0.25">
      <c r="F171" s="395"/>
      <c r="I171" s="394"/>
      <c r="R171" s="394"/>
    </row>
    <row r="172" spans="6:18" x14ac:dyDescent="0.25">
      <c r="F172" s="395"/>
      <c r="I172" s="394"/>
      <c r="R172" s="394"/>
    </row>
    <row r="173" spans="6:18" x14ac:dyDescent="0.25">
      <c r="F173" s="395"/>
      <c r="I173" s="394"/>
      <c r="R173" s="394"/>
    </row>
    <row r="174" spans="6:18" x14ac:dyDescent="0.25">
      <c r="F174" s="395"/>
      <c r="I174" s="394"/>
      <c r="R174" s="394"/>
    </row>
    <row r="175" spans="6:18" x14ac:dyDescent="0.25">
      <c r="F175" s="395"/>
      <c r="I175" s="394"/>
      <c r="R175" s="394"/>
    </row>
    <row r="176" spans="6:18" x14ac:dyDescent="0.25">
      <c r="F176" s="395"/>
      <c r="I176" s="394"/>
      <c r="R176" s="394"/>
    </row>
    <row r="177" spans="6:18" x14ac:dyDescent="0.25">
      <c r="F177" s="395"/>
      <c r="I177" s="394"/>
      <c r="R177" s="394"/>
    </row>
    <row r="178" spans="6:18" x14ac:dyDescent="0.25">
      <c r="F178" s="395"/>
      <c r="I178" s="394"/>
      <c r="R178" s="394"/>
    </row>
    <row r="179" spans="6:18" x14ac:dyDescent="0.25">
      <c r="F179" s="395"/>
      <c r="I179" s="394"/>
      <c r="R179" s="394"/>
    </row>
    <row r="180" spans="6:18" x14ac:dyDescent="0.25">
      <c r="F180" s="395"/>
      <c r="I180" s="394"/>
      <c r="R180" s="394"/>
    </row>
    <row r="181" spans="6:18" x14ac:dyDescent="0.25">
      <c r="F181" s="395"/>
      <c r="I181" s="394"/>
      <c r="R181" s="394"/>
    </row>
    <row r="182" spans="6:18" x14ac:dyDescent="0.25">
      <c r="F182" s="395"/>
      <c r="I182" s="394"/>
      <c r="R182" s="394"/>
    </row>
    <row r="183" spans="6:18" x14ac:dyDescent="0.25">
      <c r="F183" s="395"/>
      <c r="I183" s="394"/>
      <c r="R183" s="394"/>
    </row>
    <row r="184" spans="6:18" x14ac:dyDescent="0.25">
      <c r="F184" s="395"/>
      <c r="I184" s="394"/>
      <c r="R184" s="394"/>
    </row>
    <row r="185" spans="6:18" x14ac:dyDescent="0.25">
      <c r="F185" s="395"/>
      <c r="I185" s="394"/>
      <c r="R185" s="394"/>
    </row>
    <row r="186" spans="6:18" x14ac:dyDescent="0.25">
      <c r="F186" s="395"/>
      <c r="I186" s="394"/>
      <c r="R186" s="394"/>
    </row>
    <row r="187" spans="6:18" x14ac:dyDescent="0.25">
      <c r="F187" s="395"/>
      <c r="I187" s="394"/>
      <c r="R187" s="394"/>
    </row>
    <row r="188" spans="6:18" x14ac:dyDescent="0.25">
      <c r="F188" s="395"/>
      <c r="I188" s="394"/>
      <c r="R188" s="394"/>
    </row>
    <row r="189" spans="6:18" x14ac:dyDescent="0.25">
      <c r="F189" s="395"/>
      <c r="I189" s="394"/>
      <c r="R189" s="394"/>
    </row>
    <row r="190" spans="6:18" x14ac:dyDescent="0.25">
      <c r="F190" s="395"/>
      <c r="I190" s="394"/>
      <c r="R190" s="394"/>
    </row>
    <row r="191" spans="6:18" x14ac:dyDescent="0.25">
      <c r="F191" s="395"/>
      <c r="I191" s="394"/>
      <c r="R191" s="394"/>
    </row>
    <row r="192" spans="6:18" x14ac:dyDescent="0.25">
      <c r="F192" s="395"/>
      <c r="I192" s="394"/>
      <c r="R192" s="394"/>
    </row>
    <row r="193" spans="6:18" x14ac:dyDescent="0.25">
      <c r="F193" s="395"/>
      <c r="I193" s="394"/>
      <c r="R193" s="394"/>
    </row>
    <row r="194" spans="6:18" x14ac:dyDescent="0.25">
      <c r="F194" s="395"/>
      <c r="I194" s="394"/>
      <c r="R194" s="394"/>
    </row>
    <row r="195" spans="6:18" x14ac:dyDescent="0.25">
      <c r="F195" s="395"/>
      <c r="I195" s="394"/>
      <c r="R195" s="394"/>
    </row>
    <row r="196" spans="6:18" x14ac:dyDescent="0.25">
      <c r="F196" s="395"/>
      <c r="I196" s="394"/>
      <c r="R196" s="394"/>
    </row>
    <row r="197" spans="6:18" x14ac:dyDescent="0.25">
      <c r="F197" s="395"/>
      <c r="I197" s="394"/>
      <c r="R197" s="394"/>
    </row>
    <row r="198" spans="6:18" x14ac:dyDescent="0.25">
      <c r="F198" s="395"/>
      <c r="I198" s="394"/>
      <c r="R198" s="394"/>
    </row>
    <row r="199" spans="6:18" x14ac:dyDescent="0.25">
      <c r="F199" s="395"/>
      <c r="I199" s="394"/>
      <c r="R199" s="394"/>
    </row>
    <row r="200" spans="6:18" x14ac:dyDescent="0.25">
      <c r="F200" s="395"/>
      <c r="I200" s="394"/>
      <c r="R200" s="394"/>
    </row>
    <row r="201" spans="6:18" x14ac:dyDescent="0.25">
      <c r="F201" s="395"/>
      <c r="I201" s="394"/>
      <c r="R201" s="394"/>
    </row>
    <row r="202" spans="6:18" x14ac:dyDescent="0.25">
      <c r="F202" s="395"/>
      <c r="I202" s="394"/>
      <c r="R202" s="394"/>
    </row>
    <row r="203" spans="6:18" x14ac:dyDescent="0.25">
      <c r="F203" s="395"/>
      <c r="I203" s="394"/>
      <c r="R203" s="394"/>
    </row>
    <row r="204" spans="6:18" x14ac:dyDescent="0.25">
      <c r="F204" s="395"/>
      <c r="I204" s="394"/>
      <c r="R204" s="394"/>
    </row>
    <row r="205" spans="6:18" x14ac:dyDescent="0.25">
      <c r="F205" s="395"/>
      <c r="I205" s="394"/>
      <c r="R205" s="394"/>
    </row>
    <row r="206" spans="6:18" x14ac:dyDescent="0.25">
      <c r="F206" s="395"/>
      <c r="I206" s="394"/>
      <c r="R206" s="394"/>
    </row>
    <row r="207" spans="6:18" x14ac:dyDescent="0.25">
      <c r="F207" s="395"/>
      <c r="I207" s="394"/>
      <c r="R207" s="394"/>
    </row>
    <row r="208" spans="6:18" x14ac:dyDescent="0.25">
      <c r="F208" s="395"/>
      <c r="I208" s="394"/>
      <c r="R208" s="394"/>
    </row>
    <row r="209" spans="2:18" x14ac:dyDescent="0.25">
      <c r="F209" s="395"/>
      <c r="I209" s="394"/>
      <c r="R209" s="394"/>
    </row>
    <row r="210" spans="2:18" x14ac:dyDescent="0.25">
      <c r="F210" s="395"/>
      <c r="I210" s="394"/>
      <c r="R210" s="394"/>
    </row>
    <row r="211" spans="2:18" x14ac:dyDescent="0.25">
      <c r="F211" s="395"/>
      <c r="I211" s="394"/>
      <c r="R211" s="394"/>
    </row>
    <row r="212" spans="2:18" x14ac:dyDescent="0.25">
      <c r="F212" s="395"/>
      <c r="I212" s="394"/>
      <c r="R212" s="394"/>
    </row>
    <row r="213" spans="2:18" ht="15" customHeight="1" x14ac:dyDescent="0.25">
      <c r="B213" s="412" t="s">
        <v>1669</v>
      </c>
      <c r="F213" s="395"/>
      <c r="I213" s="394"/>
      <c r="R213" s="394"/>
    </row>
  </sheetData>
  <autoFilter ref="A2:AB54">
    <sortState ref="A4:AB88">
      <sortCondition ref="N2:N54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C171"/>
  <sheetViews>
    <sheetView zoomScale="70" zoomScaleNormal="70" workbookViewId="0">
      <selection activeCell="B27" sqref="B27"/>
    </sheetView>
  </sheetViews>
  <sheetFormatPr baseColWidth="10" defaultColWidth="11.42578125" defaultRowHeight="15" x14ac:dyDescent="0.25"/>
  <cols>
    <col min="1" max="1" width="11.7109375" style="411" customWidth="1"/>
    <col min="2" max="2" width="59.42578125" style="411" customWidth="1"/>
    <col min="3" max="3" width="10.140625" style="389" hidden="1" customWidth="1"/>
    <col min="4" max="6" width="13.5703125" style="389" hidden="1" customWidth="1"/>
    <col min="7" max="7" width="10.7109375" style="2" hidden="1" customWidth="1"/>
    <col min="8" max="8" width="8.5703125" style="2" hidden="1" customWidth="1"/>
    <col min="9" max="10" width="15" style="2" hidden="1" customWidth="1"/>
    <col min="11" max="11" width="7.85546875" style="2" customWidth="1"/>
    <col min="12" max="12" width="9.85546875" style="2" customWidth="1"/>
    <col min="13" max="13" width="14" style="2" customWidth="1"/>
    <col min="14" max="14" width="9" style="2" customWidth="1"/>
    <col min="15" max="15" width="7.5703125" style="2" customWidth="1"/>
    <col min="16" max="16" width="7.85546875" style="2" customWidth="1"/>
    <col min="17" max="17" width="7.42578125" style="2" customWidth="1"/>
    <col min="18" max="20" width="12.7109375" style="2" customWidth="1"/>
    <col min="21" max="22" width="14.7109375" customWidth="1"/>
    <col min="23" max="23" width="21.42578125" customWidth="1"/>
    <col min="24" max="24" width="14.42578125" style="143" customWidth="1"/>
    <col min="25" max="25" width="15.28515625" style="143" customWidth="1"/>
    <col min="26" max="27" width="14.85546875" customWidth="1"/>
    <col min="28" max="28" width="60.7109375" customWidth="1"/>
  </cols>
  <sheetData>
    <row r="1" spans="1:29" ht="15" customHeight="1" x14ac:dyDescent="0.25">
      <c r="A1" s="799" t="s">
        <v>75</v>
      </c>
      <c r="B1" s="800" t="s">
        <v>76</v>
      </c>
      <c r="C1" s="796" t="s">
        <v>77</v>
      </c>
      <c r="D1" s="798" t="s">
        <v>78</v>
      </c>
      <c r="E1" s="797" t="s">
        <v>79</v>
      </c>
      <c r="F1" s="797" t="s">
        <v>80</v>
      </c>
      <c r="G1" s="763" t="s">
        <v>81</v>
      </c>
      <c r="H1" s="782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84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9" ht="38.25" customHeight="1" x14ac:dyDescent="0.25">
      <c r="A2" s="773"/>
      <c r="B2" s="753"/>
      <c r="C2" s="765"/>
      <c r="D2" s="781"/>
      <c r="E2" s="765"/>
      <c r="F2" s="765"/>
      <c r="G2" s="753"/>
      <c r="H2" s="78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65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9" s="90" customFormat="1" x14ac:dyDescent="0.25">
      <c r="A3" s="92" t="s">
        <v>547</v>
      </c>
      <c r="B3" s="92" t="s">
        <v>548</v>
      </c>
      <c r="C3" s="92"/>
      <c r="D3" s="92"/>
      <c r="E3" s="92">
        <v>10</v>
      </c>
      <c r="F3" s="92">
        <v>10</v>
      </c>
      <c r="G3" s="92">
        <v>0</v>
      </c>
      <c r="H3" s="257">
        <v>110</v>
      </c>
      <c r="I3" s="92"/>
      <c r="J3" s="404"/>
      <c r="K3" s="92">
        <v>756674</v>
      </c>
      <c r="L3" s="92"/>
      <c r="M3" s="93" t="s">
        <v>263</v>
      </c>
      <c r="N3" s="64" t="s">
        <v>1670</v>
      </c>
      <c r="O3" s="54">
        <v>1</v>
      </c>
      <c r="P3" s="12"/>
      <c r="Q3" s="12"/>
      <c r="R3" s="18">
        <v>60</v>
      </c>
      <c r="S3" s="12"/>
      <c r="T3" s="12"/>
      <c r="U3" s="12"/>
      <c r="V3" s="29"/>
      <c r="W3" s="12">
        <f t="shared" ref="W3:W34" si="0">U3+V3</f>
        <v>0</v>
      </c>
      <c r="X3" s="144">
        <v>2180</v>
      </c>
      <c r="Y3" s="119">
        <v>4227.4799999999996</v>
      </c>
      <c r="Z3" s="122">
        <f t="shared" ref="Z3:Z34" si="1">R3*X3</f>
        <v>130800</v>
      </c>
      <c r="AA3" s="122">
        <f t="shared" ref="AA3:AA34" si="2">W3*Y3</f>
        <v>0</v>
      </c>
      <c r="AB3" s="217"/>
    </row>
    <row r="4" spans="1:29" s="90" customFormat="1" x14ac:dyDescent="0.25">
      <c r="A4" s="54" t="s">
        <v>1671</v>
      </c>
      <c r="B4" s="54" t="s">
        <v>1672</v>
      </c>
      <c r="C4" s="54">
        <v>30</v>
      </c>
      <c r="D4" s="54">
        <v>50</v>
      </c>
      <c r="E4" s="54">
        <v>50</v>
      </c>
      <c r="F4" s="54">
        <v>50</v>
      </c>
      <c r="G4" s="54">
        <f>VLOOKUP(A4,'[1]yourspreadsheetname (1)'!$A$2:$C$968, 3, FALSE)</f>
        <v>500</v>
      </c>
      <c r="H4" s="257">
        <v>450</v>
      </c>
      <c r="I4" s="54"/>
      <c r="J4" s="54"/>
      <c r="K4" s="54">
        <v>756674</v>
      </c>
      <c r="L4" s="54"/>
      <c r="M4" s="54" t="s">
        <v>263</v>
      </c>
      <c r="N4" s="64" t="s">
        <v>1670</v>
      </c>
      <c r="O4" s="54">
        <v>2</v>
      </c>
      <c r="P4" s="12" t="s">
        <v>428</v>
      </c>
      <c r="Q4" s="12"/>
      <c r="R4" s="18">
        <f>((F4*15)-G4-I4)/2</f>
        <v>125</v>
      </c>
      <c r="S4" s="223"/>
      <c r="T4" s="223"/>
      <c r="U4" s="223">
        <v>125</v>
      </c>
      <c r="V4" s="12"/>
      <c r="W4" s="12">
        <f t="shared" si="0"/>
        <v>125</v>
      </c>
      <c r="X4" s="144">
        <v>1896.68</v>
      </c>
      <c r="Y4" s="119">
        <v>1909.09</v>
      </c>
      <c r="Z4" s="122">
        <f t="shared" si="1"/>
        <v>237085</v>
      </c>
      <c r="AA4" s="122">
        <f t="shared" si="2"/>
        <v>238636.25</v>
      </c>
      <c r="AB4" s="12"/>
    </row>
    <row r="5" spans="1:29" s="90" customFormat="1" x14ac:dyDescent="0.25">
      <c r="A5" s="54" t="s">
        <v>1673</v>
      </c>
      <c r="B5" s="54" t="s">
        <v>1674</v>
      </c>
      <c r="C5" s="54">
        <v>10</v>
      </c>
      <c r="D5" s="54">
        <v>20</v>
      </c>
      <c r="E5" s="54">
        <v>10</v>
      </c>
      <c r="F5" s="54">
        <v>15</v>
      </c>
      <c r="G5" s="54">
        <f>VLOOKUP(A5,'[1]yourspreadsheetname (1)'!$A$2:$C$968, 3, FALSE)</f>
        <v>0</v>
      </c>
      <c r="H5" s="257">
        <v>60</v>
      </c>
      <c r="I5" s="12"/>
      <c r="J5" s="12"/>
      <c r="K5" s="54">
        <v>756674</v>
      </c>
      <c r="L5" s="54"/>
      <c r="M5" s="54" t="s">
        <v>263</v>
      </c>
      <c r="N5" s="64" t="s">
        <v>1670</v>
      </c>
      <c r="O5" s="54">
        <v>3</v>
      </c>
      <c r="P5" s="12" t="s">
        <v>428</v>
      </c>
      <c r="Q5" s="12"/>
      <c r="R5" s="18">
        <v>120</v>
      </c>
      <c r="S5" s="223"/>
      <c r="T5" s="223"/>
      <c r="U5" s="223">
        <v>120</v>
      </c>
      <c r="V5" s="12"/>
      <c r="W5" s="12">
        <f t="shared" si="0"/>
        <v>120</v>
      </c>
      <c r="X5" s="144">
        <v>2779</v>
      </c>
      <c r="Y5" s="119">
        <v>3480</v>
      </c>
      <c r="Z5" s="122">
        <f t="shared" si="1"/>
        <v>333480</v>
      </c>
      <c r="AA5" s="122">
        <f t="shared" si="2"/>
        <v>417600</v>
      </c>
      <c r="AB5" s="12"/>
    </row>
    <row r="6" spans="1:29" s="90" customFormat="1" x14ac:dyDescent="0.25">
      <c r="A6" s="405" t="s">
        <v>1675</v>
      </c>
      <c r="B6" s="407" t="s">
        <v>1676</v>
      </c>
      <c r="C6" s="173"/>
      <c r="D6" s="173"/>
      <c r="E6" s="173"/>
      <c r="F6" s="173">
        <v>20</v>
      </c>
      <c r="G6" s="54">
        <f>VLOOKUP(A6,'[1]yourspreadsheetname (1)'!$A$2:$C$968, 3, FALSE)</f>
        <v>130</v>
      </c>
      <c r="H6" s="257">
        <v>150</v>
      </c>
      <c r="I6" s="76"/>
      <c r="J6" s="76"/>
      <c r="K6" s="54">
        <v>756674</v>
      </c>
      <c r="L6" s="173"/>
      <c r="M6" s="173" t="s">
        <v>263</v>
      </c>
      <c r="N6" s="64" t="s">
        <v>1670</v>
      </c>
      <c r="O6" s="173">
        <v>4</v>
      </c>
      <c r="P6" s="12" t="s">
        <v>428</v>
      </c>
      <c r="Q6" s="76"/>
      <c r="R6" s="18">
        <v>80</v>
      </c>
      <c r="S6" s="76"/>
      <c r="T6" s="19"/>
      <c r="U6" s="76">
        <v>80</v>
      </c>
      <c r="V6" s="31"/>
      <c r="W6" s="12">
        <f t="shared" si="0"/>
        <v>80</v>
      </c>
      <c r="X6" s="151">
        <v>6300</v>
      </c>
      <c r="Y6" s="151">
        <v>6995</v>
      </c>
      <c r="Z6" s="122">
        <f t="shared" si="1"/>
        <v>504000</v>
      </c>
      <c r="AA6" s="122">
        <f t="shared" si="2"/>
        <v>559600</v>
      </c>
      <c r="AB6" s="31"/>
      <c r="AC6" s="222"/>
    </row>
    <row r="7" spans="1:29" s="90" customFormat="1" x14ac:dyDescent="0.25">
      <c r="A7" s="404" t="s">
        <v>549</v>
      </c>
      <c r="B7" s="404" t="s">
        <v>550</v>
      </c>
      <c r="C7" s="250"/>
      <c r="D7" s="250"/>
      <c r="E7" s="250">
        <v>2</v>
      </c>
      <c r="F7" s="250">
        <v>1</v>
      </c>
      <c r="G7" s="92">
        <v>0</v>
      </c>
      <c r="H7" s="257">
        <v>0</v>
      </c>
      <c r="I7" s="250"/>
      <c r="J7" s="250"/>
      <c r="K7" s="92">
        <v>756674</v>
      </c>
      <c r="L7" s="55"/>
      <c r="M7" s="250" t="s">
        <v>293</v>
      </c>
      <c r="N7" s="64" t="s">
        <v>1670</v>
      </c>
      <c r="O7" s="173">
        <v>5</v>
      </c>
      <c r="P7" s="76"/>
      <c r="Q7" s="76"/>
      <c r="R7" s="18">
        <v>6</v>
      </c>
      <c r="S7" s="76"/>
      <c r="T7" s="18"/>
      <c r="U7" s="31"/>
      <c r="V7" s="31"/>
      <c r="W7" s="12">
        <f t="shared" si="0"/>
        <v>0</v>
      </c>
      <c r="X7" s="151">
        <v>93683</v>
      </c>
      <c r="Y7" s="151">
        <v>139824</v>
      </c>
      <c r="Z7" s="122">
        <f t="shared" si="1"/>
        <v>562098</v>
      </c>
      <c r="AA7" s="122">
        <f t="shared" si="2"/>
        <v>0</v>
      </c>
      <c r="AB7" s="31"/>
    </row>
    <row r="8" spans="1:29" s="90" customFormat="1" x14ac:dyDescent="0.25">
      <c r="A8" s="92" t="s">
        <v>446</v>
      </c>
      <c r="B8" s="92" t="s">
        <v>447</v>
      </c>
      <c r="C8" s="92">
        <v>20</v>
      </c>
      <c r="D8" s="92">
        <v>15</v>
      </c>
      <c r="E8" s="92">
        <v>30</v>
      </c>
      <c r="F8" s="92">
        <v>40</v>
      </c>
      <c r="G8" s="92">
        <f>VLOOKUP(A8,'[1]yourspreadsheetname (1)'!$A$2:$C$968, 3, FALSE)</f>
        <v>96</v>
      </c>
      <c r="H8" s="257">
        <v>216</v>
      </c>
      <c r="I8" s="92"/>
      <c r="J8" s="92"/>
      <c r="K8" s="92">
        <v>756674</v>
      </c>
      <c r="L8" s="92"/>
      <c r="M8" s="92" t="s">
        <v>259</v>
      </c>
      <c r="N8" s="64" t="s">
        <v>1670</v>
      </c>
      <c r="O8" s="54">
        <v>6</v>
      </c>
      <c r="P8" s="12"/>
      <c r="Q8" s="12"/>
      <c r="R8" s="18">
        <v>210</v>
      </c>
      <c r="S8" s="223"/>
      <c r="T8" s="223"/>
      <c r="U8" s="223"/>
      <c r="V8" s="12"/>
      <c r="W8" s="12">
        <f t="shared" si="0"/>
        <v>0</v>
      </c>
      <c r="X8" s="144">
        <v>4439.3</v>
      </c>
      <c r="Y8" s="119">
        <v>5040</v>
      </c>
      <c r="Z8" s="122">
        <f t="shared" si="1"/>
        <v>932253</v>
      </c>
      <c r="AA8" s="122">
        <f t="shared" si="2"/>
        <v>0</v>
      </c>
      <c r="AB8" s="12"/>
    </row>
    <row r="9" spans="1:29" s="90" customFormat="1" x14ac:dyDescent="0.25">
      <c r="A9" s="92" t="s">
        <v>448</v>
      </c>
      <c r="B9" s="92" t="s">
        <v>449</v>
      </c>
      <c r="C9" s="92">
        <v>20</v>
      </c>
      <c r="D9" s="92">
        <v>20</v>
      </c>
      <c r="E9" s="92">
        <v>25</v>
      </c>
      <c r="F9" s="92">
        <v>40</v>
      </c>
      <c r="G9" s="92">
        <f>VLOOKUP(A9,'[1]yourspreadsheetname (1)'!$A$2:$C$968, 3, FALSE)</f>
        <v>0</v>
      </c>
      <c r="H9" s="257">
        <v>200</v>
      </c>
      <c r="I9" s="92"/>
      <c r="J9" s="92"/>
      <c r="K9" s="92">
        <v>756674</v>
      </c>
      <c r="L9" s="92"/>
      <c r="M9" s="92" t="s">
        <v>263</v>
      </c>
      <c r="N9" s="64" t="s">
        <v>1670</v>
      </c>
      <c r="O9" s="54">
        <v>7</v>
      </c>
      <c r="P9" s="29"/>
      <c r="Q9" s="12"/>
      <c r="R9" s="18">
        <f>((F9*15)-G9-I9)/2</f>
        <v>300</v>
      </c>
      <c r="S9" s="223">
        <v>200</v>
      </c>
      <c r="T9" s="223"/>
      <c r="U9" s="223"/>
      <c r="V9" s="12"/>
      <c r="W9" s="12">
        <f t="shared" si="0"/>
        <v>0</v>
      </c>
      <c r="X9" s="144">
        <v>2495</v>
      </c>
      <c r="Y9" s="119">
        <v>6090</v>
      </c>
      <c r="Z9" s="122">
        <f t="shared" si="1"/>
        <v>748500</v>
      </c>
      <c r="AA9" s="122">
        <f t="shared" si="2"/>
        <v>0</v>
      </c>
      <c r="AB9" s="12"/>
    </row>
    <row r="10" spans="1:29" s="90" customFormat="1" x14ac:dyDescent="0.25">
      <c r="A10" s="92" t="s">
        <v>378</v>
      </c>
      <c r="B10" s="92" t="s">
        <v>379</v>
      </c>
      <c r="C10" s="92"/>
      <c r="D10" s="92"/>
      <c r="E10" s="92">
        <v>20</v>
      </c>
      <c r="F10" s="92">
        <v>10</v>
      </c>
      <c r="G10" s="92">
        <v>70</v>
      </c>
      <c r="H10" s="257">
        <v>120</v>
      </c>
      <c r="I10" s="92"/>
      <c r="J10" s="92"/>
      <c r="K10" s="92">
        <v>756674</v>
      </c>
      <c r="L10" s="92"/>
      <c r="M10" s="92" t="s">
        <v>259</v>
      </c>
      <c r="N10" s="64" t="s">
        <v>1670</v>
      </c>
      <c r="O10" s="54">
        <v>8</v>
      </c>
      <c r="P10" s="12"/>
      <c r="Q10" s="12"/>
      <c r="R10" s="18">
        <f>((F10*15)-G10-I10)/2</f>
        <v>40</v>
      </c>
      <c r="S10" s="12"/>
      <c r="T10" s="223"/>
      <c r="U10" s="12"/>
      <c r="V10" s="12"/>
      <c r="W10" s="12">
        <f t="shared" si="0"/>
        <v>0</v>
      </c>
      <c r="X10" s="154">
        <v>11549</v>
      </c>
      <c r="Y10" s="119">
        <v>20727.3</v>
      </c>
      <c r="Z10" s="122">
        <f t="shared" si="1"/>
        <v>461960</v>
      </c>
      <c r="AA10" s="122">
        <f t="shared" si="2"/>
        <v>0</v>
      </c>
      <c r="AB10" s="12"/>
    </row>
    <row r="11" spans="1:29" s="90" customFormat="1" x14ac:dyDescent="0.25">
      <c r="A11" s="92" t="s">
        <v>380</v>
      </c>
      <c r="B11" s="92" t="s">
        <v>381</v>
      </c>
      <c r="C11" s="92">
        <v>10</v>
      </c>
      <c r="D11" s="92"/>
      <c r="E11" s="92">
        <v>30</v>
      </c>
      <c r="F11" s="92">
        <v>30</v>
      </c>
      <c r="G11" s="92">
        <f>VLOOKUP(A11,'[1]yourspreadsheetname (1)'!$A$2:$C$968, 3, FALSE)</f>
        <v>135</v>
      </c>
      <c r="H11" s="257">
        <v>360</v>
      </c>
      <c r="I11" s="92"/>
      <c r="J11" s="92"/>
      <c r="K11" s="92">
        <v>756674</v>
      </c>
      <c r="L11" s="92"/>
      <c r="M11" s="294" t="s">
        <v>263</v>
      </c>
      <c r="N11" s="64" t="s">
        <v>1670</v>
      </c>
      <c r="O11" s="54">
        <v>9</v>
      </c>
      <c r="P11" s="12"/>
      <c r="Q11" s="35"/>
      <c r="R11" s="18">
        <v>160</v>
      </c>
      <c r="S11" s="223"/>
      <c r="T11" s="223"/>
      <c r="U11" s="223"/>
      <c r="V11" s="12"/>
      <c r="W11" s="12">
        <f t="shared" si="0"/>
        <v>0</v>
      </c>
      <c r="X11" s="225">
        <v>45376</v>
      </c>
      <c r="Y11" s="119">
        <v>67499</v>
      </c>
      <c r="Z11" s="122">
        <f t="shared" si="1"/>
        <v>7260160</v>
      </c>
      <c r="AA11" s="122">
        <f t="shared" si="2"/>
        <v>0</v>
      </c>
      <c r="AB11" s="217"/>
    </row>
    <row r="12" spans="1:29" s="90" customFormat="1" x14ac:dyDescent="0.25">
      <c r="A12" s="83" t="s">
        <v>1677</v>
      </c>
      <c r="B12" s="83" t="s">
        <v>1678</v>
      </c>
      <c r="C12" s="83"/>
      <c r="D12" s="54">
        <v>10</v>
      </c>
      <c r="E12" s="54">
        <v>30</v>
      </c>
      <c r="F12" s="54">
        <v>20</v>
      </c>
      <c r="G12" s="54">
        <f>VLOOKUP(A12,'[1]yourspreadsheetname (1)'!$A$2:$C$968, 3, FALSE)</f>
        <v>120</v>
      </c>
      <c r="H12" s="257">
        <v>360</v>
      </c>
      <c r="I12" s="92"/>
      <c r="J12" s="92"/>
      <c r="K12" s="54">
        <v>756674</v>
      </c>
      <c r="L12" s="54"/>
      <c r="M12" s="96" t="s">
        <v>259</v>
      </c>
      <c r="N12" s="64" t="s">
        <v>1670</v>
      </c>
      <c r="O12" s="54">
        <v>10</v>
      </c>
      <c r="P12" s="12" t="s">
        <v>260</v>
      </c>
      <c r="Q12" s="35"/>
      <c r="R12" s="18">
        <f>((F12*15)-G12-I12)/2</f>
        <v>90</v>
      </c>
      <c r="S12" s="223"/>
      <c r="T12" s="223"/>
      <c r="U12" s="223">
        <v>90</v>
      </c>
      <c r="V12" s="12"/>
      <c r="W12" s="12">
        <f t="shared" si="0"/>
        <v>90</v>
      </c>
      <c r="X12" s="225">
        <v>2645.1</v>
      </c>
      <c r="Y12" s="119">
        <v>2645.1</v>
      </c>
      <c r="Z12" s="122">
        <f t="shared" si="1"/>
        <v>238059</v>
      </c>
      <c r="AA12" s="122">
        <f t="shared" si="2"/>
        <v>238059</v>
      </c>
      <c r="AB12" s="217"/>
    </row>
    <row r="13" spans="1:29" s="90" customFormat="1" x14ac:dyDescent="0.25">
      <c r="A13" s="92" t="s">
        <v>450</v>
      </c>
      <c r="B13" s="92" t="s">
        <v>451</v>
      </c>
      <c r="C13" s="92">
        <v>6</v>
      </c>
      <c r="D13" s="92"/>
      <c r="E13" s="92">
        <v>5</v>
      </c>
      <c r="F13" s="92">
        <v>5</v>
      </c>
      <c r="G13" s="92">
        <f>VLOOKUP(A13,'[1]yourspreadsheetname (1)'!$A$2:$C$968, 3, FALSE)</f>
        <v>0</v>
      </c>
      <c r="H13" s="257">
        <v>30</v>
      </c>
      <c r="I13" s="92"/>
      <c r="J13" s="92"/>
      <c r="K13" s="92">
        <v>756674</v>
      </c>
      <c r="L13" s="92"/>
      <c r="M13" s="92" t="s">
        <v>293</v>
      </c>
      <c r="N13" s="64" t="s">
        <v>1670</v>
      </c>
      <c r="O13" s="54">
        <v>11</v>
      </c>
      <c r="P13" s="12"/>
      <c r="Q13" s="12"/>
      <c r="R13" s="18">
        <v>35</v>
      </c>
      <c r="S13" s="223"/>
      <c r="T13" s="223"/>
      <c r="U13" s="12"/>
      <c r="V13" s="12"/>
      <c r="W13" s="12">
        <f t="shared" si="0"/>
        <v>0</v>
      </c>
      <c r="X13" s="144">
        <v>53000</v>
      </c>
      <c r="Y13" s="119">
        <v>74889</v>
      </c>
      <c r="Z13" s="122">
        <f t="shared" si="1"/>
        <v>1855000</v>
      </c>
      <c r="AA13" s="122">
        <f t="shared" si="2"/>
        <v>0</v>
      </c>
      <c r="AB13" s="12"/>
    </row>
    <row r="14" spans="1:29" s="90" customFormat="1" x14ac:dyDescent="0.25">
      <c r="A14" s="126" t="s">
        <v>1679</v>
      </c>
      <c r="B14" s="126" t="s">
        <v>1680</v>
      </c>
      <c r="C14" s="173"/>
      <c r="D14" s="173"/>
      <c r="E14" s="173">
        <v>20</v>
      </c>
      <c r="F14" s="173">
        <v>20</v>
      </c>
      <c r="G14" s="54">
        <v>0</v>
      </c>
      <c r="H14" s="257">
        <v>0</v>
      </c>
      <c r="I14" s="76"/>
      <c r="J14" s="76"/>
      <c r="K14" s="54">
        <v>756674</v>
      </c>
      <c r="L14" s="173"/>
      <c r="M14" s="173" t="s">
        <v>259</v>
      </c>
      <c r="N14" s="64" t="s">
        <v>1670</v>
      </c>
      <c r="O14" s="173">
        <v>12</v>
      </c>
      <c r="P14" s="76" t="s">
        <v>260</v>
      </c>
      <c r="Q14" s="76"/>
      <c r="R14" s="18">
        <v>120</v>
      </c>
      <c r="S14" s="275">
        <v>80</v>
      </c>
      <c r="T14" s="275"/>
      <c r="U14" s="275">
        <v>80</v>
      </c>
      <c r="V14" s="31"/>
      <c r="W14" s="12">
        <f t="shared" si="0"/>
        <v>80</v>
      </c>
      <c r="X14" s="151">
        <v>15580</v>
      </c>
      <c r="Y14" s="151">
        <v>16777</v>
      </c>
      <c r="Z14" s="122">
        <f t="shared" si="1"/>
        <v>1869600</v>
      </c>
      <c r="AA14" s="122">
        <f t="shared" si="2"/>
        <v>1342160</v>
      </c>
      <c r="AB14" s="31"/>
    </row>
    <row r="15" spans="1:29" s="73" customFormat="1" x14ac:dyDescent="0.25">
      <c r="A15" s="92" t="s">
        <v>452</v>
      </c>
      <c r="B15" s="92" t="s">
        <v>453</v>
      </c>
      <c r="C15" s="92">
        <v>150</v>
      </c>
      <c r="D15" s="92">
        <v>100</v>
      </c>
      <c r="E15" s="92">
        <v>150</v>
      </c>
      <c r="F15" s="92">
        <v>150</v>
      </c>
      <c r="G15" s="92" t="e">
        <f>VLOOKUP(A15,'[1]yourspreadsheetname (1)'!$A$2:$C$968, 3, FALSE)</f>
        <v>#N/A</v>
      </c>
      <c r="H15" s="257">
        <v>1800</v>
      </c>
      <c r="I15" s="92"/>
      <c r="J15" s="92"/>
      <c r="K15" s="92">
        <v>756674</v>
      </c>
      <c r="L15" s="92"/>
      <c r="M15" s="92" t="s">
        <v>263</v>
      </c>
      <c r="N15" s="64" t="s">
        <v>1670</v>
      </c>
      <c r="O15" s="54">
        <v>13</v>
      </c>
      <c r="P15" s="12"/>
      <c r="Q15" s="12"/>
      <c r="R15" s="18">
        <v>800</v>
      </c>
      <c r="S15" s="223"/>
      <c r="T15" s="223"/>
      <c r="U15" s="223"/>
      <c r="V15" s="12"/>
      <c r="W15" s="12">
        <f t="shared" si="0"/>
        <v>0</v>
      </c>
      <c r="X15" s="144">
        <v>698</v>
      </c>
      <c r="Y15" s="119">
        <v>752.76</v>
      </c>
      <c r="Z15" s="122">
        <f t="shared" si="1"/>
        <v>558400</v>
      </c>
      <c r="AA15" s="122">
        <f t="shared" si="2"/>
        <v>0</v>
      </c>
      <c r="AB15" s="12"/>
    </row>
    <row r="16" spans="1:29" s="90" customFormat="1" x14ac:dyDescent="0.25">
      <c r="A16" s="92" t="s">
        <v>521</v>
      </c>
      <c r="B16" s="92" t="s">
        <v>522</v>
      </c>
      <c r="C16" s="92">
        <v>10</v>
      </c>
      <c r="D16" s="92"/>
      <c r="E16" s="92">
        <v>2</v>
      </c>
      <c r="F16" s="92"/>
      <c r="G16" s="92">
        <f>VLOOKUP(A16,'[1]yourspreadsheetname (1)'!$A$2:$C$968, 3, FALSE)</f>
        <v>0</v>
      </c>
      <c r="H16" s="257">
        <v>70</v>
      </c>
      <c r="I16" s="92"/>
      <c r="J16" s="92"/>
      <c r="K16" s="92">
        <v>756674</v>
      </c>
      <c r="L16" s="92"/>
      <c r="M16" s="92" t="s">
        <v>285</v>
      </c>
      <c r="N16" s="64" t="s">
        <v>1670</v>
      </c>
      <c r="O16" s="54">
        <v>14</v>
      </c>
      <c r="P16" s="12"/>
      <c r="Q16" s="12"/>
      <c r="R16" s="18">
        <v>10</v>
      </c>
      <c r="S16" s="223"/>
      <c r="T16" s="223"/>
      <c r="U16" s="12"/>
      <c r="V16" s="12"/>
      <c r="W16" s="12">
        <f t="shared" si="0"/>
        <v>0</v>
      </c>
      <c r="X16" s="144">
        <v>27333</v>
      </c>
      <c r="Y16" s="119">
        <v>115533.26</v>
      </c>
      <c r="Z16" s="122">
        <f t="shared" si="1"/>
        <v>273330</v>
      </c>
      <c r="AA16" s="122">
        <f t="shared" si="2"/>
        <v>0</v>
      </c>
      <c r="AB16" s="12"/>
    </row>
    <row r="17" spans="1:28" s="90" customFormat="1" x14ac:dyDescent="0.25">
      <c r="A17" s="54" t="s">
        <v>1681</v>
      </c>
      <c r="B17" s="54" t="s">
        <v>1682</v>
      </c>
      <c r="C17" s="54">
        <v>10</v>
      </c>
      <c r="D17" s="54">
        <v>5</v>
      </c>
      <c r="E17" s="54">
        <v>15</v>
      </c>
      <c r="F17" s="54">
        <v>12</v>
      </c>
      <c r="G17" s="54">
        <f>VLOOKUP(A17,'[1]yourspreadsheetname (1)'!$A$2:$C$968, 3, FALSE)</f>
        <v>117</v>
      </c>
      <c r="H17" s="257">
        <v>180</v>
      </c>
      <c r="I17" s="12"/>
      <c r="J17" s="12"/>
      <c r="K17" s="54">
        <v>756674</v>
      </c>
      <c r="L17" s="54"/>
      <c r="M17" s="54" t="s">
        <v>263</v>
      </c>
      <c r="N17" s="64" t="s">
        <v>1670</v>
      </c>
      <c r="O17" s="54">
        <v>15</v>
      </c>
      <c r="P17" s="12" t="s">
        <v>428</v>
      </c>
      <c r="Q17" s="12"/>
      <c r="R17" s="18">
        <v>30</v>
      </c>
      <c r="S17" s="223"/>
      <c r="T17" s="223"/>
      <c r="U17" s="223">
        <v>30</v>
      </c>
      <c r="V17" s="12"/>
      <c r="W17" s="12">
        <f t="shared" si="0"/>
        <v>30</v>
      </c>
      <c r="X17" s="144">
        <v>5684.05</v>
      </c>
      <c r="Y17" s="119">
        <v>6099</v>
      </c>
      <c r="Z17" s="122">
        <f t="shared" si="1"/>
        <v>170521.5</v>
      </c>
      <c r="AA17" s="122">
        <f t="shared" si="2"/>
        <v>182970</v>
      </c>
      <c r="AB17" s="12"/>
    </row>
    <row r="18" spans="1:28" s="73" customFormat="1" x14ac:dyDescent="0.25">
      <c r="A18" s="92" t="s">
        <v>454</v>
      </c>
      <c r="B18" s="92" t="s">
        <v>455</v>
      </c>
      <c r="C18" s="92">
        <v>10</v>
      </c>
      <c r="D18" s="259">
        <v>3</v>
      </c>
      <c r="E18" s="259">
        <v>3</v>
      </c>
      <c r="F18" s="259">
        <v>3</v>
      </c>
      <c r="G18" s="92">
        <v>0</v>
      </c>
      <c r="H18" s="257">
        <v>30</v>
      </c>
      <c r="I18" s="259"/>
      <c r="J18" s="259"/>
      <c r="K18" s="92">
        <v>756674</v>
      </c>
      <c r="L18" s="92"/>
      <c r="M18" s="259" t="s">
        <v>263</v>
      </c>
      <c r="N18" s="64" t="s">
        <v>1670</v>
      </c>
      <c r="O18" s="54">
        <v>16</v>
      </c>
      <c r="P18" s="12"/>
      <c r="Q18" s="12"/>
      <c r="R18" s="18">
        <v>20</v>
      </c>
      <c r="S18" s="223"/>
      <c r="T18" s="223"/>
      <c r="U18" s="12"/>
      <c r="V18" s="12"/>
      <c r="W18" s="12">
        <f t="shared" si="0"/>
        <v>0</v>
      </c>
      <c r="X18" s="226">
        <v>10806.81</v>
      </c>
      <c r="Y18" s="227">
        <v>12759</v>
      </c>
      <c r="Z18" s="122">
        <f t="shared" si="1"/>
        <v>216136.19999999998</v>
      </c>
      <c r="AA18" s="122">
        <f t="shared" si="2"/>
        <v>0</v>
      </c>
      <c r="AB18" s="217"/>
    </row>
    <row r="19" spans="1:28" s="73" customFormat="1" x14ac:dyDescent="0.25">
      <c r="A19" s="423" t="s">
        <v>457</v>
      </c>
      <c r="B19" s="92" t="s">
        <v>458</v>
      </c>
      <c r="C19" s="92"/>
      <c r="D19" s="92">
        <v>50</v>
      </c>
      <c r="E19" s="92">
        <v>50</v>
      </c>
      <c r="F19" s="92">
        <v>100</v>
      </c>
      <c r="G19" s="92">
        <f>VLOOKUP(A19,'[1]yourspreadsheetname (1)'!$A$2:$C$968, 3, FALSE)</f>
        <v>0</v>
      </c>
      <c r="H19" s="257">
        <v>600</v>
      </c>
      <c r="I19" s="92"/>
      <c r="J19" s="92"/>
      <c r="K19" s="92">
        <v>756674</v>
      </c>
      <c r="L19" s="92"/>
      <c r="M19" s="93" t="s">
        <v>263</v>
      </c>
      <c r="N19" s="64" t="s">
        <v>1670</v>
      </c>
      <c r="O19" s="54">
        <v>17</v>
      </c>
      <c r="P19" s="12"/>
      <c r="Q19" s="12"/>
      <c r="R19" s="18">
        <f>((F19*15)-G19-I19)/2</f>
        <v>750</v>
      </c>
      <c r="S19" s="223">
        <v>500</v>
      </c>
      <c r="T19" s="223"/>
      <c r="U19" s="223"/>
      <c r="V19" s="12"/>
      <c r="W19" s="12">
        <f t="shared" si="0"/>
        <v>0</v>
      </c>
      <c r="X19" s="144">
        <v>4475</v>
      </c>
      <c r="Y19" s="119">
        <v>7361.43</v>
      </c>
      <c r="Z19" s="122">
        <f t="shared" si="1"/>
        <v>3356250</v>
      </c>
      <c r="AA19" s="122">
        <f t="shared" si="2"/>
        <v>0</v>
      </c>
      <c r="AB19" s="217"/>
    </row>
    <row r="20" spans="1:28" s="90" customFormat="1" ht="25.5" x14ac:dyDescent="0.25">
      <c r="A20" s="54" t="s">
        <v>1683</v>
      </c>
      <c r="B20" s="54" t="s">
        <v>1684</v>
      </c>
      <c r="C20" s="54">
        <v>96</v>
      </c>
      <c r="D20" s="54">
        <v>120</v>
      </c>
      <c r="E20" s="54">
        <v>130</v>
      </c>
      <c r="F20" s="54">
        <v>130</v>
      </c>
      <c r="G20" s="54">
        <f>VLOOKUP(A20,'[1]yourspreadsheetname (1)'!$A$2:$C$968, 3, FALSE)</f>
        <v>904</v>
      </c>
      <c r="H20" s="257">
        <v>1680</v>
      </c>
      <c r="I20" s="12"/>
      <c r="J20" s="12"/>
      <c r="K20" s="54">
        <v>756674</v>
      </c>
      <c r="L20" s="54"/>
      <c r="M20" s="54" t="s">
        <v>263</v>
      </c>
      <c r="N20" s="64" t="s">
        <v>1670</v>
      </c>
      <c r="O20" s="54">
        <v>18</v>
      </c>
      <c r="P20" s="12" t="s">
        <v>428</v>
      </c>
      <c r="Q20" s="12"/>
      <c r="R20" s="18">
        <v>500</v>
      </c>
      <c r="S20" s="12"/>
      <c r="T20" s="223"/>
      <c r="U20" s="12">
        <v>500</v>
      </c>
      <c r="V20" s="12"/>
      <c r="W20" s="12">
        <f t="shared" si="0"/>
        <v>500</v>
      </c>
      <c r="X20" s="119">
        <v>3916.47</v>
      </c>
      <c r="Y20" s="119">
        <v>3980</v>
      </c>
      <c r="Z20" s="122">
        <f t="shared" si="1"/>
        <v>1958235</v>
      </c>
      <c r="AA20" s="122">
        <f t="shared" si="2"/>
        <v>1990000</v>
      </c>
      <c r="AB20" s="29"/>
    </row>
    <row r="21" spans="1:28" s="73" customFormat="1" x14ac:dyDescent="0.25">
      <c r="A21" s="54" t="s">
        <v>1685</v>
      </c>
      <c r="B21" s="54" t="s">
        <v>1686</v>
      </c>
      <c r="C21" s="54">
        <v>4</v>
      </c>
      <c r="D21" s="54">
        <v>2</v>
      </c>
      <c r="E21" s="54">
        <v>3</v>
      </c>
      <c r="F21" s="54">
        <v>3</v>
      </c>
      <c r="G21" s="54">
        <f>VLOOKUP(A21,'[1]yourspreadsheetname (1)'!$A$2:$C$968, 3, FALSE)</f>
        <v>10</v>
      </c>
      <c r="H21" s="257">
        <v>40</v>
      </c>
      <c r="I21" s="92"/>
      <c r="J21" s="92"/>
      <c r="K21" s="54">
        <v>756674</v>
      </c>
      <c r="L21" s="54"/>
      <c r="M21" s="54" t="s">
        <v>263</v>
      </c>
      <c r="N21" s="64" t="s">
        <v>1670</v>
      </c>
      <c r="O21" s="54">
        <v>19</v>
      </c>
      <c r="P21" s="12" t="s">
        <v>428</v>
      </c>
      <c r="Q21" s="12"/>
      <c r="R21" s="18">
        <v>20</v>
      </c>
      <c r="S21" s="223"/>
      <c r="T21" s="223"/>
      <c r="U21" s="12">
        <v>20</v>
      </c>
      <c r="V21" s="12"/>
      <c r="W21" s="12">
        <f t="shared" si="0"/>
        <v>20</v>
      </c>
      <c r="X21" s="144">
        <v>14800</v>
      </c>
      <c r="Y21" s="119">
        <v>17741.93</v>
      </c>
      <c r="Z21" s="122">
        <f t="shared" si="1"/>
        <v>296000</v>
      </c>
      <c r="AA21" s="122">
        <f t="shared" si="2"/>
        <v>354838.6</v>
      </c>
      <c r="AB21" s="12"/>
    </row>
    <row r="22" spans="1:28" s="90" customFormat="1" x14ac:dyDescent="0.25">
      <c r="A22" s="54" t="s">
        <v>1687</v>
      </c>
      <c r="B22" s="54" t="s">
        <v>1688</v>
      </c>
      <c r="C22" s="54">
        <v>12</v>
      </c>
      <c r="D22" s="54"/>
      <c r="E22" s="54">
        <v>10</v>
      </c>
      <c r="F22" s="54">
        <v>10</v>
      </c>
      <c r="G22" s="54">
        <f>VLOOKUP(A22,'[1]yourspreadsheetname (1)'!$A$2:$C$968, 3, FALSE)</f>
        <v>0</v>
      </c>
      <c r="H22" s="257">
        <v>120</v>
      </c>
      <c r="I22" s="92"/>
      <c r="J22" s="92"/>
      <c r="K22" s="54">
        <v>756674</v>
      </c>
      <c r="L22" s="54"/>
      <c r="M22" s="96" t="s">
        <v>259</v>
      </c>
      <c r="N22" s="64" t="s">
        <v>1670</v>
      </c>
      <c r="O22" s="54">
        <v>20</v>
      </c>
      <c r="P22" s="12" t="s">
        <v>260</v>
      </c>
      <c r="Q22" s="12"/>
      <c r="R22" s="18">
        <v>60</v>
      </c>
      <c r="S22" s="223"/>
      <c r="T22" s="223"/>
      <c r="U22" s="223">
        <v>60</v>
      </c>
      <c r="V22" s="12"/>
      <c r="W22" s="12">
        <f t="shared" si="0"/>
        <v>60</v>
      </c>
      <c r="X22" s="144">
        <v>2881</v>
      </c>
      <c r="Y22" s="119">
        <v>2882.37</v>
      </c>
      <c r="Z22" s="122">
        <f t="shared" si="1"/>
        <v>172860</v>
      </c>
      <c r="AA22" s="122">
        <f t="shared" si="2"/>
        <v>172942.19999999998</v>
      </c>
      <c r="AB22" s="12"/>
    </row>
    <row r="23" spans="1:28" s="90" customFormat="1" x14ac:dyDescent="0.25">
      <c r="A23" s="54" t="s">
        <v>1478</v>
      </c>
      <c r="B23" s="54" t="s">
        <v>1689</v>
      </c>
      <c r="C23" s="54">
        <v>100</v>
      </c>
      <c r="D23" s="54">
        <v>70</v>
      </c>
      <c r="E23" s="54">
        <v>100</v>
      </c>
      <c r="F23" s="54">
        <v>120</v>
      </c>
      <c r="G23" s="54">
        <f>VLOOKUP(A23,'[1]yourspreadsheetname (1)'!$A$2:$C$968, 3, FALSE)</f>
        <v>0</v>
      </c>
      <c r="H23" s="257">
        <v>1260</v>
      </c>
      <c r="I23" s="92"/>
      <c r="J23" s="309"/>
      <c r="K23" s="54">
        <v>756674</v>
      </c>
      <c r="L23" s="54"/>
      <c r="M23" s="96" t="s">
        <v>263</v>
      </c>
      <c r="N23" s="64" t="s">
        <v>1670</v>
      </c>
      <c r="O23" s="54">
        <v>21</v>
      </c>
      <c r="P23" s="12" t="s">
        <v>428</v>
      </c>
      <c r="Q23" s="29"/>
      <c r="R23" s="18">
        <f>((F23*15)-G23-I23)/2</f>
        <v>900</v>
      </c>
      <c r="S23" s="12">
        <v>750</v>
      </c>
      <c r="T23" s="12"/>
      <c r="U23" s="12">
        <v>750</v>
      </c>
      <c r="V23" s="29"/>
      <c r="W23" s="12">
        <f t="shared" si="0"/>
        <v>750</v>
      </c>
      <c r="X23" s="144">
        <v>19700</v>
      </c>
      <c r="Y23" s="119">
        <v>21499</v>
      </c>
      <c r="Z23" s="122">
        <f t="shared" si="1"/>
        <v>17730000</v>
      </c>
      <c r="AA23" s="122">
        <f t="shared" si="2"/>
        <v>16124250</v>
      </c>
      <c r="AB23" s="122"/>
    </row>
    <row r="24" spans="1:28" s="90" customFormat="1" x14ac:dyDescent="0.25">
      <c r="A24" s="54" t="s">
        <v>1690</v>
      </c>
      <c r="B24" s="54" t="s">
        <v>1691</v>
      </c>
      <c r="C24" s="54">
        <v>25</v>
      </c>
      <c r="D24" s="54">
        <v>20</v>
      </c>
      <c r="E24" s="54">
        <v>30</v>
      </c>
      <c r="F24" s="54">
        <v>40</v>
      </c>
      <c r="G24" s="54">
        <f>VLOOKUP(A24,'[1]yourspreadsheetname (1)'!$A$2:$C$968, 3, FALSE)</f>
        <v>225</v>
      </c>
      <c r="H24" s="257">
        <v>480</v>
      </c>
      <c r="I24" s="12"/>
      <c r="J24" s="12"/>
      <c r="K24" s="54">
        <v>756674</v>
      </c>
      <c r="L24" s="54"/>
      <c r="M24" s="96" t="s">
        <v>263</v>
      </c>
      <c r="N24" s="64" t="s">
        <v>1670</v>
      </c>
      <c r="O24" s="54">
        <v>22</v>
      </c>
      <c r="P24" s="12" t="s">
        <v>428</v>
      </c>
      <c r="Q24" s="29"/>
      <c r="R24" s="18">
        <v>160</v>
      </c>
      <c r="S24" s="223"/>
      <c r="T24" s="223"/>
      <c r="U24" s="223">
        <v>160</v>
      </c>
      <c r="V24" s="29"/>
      <c r="W24" s="12">
        <f t="shared" si="0"/>
        <v>160</v>
      </c>
      <c r="X24" s="144">
        <v>2099.5</v>
      </c>
      <c r="Y24" s="119">
        <v>2090</v>
      </c>
      <c r="Z24" s="122">
        <f t="shared" si="1"/>
        <v>335920</v>
      </c>
      <c r="AA24" s="122">
        <f t="shared" si="2"/>
        <v>334400</v>
      </c>
      <c r="AB24" s="29"/>
    </row>
    <row r="25" spans="1:28" s="90" customFormat="1" x14ac:dyDescent="0.25">
      <c r="A25" s="64" t="s">
        <v>1692</v>
      </c>
      <c r="B25" s="64" t="s">
        <v>1693</v>
      </c>
      <c r="C25" s="54"/>
      <c r="D25" s="54"/>
      <c r="E25" s="54">
        <v>100</v>
      </c>
      <c r="F25" s="54">
        <v>150</v>
      </c>
      <c r="G25" s="54">
        <v>700</v>
      </c>
      <c r="H25" s="257">
        <v>600</v>
      </c>
      <c r="I25" s="12"/>
      <c r="J25" s="12"/>
      <c r="K25" s="54">
        <v>756674</v>
      </c>
      <c r="L25" s="54"/>
      <c r="M25" s="54" t="s">
        <v>263</v>
      </c>
      <c r="N25" s="64" t="s">
        <v>1670</v>
      </c>
      <c r="O25" s="54">
        <v>23</v>
      </c>
      <c r="P25" s="12" t="s">
        <v>428</v>
      </c>
      <c r="Q25" s="12"/>
      <c r="R25" s="18">
        <v>800</v>
      </c>
      <c r="S25" s="223"/>
      <c r="T25" s="223"/>
      <c r="U25" s="223">
        <v>800</v>
      </c>
      <c r="V25" s="12"/>
      <c r="W25" s="12">
        <f t="shared" si="0"/>
        <v>800</v>
      </c>
      <c r="X25" s="144">
        <v>5731.6</v>
      </c>
      <c r="Y25" s="119">
        <v>6190</v>
      </c>
      <c r="Z25" s="122">
        <f t="shared" si="1"/>
        <v>4585280</v>
      </c>
      <c r="AA25" s="122">
        <f t="shared" si="2"/>
        <v>4952000</v>
      </c>
      <c r="AB25" s="12"/>
    </row>
    <row r="26" spans="1:28" s="90" customFormat="1" x14ac:dyDescent="0.25">
      <c r="A26" s="92" t="s">
        <v>456</v>
      </c>
      <c r="B26" s="92" t="s">
        <v>2008</v>
      </c>
      <c r="C26" s="92">
        <v>2</v>
      </c>
      <c r="D26" s="92"/>
      <c r="E26" s="92">
        <v>3</v>
      </c>
      <c r="F26" s="92">
        <v>20</v>
      </c>
      <c r="G26" s="92">
        <f>VLOOKUP(A26,'[1]yourspreadsheetname (1)'!$A$2:$C$968, 3, FALSE)</f>
        <v>0</v>
      </c>
      <c r="H26" s="257">
        <v>30</v>
      </c>
      <c r="I26" s="92"/>
      <c r="J26" s="92"/>
      <c r="K26" s="92">
        <v>756674</v>
      </c>
      <c r="L26" s="92"/>
      <c r="M26" s="92" t="s">
        <v>263</v>
      </c>
      <c r="N26" s="64" t="s">
        <v>1670</v>
      </c>
      <c r="O26" s="54">
        <v>24</v>
      </c>
      <c r="P26" s="29"/>
      <c r="Q26" s="12"/>
      <c r="R26" s="18">
        <f>((F26*15)-G26-I26)/2</f>
        <v>150</v>
      </c>
      <c r="S26" s="223">
        <v>90</v>
      </c>
      <c r="T26" s="223"/>
      <c r="U26" s="223"/>
      <c r="V26" s="12"/>
      <c r="W26" s="12">
        <f t="shared" si="0"/>
        <v>0</v>
      </c>
      <c r="X26" s="144">
        <v>11285</v>
      </c>
      <c r="Y26" s="119">
        <v>14459</v>
      </c>
      <c r="Z26" s="122">
        <f t="shared" si="1"/>
        <v>1692750</v>
      </c>
      <c r="AA26" s="122">
        <f t="shared" si="2"/>
        <v>0</v>
      </c>
      <c r="AB26" s="12"/>
    </row>
    <row r="27" spans="1:28" s="90" customFormat="1" x14ac:dyDescent="0.25">
      <c r="A27" s="54" t="s">
        <v>1694</v>
      </c>
      <c r="B27" s="54" t="s">
        <v>1695</v>
      </c>
      <c r="C27" s="125"/>
      <c r="D27" s="125"/>
      <c r="E27" s="125">
        <v>20</v>
      </c>
      <c r="F27" s="125">
        <v>20</v>
      </c>
      <c r="G27" s="54">
        <f>VLOOKUP(A27,'[1]yourspreadsheetname (1)'!$A$2:$C$968, 3, FALSE)</f>
        <v>60</v>
      </c>
      <c r="H27" s="257">
        <v>240</v>
      </c>
      <c r="I27" s="245"/>
      <c r="J27" s="404"/>
      <c r="K27" s="54">
        <v>756674</v>
      </c>
      <c r="L27" s="125"/>
      <c r="M27" s="125" t="s">
        <v>263</v>
      </c>
      <c r="N27" s="64" t="s">
        <v>1670</v>
      </c>
      <c r="O27" s="125">
        <v>25</v>
      </c>
      <c r="P27" s="12" t="s">
        <v>428</v>
      </c>
      <c r="Q27" s="184"/>
      <c r="R27" s="18">
        <f>((F27*15)-G27-I27)/2</f>
        <v>120</v>
      </c>
      <c r="S27" s="184"/>
      <c r="T27" s="184"/>
      <c r="U27" s="184">
        <v>120</v>
      </c>
      <c r="V27" s="229"/>
      <c r="W27" s="12">
        <f t="shared" si="0"/>
        <v>120</v>
      </c>
      <c r="X27" s="230">
        <v>3250</v>
      </c>
      <c r="Y27" s="230">
        <v>2272.73</v>
      </c>
      <c r="Z27" s="122">
        <f t="shared" si="1"/>
        <v>390000</v>
      </c>
      <c r="AA27" s="122">
        <f t="shared" si="2"/>
        <v>272727.59999999998</v>
      </c>
      <c r="AB27" s="217"/>
    </row>
    <row r="28" spans="1:28" s="90" customFormat="1" ht="26.25" customHeight="1" x14ac:dyDescent="0.25">
      <c r="A28" s="60" t="s">
        <v>313</v>
      </c>
      <c r="B28" s="60" t="s">
        <v>314</v>
      </c>
      <c r="C28" s="508"/>
      <c r="D28" s="92"/>
      <c r="E28" s="92">
        <v>10</v>
      </c>
      <c r="F28" s="92">
        <v>10</v>
      </c>
      <c r="G28" s="92">
        <f>VLOOKUP(A28,'[1]yourspreadsheetname (1)'!$A$2:$C$968, 3, FALSE)</f>
        <v>55</v>
      </c>
      <c r="H28" s="257">
        <v>120</v>
      </c>
      <c r="I28" s="92"/>
      <c r="J28" s="92"/>
      <c r="K28" s="92">
        <v>756674</v>
      </c>
      <c r="L28" s="92"/>
      <c r="M28" s="92" t="s">
        <v>285</v>
      </c>
      <c r="N28" s="64" t="s">
        <v>1670</v>
      </c>
      <c r="O28" s="54">
        <v>26</v>
      </c>
      <c r="P28" s="12"/>
      <c r="Q28" s="12"/>
      <c r="R28" s="18">
        <v>60</v>
      </c>
      <c r="S28" s="12"/>
      <c r="T28" s="12"/>
      <c r="U28" s="12"/>
      <c r="V28" s="12"/>
      <c r="W28" s="12">
        <f t="shared" si="0"/>
        <v>0</v>
      </c>
      <c r="X28" s="154"/>
      <c r="Y28" s="119"/>
      <c r="Z28" s="122">
        <f t="shared" si="1"/>
        <v>0</v>
      </c>
      <c r="AA28" s="122">
        <f t="shared" si="2"/>
        <v>0</v>
      </c>
      <c r="AB28" s="12"/>
    </row>
    <row r="29" spans="1:28" s="90" customFormat="1" x14ac:dyDescent="0.25">
      <c r="A29" s="126" t="s">
        <v>1696</v>
      </c>
      <c r="B29" s="126" t="s">
        <v>1697</v>
      </c>
      <c r="C29" s="173"/>
      <c r="D29" s="173"/>
      <c r="E29" s="173">
        <v>5</v>
      </c>
      <c r="F29" s="173">
        <v>2</v>
      </c>
      <c r="G29" s="54">
        <v>0</v>
      </c>
      <c r="H29" s="257">
        <v>0</v>
      </c>
      <c r="I29" s="76"/>
      <c r="J29" s="76"/>
      <c r="K29" s="54">
        <v>756674</v>
      </c>
      <c r="L29" s="173"/>
      <c r="M29" s="173" t="s">
        <v>263</v>
      </c>
      <c r="N29" s="64" t="s">
        <v>1670</v>
      </c>
      <c r="O29" s="173">
        <v>27</v>
      </c>
      <c r="P29" s="12" t="s">
        <v>428</v>
      </c>
      <c r="Q29" s="76"/>
      <c r="R29" s="18">
        <v>20</v>
      </c>
      <c r="S29" s="76"/>
      <c r="T29" s="76"/>
      <c r="U29" s="31">
        <v>20</v>
      </c>
      <c r="V29" s="31"/>
      <c r="W29" s="12">
        <f t="shared" si="0"/>
        <v>20</v>
      </c>
      <c r="X29" s="151">
        <v>25461</v>
      </c>
      <c r="Y29" s="151">
        <v>17872.400000000001</v>
      </c>
      <c r="Z29" s="122">
        <f t="shared" si="1"/>
        <v>509220</v>
      </c>
      <c r="AA29" s="122">
        <f t="shared" si="2"/>
        <v>357448</v>
      </c>
      <c r="AB29" s="31"/>
    </row>
    <row r="30" spans="1:28" s="90" customFormat="1" x14ac:dyDescent="0.25">
      <c r="A30" s="54" t="s">
        <v>1698</v>
      </c>
      <c r="B30" s="96" t="s">
        <v>1699</v>
      </c>
      <c r="C30" s="96"/>
      <c r="D30" s="54"/>
      <c r="E30" s="54">
        <v>10</v>
      </c>
      <c r="F30" s="54">
        <v>20</v>
      </c>
      <c r="G30" s="54">
        <f>VLOOKUP(A30,'[1]yourspreadsheetname (1)'!$A$2:$C$968, 3, FALSE)</f>
        <v>0</v>
      </c>
      <c r="H30" s="257">
        <v>120</v>
      </c>
      <c r="I30" s="92"/>
      <c r="J30" s="92"/>
      <c r="K30" s="54">
        <v>756674</v>
      </c>
      <c r="L30" s="54"/>
      <c r="M30" s="54" t="s">
        <v>263</v>
      </c>
      <c r="N30" s="64" t="s">
        <v>1670</v>
      </c>
      <c r="O30" s="54">
        <v>28</v>
      </c>
      <c r="P30" s="12" t="s">
        <v>428</v>
      </c>
      <c r="Q30" s="29"/>
      <c r="R30" s="18">
        <f>((F30*15)-G30-I30)/2</f>
        <v>150</v>
      </c>
      <c r="S30" s="12"/>
      <c r="T30" s="12"/>
      <c r="U30" s="12">
        <v>150</v>
      </c>
      <c r="V30" s="29"/>
      <c r="W30" s="12">
        <f t="shared" si="0"/>
        <v>150</v>
      </c>
      <c r="X30" s="144">
        <v>7890</v>
      </c>
      <c r="Y30" s="119">
        <v>8790</v>
      </c>
      <c r="Z30" s="122">
        <f t="shared" si="1"/>
        <v>1183500</v>
      </c>
      <c r="AA30" s="122">
        <f t="shared" si="2"/>
        <v>1318500</v>
      </c>
      <c r="AB30" s="29"/>
    </row>
    <row r="31" spans="1:28" s="90" customFormat="1" x14ac:dyDescent="0.25">
      <c r="A31" s="81" t="s">
        <v>1700</v>
      </c>
      <c r="B31" s="81" t="s">
        <v>1701</v>
      </c>
      <c r="C31" s="81">
        <v>30</v>
      </c>
      <c r="D31" s="54">
        <v>20</v>
      </c>
      <c r="E31" s="54">
        <v>30</v>
      </c>
      <c r="F31" s="54">
        <v>30</v>
      </c>
      <c r="G31" s="54">
        <f>VLOOKUP(A31,'[1]yourspreadsheetname (1)'!$A$2:$C$968, 3, FALSE)</f>
        <v>274</v>
      </c>
      <c r="H31" s="257">
        <v>360</v>
      </c>
      <c r="I31" s="12"/>
      <c r="J31" s="12"/>
      <c r="K31" s="54">
        <v>756674</v>
      </c>
      <c r="L31" s="54"/>
      <c r="M31" s="54" t="s">
        <v>293</v>
      </c>
      <c r="N31" s="64" t="s">
        <v>1670</v>
      </c>
      <c r="O31" s="54">
        <v>29</v>
      </c>
      <c r="P31" s="12" t="s">
        <v>1702</v>
      </c>
      <c r="Q31" s="12"/>
      <c r="R31" s="18">
        <v>100</v>
      </c>
      <c r="S31" s="223"/>
      <c r="T31" s="223"/>
      <c r="U31" s="223">
        <v>100</v>
      </c>
      <c r="V31" s="12"/>
      <c r="W31" s="12">
        <f t="shared" si="0"/>
        <v>100</v>
      </c>
      <c r="X31" s="144">
        <v>5240</v>
      </c>
      <c r="Y31" s="119">
        <v>6435</v>
      </c>
      <c r="Z31" s="122">
        <f t="shared" si="1"/>
        <v>524000</v>
      </c>
      <c r="AA31" s="122">
        <f t="shared" si="2"/>
        <v>643500</v>
      </c>
      <c r="AB31" s="12"/>
    </row>
    <row r="32" spans="1:28" s="90" customFormat="1" x14ac:dyDescent="0.25">
      <c r="A32" s="92" t="s">
        <v>315</v>
      </c>
      <c r="B32" s="92" t="s">
        <v>316</v>
      </c>
      <c r="C32" s="92"/>
      <c r="D32" s="303"/>
      <c r="E32" s="428">
        <v>4</v>
      </c>
      <c r="F32" s="428">
        <v>1</v>
      </c>
      <c r="G32" s="92">
        <f>VLOOKUP(A32,'[1]yourspreadsheetname (1)'!$A$2:$C$968, 3, FALSE)</f>
        <v>5</v>
      </c>
      <c r="H32" s="257">
        <v>40</v>
      </c>
      <c r="I32" s="303"/>
      <c r="J32" s="303"/>
      <c r="K32" s="92">
        <v>756674</v>
      </c>
      <c r="L32" s="404"/>
      <c r="M32" s="428" t="s">
        <v>285</v>
      </c>
      <c r="N32" s="64" t="s">
        <v>1670</v>
      </c>
      <c r="O32" s="126">
        <v>30</v>
      </c>
      <c r="P32" s="12"/>
      <c r="Q32" s="184"/>
      <c r="R32" s="18">
        <f>((F32*15)-G32-I32)/2</f>
        <v>5</v>
      </c>
      <c r="S32" s="110"/>
      <c r="T32" s="110"/>
      <c r="U32" s="110"/>
      <c r="V32" s="229"/>
      <c r="W32" s="12">
        <f t="shared" si="0"/>
        <v>0</v>
      </c>
      <c r="X32" s="155">
        <v>6340</v>
      </c>
      <c r="Y32" s="230"/>
      <c r="Z32" s="122">
        <f t="shared" si="1"/>
        <v>31700</v>
      </c>
      <c r="AA32" s="122">
        <f t="shared" si="2"/>
        <v>0</v>
      </c>
      <c r="AB32" s="229"/>
    </row>
    <row r="33" spans="1:29" s="73" customFormat="1" x14ac:dyDescent="0.25">
      <c r="A33" s="428" t="s">
        <v>317</v>
      </c>
      <c r="B33" s="428" t="s">
        <v>318</v>
      </c>
      <c r="C33" s="259">
        <v>20</v>
      </c>
      <c r="D33" s="92"/>
      <c r="E33" s="92">
        <v>0</v>
      </c>
      <c r="F33" s="92">
        <v>2</v>
      </c>
      <c r="G33" s="92">
        <f>VLOOKUP(A33,'[1]yourspreadsheetname (1)'!$A$2:$C$968, 3, FALSE)</f>
        <v>7</v>
      </c>
      <c r="H33" s="257">
        <v>10</v>
      </c>
      <c r="I33" s="92"/>
      <c r="J33" s="92"/>
      <c r="K33" s="92">
        <v>756674</v>
      </c>
      <c r="L33" s="92"/>
      <c r="M33" s="92" t="s">
        <v>285</v>
      </c>
      <c r="N33" s="64" t="s">
        <v>1670</v>
      </c>
      <c r="O33" s="54">
        <v>31</v>
      </c>
      <c r="P33" s="12"/>
      <c r="Q33" s="12"/>
      <c r="R33" s="18">
        <v>10</v>
      </c>
      <c r="S33" s="223"/>
      <c r="T33" s="223"/>
      <c r="U33" s="12"/>
      <c r="V33" s="12"/>
      <c r="W33" s="12">
        <f t="shared" si="0"/>
        <v>0</v>
      </c>
      <c r="X33" s="144">
        <v>7132</v>
      </c>
      <c r="Y33" s="119"/>
      <c r="Z33" s="122">
        <f t="shared" si="1"/>
        <v>71320</v>
      </c>
      <c r="AA33" s="122">
        <f t="shared" si="2"/>
        <v>0</v>
      </c>
      <c r="AB33" s="12"/>
    </row>
    <row r="34" spans="1:29" s="90" customFormat="1" x14ac:dyDescent="0.25">
      <c r="A34" s="83" t="s">
        <v>1703</v>
      </c>
      <c r="B34" s="83" t="s">
        <v>1704</v>
      </c>
      <c r="C34" s="83"/>
      <c r="D34" s="54"/>
      <c r="E34" s="54">
        <v>40</v>
      </c>
      <c r="F34" s="54">
        <v>60</v>
      </c>
      <c r="G34" s="54">
        <f>VLOOKUP(A34,'[1]yourspreadsheetname (1)'!$A$2:$C$968, 3, FALSE)</f>
        <v>0</v>
      </c>
      <c r="H34" s="257">
        <v>300</v>
      </c>
      <c r="I34" s="12"/>
      <c r="J34" s="12"/>
      <c r="K34" s="54">
        <v>756674</v>
      </c>
      <c r="L34" s="54"/>
      <c r="M34" s="507" t="s">
        <v>259</v>
      </c>
      <c r="N34" s="64" t="s">
        <v>1670</v>
      </c>
      <c r="O34" s="54">
        <v>32</v>
      </c>
      <c r="P34" s="12" t="s">
        <v>260</v>
      </c>
      <c r="Q34" s="12"/>
      <c r="R34" s="18">
        <f>((F34*15)-G34-I34)/2</f>
        <v>450</v>
      </c>
      <c r="S34" s="223"/>
      <c r="T34" s="223"/>
      <c r="U34" s="223">
        <v>450</v>
      </c>
      <c r="V34" s="12"/>
      <c r="W34" s="12">
        <f t="shared" si="0"/>
        <v>450</v>
      </c>
      <c r="X34" s="225">
        <v>1505</v>
      </c>
      <c r="Y34" s="119">
        <v>1724</v>
      </c>
      <c r="Z34" s="122">
        <f t="shared" si="1"/>
        <v>677250</v>
      </c>
      <c r="AA34" s="122">
        <f t="shared" si="2"/>
        <v>775800</v>
      </c>
      <c r="AB34" s="217"/>
    </row>
    <row r="35" spans="1:29" s="90" customFormat="1" x14ac:dyDescent="0.25">
      <c r="A35" s="54" t="s">
        <v>1705</v>
      </c>
      <c r="B35" s="54" t="s">
        <v>1706</v>
      </c>
      <c r="C35" s="54"/>
      <c r="D35" s="54"/>
      <c r="E35" s="54">
        <v>40</v>
      </c>
      <c r="F35" s="54">
        <v>60</v>
      </c>
      <c r="G35" s="54">
        <v>279</v>
      </c>
      <c r="H35" s="257">
        <v>240</v>
      </c>
      <c r="I35" s="12"/>
      <c r="J35" s="12"/>
      <c r="K35" s="54">
        <v>756674</v>
      </c>
      <c r="L35" s="54"/>
      <c r="M35" s="54" t="s">
        <v>293</v>
      </c>
      <c r="N35" s="64" t="s">
        <v>1670</v>
      </c>
      <c r="O35" s="54">
        <v>33</v>
      </c>
      <c r="P35" s="12" t="s">
        <v>1702</v>
      </c>
      <c r="Q35" s="12" t="s">
        <v>1966</v>
      </c>
      <c r="R35" s="18">
        <v>300</v>
      </c>
      <c r="S35" s="223"/>
      <c r="T35" s="223"/>
      <c r="U35" s="223">
        <v>300</v>
      </c>
      <c r="V35" s="12">
        <v>300</v>
      </c>
      <c r="W35" s="12">
        <f t="shared" ref="W35:W66" si="3">U35+V35</f>
        <v>600</v>
      </c>
      <c r="X35" s="154">
        <v>5966.53</v>
      </c>
      <c r="Y35" s="119">
        <v>7919</v>
      </c>
      <c r="Z35" s="122">
        <f t="shared" ref="Z35:Z68" si="4">R35*X35</f>
        <v>1789959</v>
      </c>
      <c r="AA35" s="122">
        <f t="shared" ref="AA35:AA68" si="5">W35*Y35</f>
        <v>4751400</v>
      </c>
      <c r="AB35" s="12"/>
    </row>
    <row r="36" spans="1:29" s="73" customFormat="1" ht="15" customHeight="1" x14ac:dyDescent="0.25">
      <c r="A36" s="81" t="s">
        <v>1707</v>
      </c>
      <c r="B36" s="128" t="s">
        <v>1708</v>
      </c>
      <c r="C36" s="126"/>
      <c r="D36" s="126"/>
      <c r="E36" s="126">
        <v>20</v>
      </c>
      <c r="F36" s="126">
        <v>15</v>
      </c>
      <c r="G36" s="54">
        <f>VLOOKUP(A36,'[1]yourspreadsheetname (1)'!$A$2:$C$968, 3, FALSE)</f>
        <v>180</v>
      </c>
      <c r="H36" s="257">
        <v>205</v>
      </c>
      <c r="I36" s="126"/>
      <c r="J36" s="126"/>
      <c r="K36" s="54">
        <v>756674</v>
      </c>
      <c r="L36" s="54"/>
      <c r="M36" s="54" t="s">
        <v>263</v>
      </c>
      <c r="N36" s="64" t="s">
        <v>1670</v>
      </c>
      <c r="O36" s="54">
        <v>34</v>
      </c>
      <c r="P36" s="12" t="s">
        <v>428</v>
      </c>
      <c r="Q36" s="233"/>
      <c r="R36" s="18">
        <v>25</v>
      </c>
      <c r="S36" s="233"/>
      <c r="T36" s="12"/>
      <c r="U36" s="233">
        <v>25</v>
      </c>
      <c r="V36" s="233"/>
      <c r="W36" s="12">
        <f t="shared" si="3"/>
        <v>25</v>
      </c>
      <c r="X36" s="234">
        <v>5252.8</v>
      </c>
      <c r="Y36" s="234">
        <v>5390</v>
      </c>
      <c r="Z36" s="122">
        <f t="shared" si="4"/>
        <v>131320</v>
      </c>
      <c r="AA36" s="122">
        <f t="shared" si="5"/>
        <v>134750</v>
      </c>
      <c r="AB36" s="217"/>
    </row>
    <row r="37" spans="1:29" s="73" customFormat="1" x14ac:dyDescent="0.25">
      <c r="A37" s="92" t="s">
        <v>459</v>
      </c>
      <c r="B37" s="92" t="s">
        <v>460</v>
      </c>
      <c r="C37" s="92"/>
      <c r="D37" s="259"/>
      <c r="E37" s="259">
        <v>10</v>
      </c>
      <c r="F37" s="259">
        <v>6</v>
      </c>
      <c r="G37" s="92">
        <f>VLOOKUP(A37,'[1]yourspreadsheetname (1)'!$A$2:$C$968, 3, FALSE)</f>
        <v>40</v>
      </c>
      <c r="H37" s="257">
        <v>90</v>
      </c>
      <c r="I37" s="259"/>
      <c r="J37" s="259"/>
      <c r="K37" s="92">
        <v>756674</v>
      </c>
      <c r="L37" s="92"/>
      <c r="M37" s="259" t="s">
        <v>263</v>
      </c>
      <c r="N37" s="64" t="s">
        <v>1670</v>
      </c>
      <c r="O37" s="54">
        <v>35</v>
      </c>
      <c r="P37" s="29"/>
      <c r="Q37" s="12"/>
      <c r="R37" s="18">
        <f>((F37*15)-G37-I37)/2</f>
        <v>25</v>
      </c>
      <c r="S37" s="223"/>
      <c r="T37" s="223"/>
      <c r="U37" s="12"/>
      <c r="V37" s="12"/>
      <c r="W37" s="12">
        <f t="shared" si="3"/>
        <v>0</v>
      </c>
      <c r="X37" s="226">
        <v>9557.57</v>
      </c>
      <c r="Y37" s="227">
        <v>24796.02</v>
      </c>
      <c r="Z37" s="122">
        <f t="shared" si="4"/>
        <v>238939.25</v>
      </c>
      <c r="AA37" s="122">
        <f t="shared" si="5"/>
        <v>0</v>
      </c>
      <c r="AB37" s="217"/>
    </row>
    <row r="38" spans="1:29" s="90" customFormat="1" ht="15.75" customHeight="1" x14ac:dyDescent="0.25">
      <c r="A38" s="259" t="s">
        <v>461</v>
      </c>
      <c r="B38" s="259" t="s">
        <v>218</v>
      </c>
      <c r="C38" s="92">
        <v>2</v>
      </c>
      <c r="D38" s="92"/>
      <c r="E38" s="92">
        <v>2</v>
      </c>
      <c r="F38" s="92">
        <v>2</v>
      </c>
      <c r="G38" s="92" t="e">
        <f>VLOOKUP(A38,'[1]yourspreadsheetname (1)'!$A$2:$C$968, 3, FALSE)</f>
        <v>#N/A</v>
      </c>
      <c r="H38" s="257">
        <v>24</v>
      </c>
      <c r="I38" s="92"/>
      <c r="J38" s="92"/>
      <c r="K38" s="92">
        <v>756674</v>
      </c>
      <c r="L38" s="92"/>
      <c r="M38" s="92" t="s">
        <v>285</v>
      </c>
      <c r="N38" s="64" t="s">
        <v>1670</v>
      </c>
      <c r="O38" s="54">
        <v>36</v>
      </c>
      <c r="P38" s="12"/>
      <c r="Q38" s="12"/>
      <c r="R38" s="18">
        <v>15</v>
      </c>
      <c r="S38" s="223"/>
      <c r="T38" s="223"/>
      <c r="U38" s="12"/>
      <c r="V38" s="12"/>
      <c r="W38" s="12">
        <f t="shared" si="3"/>
        <v>0</v>
      </c>
      <c r="X38" s="144">
        <v>8950</v>
      </c>
      <c r="Y38" s="119">
        <v>21683</v>
      </c>
      <c r="Z38" s="122">
        <f t="shared" si="4"/>
        <v>134250</v>
      </c>
      <c r="AA38" s="122">
        <f t="shared" si="5"/>
        <v>0</v>
      </c>
      <c r="AB38" s="12"/>
    </row>
    <row r="39" spans="1:29" s="73" customFormat="1" x14ac:dyDescent="0.25">
      <c r="A39" s="259" t="s">
        <v>219</v>
      </c>
      <c r="B39" s="559" t="s">
        <v>220</v>
      </c>
      <c r="C39" s="559">
        <v>60</v>
      </c>
      <c r="D39" s="92"/>
      <c r="E39" s="92">
        <v>80</v>
      </c>
      <c r="F39" s="92">
        <v>60</v>
      </c>
      <c r="G39" s="92">
        <f>VLOOKUP(A39,'[1]yourspreadsheetname (1)'!$A$2:$C$968, 3, FALSE)</f>
        <v>0</v>
      </c>
      <c r="H39" s="257">
        <v>480</v>
      </c>
      <c r="I39" s="92"/>
      <c r="J39" s="92"/>
      <c r="K39" s="92">
        <v>756674</v>
      </c>
      <c r="L39" s="92"/>
      <c r="M39" s="92" t="s">
        <v>263</v>
      </c>
      <c r="N39" s="64" t="s">
        <v>1670</v>
      </c>
      <c r="O39" s="54">
        <v>37</v>
      </c>
      <c r="P39" s="12"/>
      <c r="Q39" s="12"/>
      <c r="R39" s="18">
        <f>((F39*15)-G39-I39)/2</f>
        <v>450</v>
      </c>
      <c r="S39" s="223"/>
      <c r="T39" s="223"/>
      <c r="U39" s="223"/>
      <c r="V39" s="12"/>
      <c r="W39" s="12">
        <f t="shared" si="3"/>
        <v>0</v>
      </c>
      <c r="X39" s="144">
        <v>4350</v>
      </c>
      <c r="Y39" s="119">
        <v>22996.9</v>
      </c>
      <c r="Z39" s="122">
        <f t="shared" si="4"/>
        <v>1957500</v>
      </c>
      <c r="AA39" s="122">
        <f t="shared" si="5"/>
        <v>0</v>
      </c>
      <c r="AB39" s="12"/>
    </row>
    <row r="40" spans="1:29" s="73" customFormat="1" x14ac:dyDescent="0.25">
      <c r="A40" s="54" t="s">
        <v>1709</v>
      </c>
      <c r="B40" s="54" t="s">
        <v>1710</v>
      </c>
      <c r="C40" s="54"/>
      <c r="D40" s="54"/>
      <c r="E40" s="54">
        <v>20</v>
      </c>
      <c r="F40" s="54">
        <v>20</v>
      </c>
      <c r="G40" s="54">
        <f>VLOOKUP(A40,'[1]yourspreadsheetname (1)'!$A$2:$C$968, 3, FALSE)</f>
        <v>0</v>
      </c>
      <c r="H40" s="257">
        <v>240</v>
      </c>
      <c r="I40" s="92"/>
      <c r="J40" s="92"/>
      <c r="K40" s="54">
        <v>756674</v>
      </c>
      <c r="L40" s="54"/>
      <c r="M40" s="54" t="s">
        <v>263</v>
      </c>
      <c r="N40" s="64" t="s">
        <v>1670</v>
      </c>
      <c r="O40" s="54">
        <v>38</v>
      </c>
      <c r="P40" s="12" t="s">
        <v>428</v>
      </c>
      <c r="Q40" s="12"/>
      <c r="R40" s="18">
        <f>((F40*15)-G40-I40)/2</f>
        <v>150</v>
      </c>
      <c r="S40" s="223"/>
      <c r="T40" s="223"/>
      <c r="U40" s="223">
        <v>150</v>
      </c>
      <c r="V40" s="12"/>
      <c r="W40" s="12">
        <f t="shared" si="3"/>
        <v>150</v>
      </c>
      <c r="X40" s="144">
        <v>19800</v>
      </c>
      <c r="Y40" s="119">
        <v>18995</v>
      </c>
      <c r="Z40" s="122">
        <f t="shared" si="4"/>
        <v>2970000</v>
      </c>
      <c r="AA40" s="122">
        <f t="shared" si="5"/>
        <v>2849250</v>
      </c>
      <c r="AB40" s="12"/>
    </row>
    <row r="41" spans="1:29" s="73" customFormat="1" ht="27" customHeight="1" x14ac:dyDescent="0.25">
      <c r="A41" s="105" t="s">
        <v>1711</v>
      </c>
      <c r="B41" s="105" t="s">
        <v>1712</v>
      </c>
      <c r="C41" s="173"/>
      <c r="D41" s="173"/>
      <c r="E41" s="173"/>
      <c r="F41" s="173">
        <v>30</v>
      </c>
      <c r="G41" s="54">
        <v>0</v>
      </c>
      <c r="H41" s="257">
        <v>0</v>
      </c>
      <c r="I41" s="76"/>
      <c r="J41" s="76"/>
      <c r="K41" s="54">
        <v>756674</v>
      </c>
      <c r="L41" s="66"/>
      <c r="M41" s="173" t="s">
        <v>263</v>
      </c>
      <c r="N41" s="64" t="s">
        <v>1670</v>
      </c>
      <c r="O41" s="173">
        <v>39</v>
      </c>
      <c r="P41" s="12" t="s">
        <v>428</v>
      </c>
      <c r="Q41" s="76"/>
      <c r="R41" s="18">
        <v>180</v>
      </c>
      <c r="S41" s="76"/>
      <c r="T41" s="18"/>
      <c r="U41" s="31">
        <v>180</v>
      </c>
      <c r="V41" s="31"/>
      <c r="W41" s="12">
        <f t="shared" si="3"/>
        <v>180</v>
      </c>
      <c r="X41" s="151">
        <v>14365.26</v>
      </c>
      <c r="Y41" s="151">
        <v>11699</v>
      </c>
      <c r="Z41" s="122">
        <f t="shared" si="4"/>
        <v>2585746.7999999998</v>
      </c>
      <c r="AA41" s="122">
        <f t="shared" si="5"/>
        <v>2105820</v>
      </c>
      <c r="AB41" s="31"/>
    </row>
    <row r="42" spans="1:29" s="90" customFormat="1" x14ac:dyDescent="0.25">
      <c r="A42" s="54" t="s">
        <v>1713</v>
      </c>
      <c r="B42" s="54" t="s">
        <v>1714</v>
      </c>
      <c r="C42" s="54"/>
      <c r="D42" s="54"/>
      <c r="E42" s="54">
        <v>10</v>
      </c>
      <c r="F42" s="54">
        <v>10</v>
      </c>
      <c r="G42" s="54">
        <v>90</v>
      </c>
      <c r="H42" s="257">
        <v>60</v>
      </c>
      <c r="I42" s="12"/>
      <c r="J42" s="12"/>
      <c r="K42" s="54">
        <v>756674</v>
      </c>
      <c r="L42" s="54"/>
      <c r="M42" s="64" t="s">
        <v>259</v>
      </c>
      <c r="N42" s="64" t="s">
        <v>1670</v>
      </c>
      <c r="O42" s="54">
        <v>40</v>
      </c>
      <c r="P42" s="12" t="s">
        <v>260</v>
      </c>
      <c r="Q42" s="233"/>
      <c r="R42" s="18">
        <f>((F42*15)-G42-I42)/2</f>
        <v>30</v>
      </c>
      <c r="S42" s="12"/>
      <c r="T42" s="223"/>
      <c r="U42" s="12">
        <v>30</v>
      </c>
      <c r="V42" s="12"/>
      <c r="W42" s="12">
        <f t="shared" si="3"/>
        <v>30</v>
      </c>
      <c r="X42" s="144">
        <v>10500</v>
      </c>
      <c r="Y42" s="119">
        <v>12110.74</v>
      </c>
      <c r="Z42" s="122">
        <f t="shared" si="4"/>
        <v>315000</v>
      </c>
      <c r="AA42" s="122">
        <f t="shared" si="5"/>
        <v>363322.2</v>
      </c>
      <c r="AB42" s="217"/>
    </row>
    <row r="43" spans="1:29" s="90" customFormat="1" x14ac:dyDescent="0.25">
      <c r="A43" s="54" t="s">
        <v>1519</v>
      </c>
      <c r="B43" s="54" t="s">
        <v>1715</v>
      </c>
      <c r="C43" s="54">
        <v>4</v>
      </c>
      <c r="D43" s="54"/>
      <c r="E43" s="54">
        <v>4</v>
      </c>
      <c r="F43" s="54">
        <v>4</v>
      </c>
      <c r="G43" s="54">
        <f>VLOOKUP(A43,'[1]yourspreadsheetname (1)'!$A$2:$C$968, 3, FALSE)</f>
        <v>6</v>
      </c>
      <c r="H43" s="257">
        <v>48</v>
      </c>
      <c r="I43" s="92"/>
      <c r="J43" s="92"/>
      <c r="K43" s="54">
        <v>756674</v>
      </c>
      <c r="L43" s="54"/>
      <c r="M43" s="507" t="s">
        <v>263</v>
      </c>
      <c r="N43" s="64" t="s">
        <v>1670</v>
      </c>
      <c r="O43" s="54">
        <v>41</v>
      </c>
      <c r="P43" s="12" t="s">
        <v>428</v>
      </c>
      <c r="Q43" s="12"/>
      <c r="R43" s="18">
        <v>30</v>
      </c>
      <c r="S43" s="223"/>
      <c r="T43" s="223"/>
      <c r="U43" s="223">
        <v>30</v>
      </c>
      <c r="V43" s="12"/>
      <c r="W43" s="12">
        <f t="shared" si="3"/>
        <v>30</v>
      </c>
      <c r="X43" s="225">
        <v>15598.5</v>
      </c>
      <c r="Y43" s="119">
        <v>17690</v>
      </c>
      <c r="Z43" s="122">
        <f t="shared" si="4"/>
        <v>467955</v>
      </c>
      <c r="AA43" s="122">
        <f t="shared" si="5"/>
        <v>530700</v>
      </c>
      <c r="AB43" s="217"/>
    </row>
    <row r="44" spans="1:29" s="90" customFormat="1" x14ac:dyDescent="0.25">
      <c r="A44" s="405" t="s">
        <v>1716</v>
      </c>
      <c r="B44" s="406" t="s">
        <v>1717</v>
      </c>
      <c r="C44" s="406"/>
      <c r="D44" s="173"/>
      <c r="E44" s="173"/>
      <c r="F44" s="173">
        <v>0</v>
      </c>
      <c r="G44" s="54">
        <v>0</v>
      </c>
      <c r="H44" s="257">
        <v>300</v>
      </c>
      <c r="I44" s="76"/>
      <c r="J44" s="76"/>
      <c r="K44" s="173"/>
      <c r="L44" s="173"/>
      <c r="M44" s="173"/>
      <c r="N44" s="173"/>
      <c r="O44" s="173"/>
      <c r="P44" s="76"/>
      <c r="Q44" s="76"/>
      <c r="R44" s="18">
        <f>((F44*15)-G44-I44)/2</f>
        <v>0</v>
      </c>
      <c r="S44" s="76"/>
      <c r="T44" s="76"/>
      <c r="U44" s="31"/>
      <c r="V44" s="31"/>
      <c r="W44" s="12">
        <f t="shared" si="3"/>
        <v>0</v>
      </c>
      <c r="X44" s="151"/>
      <c r="Y44" s="151"/>
      <c r="Z44" s="122">
        <f t="shared" si="4"/>
        <v>0</v>
      </c>
      <c r="AA44" s="122">
        <f t="shared" si="5"/>
        <v>0</v>
      </c>
      <c r="AB44" s="31"/>
    </row>
    <row r="45" spans="1:29" s="90" customFormat="1" x14ac:dyDescent="0.25">
      <c r="A45" s="54" t="s">
        <v>1718</v>
      </c>
      <c r="B45" s="54" t="s">
        <v>1719</v>
      </c>
      <c r="C45" s="54"/>
      <c r="D45" s="54">
        <v>100</v>
      </c>
      <c r="E45" s="54">
        <v>0</v>
      </c>
      <c r="F45" s="54">
        <v>0</v>
      </c>
      <c r="G45" s="54">
        <f>VLOOKUP(A45,'[1]yourspreadsheetname (1)'!$A$2:$C$968, 3, FALSE)</f>
        <v>0</v>
      </c>
      <c r="H45" s="257">
        <v>0</v>
      </c>
      <c r="I45" s="12"/>
      <c r="J45" s="12"/>
      <c r="K45" s="96"/>
      <c r="L45" s="54"/>
      <c r="M45" s="54"/>
      <c r="N45" s="64"/>
      <c r="O45" s="54"/>
      <c r="P45" s="29"/>
      <c r="Q45" s="29"/>
      <c r="R45" s="18">
        <f>((F45*15)-G45-I45)/2</f>
        <v>0</v>
      </c>
      <c r="S45" s="223"/>
      <c r="T45" s="223"/>
      <c r="U45" s="12"/>
      <c r="V45" s="29"/>
      <c r="W45" s="12">
        <f t="shared" si="3"/>
        <v>0</v>
      </c>
      <c r="X45" s="144"/>
      <c r="Y45" s="119"/>
      <c r="Z45" s="122">
        <f t="shared" si="4"/>
        <v>0</v>
      </c>
      <c r="AA45" s="122">
        <f t="shared" si="5"/>
        <v>0</v>
      </c>
      <c r="AB45" s="29"/>
    </row>
    <row r="46" spans="1:29" s="90" customFormat="1" x14ac:dyDescent="0.25">
      <c r="A46" s="54" t="s">
        <v>1720</v>
      </c>
      <c r="B46" s="54" t="s">
        <v>1721</v>
      </c>
      <c r="C46" s="54">
        <v>50</v>
      </c>
      <c r="D46" s="54"/>
      <c r="E46" s="54">
        <v>0</v>
      </c>
      <c r="F46" s="54">
        <v>0</v>
      </c>
      <c r="G46" s="54">
        <v>0</v>
      </c>
      <c r="H46" s="257">
        <v>0</v>
      </c>
      <c r="I46" s="12"/>
      <c r="J46" s="12"/>
      <c r="K46" s="54"/>
      <c r="L46" s="54"/>
      <c r="M46" s="54"/>
      <c r="N46" s="64"/>
      <c r="O46" s="54"/>
      <c r="P46" s="29"/>
      <c r="Q46" s="29"/>
      <c r="R46" s="18">
        <f>((F46*15)-G46-I46)/2</f>
        <v>0</v>
      </c>
      <c r="S46" s="223"/>
      <c r="T46" s="223"/>
      <c r="U46" s="12"/>
      <c r="V46" s="29"/>
      <c r="W46" s="12">
        <f t="shared" si="3"/>
        <v>0</v>
      </c>
      <c r="X46" s="144"/>
      <c r="Y46" s="119"/>
      <c r="Z46" s="122">
        <f t="shared" si="4"/>
        <v>0</v>
      </c>
      <c r="AA46" s="122">
        <f t="shared" si="5"/>
        <v>0</v>
      </c>
      <c r="AB46" s="29"/>
      <c r="AC46" s="231"/>
    </row>
    <row r="47" spans="1:29" s="229" customFormat="1" x14ac:dyDescent="0.25">
      <c r="A47" s="408" t="s">
        <v>1722</v>
      </c>
      <c r="B47" s="407" t="s">
        <v>1723</v>
      </c>
      <c r="C47" s="173"/>
      <c r="D47" s="173"/>
      <c r="E47" s="173"/>
      <c r="F47" s="173">
        <v>0</v>
      </c>
      <c r="G47" s="54">
        <v>0</v>
      </c>
      <c r="H47" s="257">
        <v>10</v>
      </c>
      <c r="I47" s="250"/>
      <c r="J47" s="250"/>
      <c r="K47" s="54"/>
      <c r="L47" s="173"/>
      <c r="M47" s="173"/>
      <c r="N47" s="64"/>
      <c r="O47" s="173"/>
      <c r="P47" s="76"/>
      <c r="Q47" s="76"/>
      <c r="R47" s="18">
        <f>((F47*15)-G47-I47)/2</f>
        <v>0</v>
      </c>
      <c r="S47" s="76"/>
      <c r="T47" s="76"/>
      <c r="U47" s="31"/>
      <c r="V47" s="31"/>
      <c r="W47" s="12">
        <f t="shared" si="3"/>
        <v>0</v>
      </c>
      <c r="X47" s="151"/>
      <c r="Y47" s="151"/>
      <c r="Z47" s="122">
        <f t="shared" si="4"/>
        <v>0</v>
      </c>
      <c r="AA47" s="122">
        <f t="shared" si="5"/>
        <v>0</v>
      </c>
      <c r="AB47" s="31"/>
      <c r="AC47" s="183"/>
    </row>
    <row r="48" spans="1:29" s="90" customFormat="1" ht="13.5" customHeight="1" x14ac:dyDescent="0.25">
      <c r="A48" s="54" t="s">
        <v>1724</v>
      </c>
      <c r="B48" s="54" t="s">
        <v>1725</v>
      </c>
      <c r="C48" s="54"/>
      <c r="D48" s="54"/>
      <c r="E48" s="54">
        <v>0</v>
      </c>
      <c r="F48" s="54">
        <v>0</v>
      </c>
      <c r="G48" s="54">
        <f>VLOOKUP(A48,'[1]yourspreadsheetname (1)'!$A$2:$C$968, 3, FALSE)</f>
        <v>0</v>
      </c>
      <c r="H48" s="257">
        <v>0</v>
      </c>
      <c r="I48" s="12"/>
      <c r="J48" s="12"/>
      <c r="K48" s="54"/>
      <c r="L48" s="54"/>
      <c r="M48" s="54"/>
      <c r="N48" s="64"/>
      <c r="O48" s="54"/>
      <c r="P48" s="12"/>
      <c r="Q48" s="12"/>
      <c r="R48" s="18">
        <f>((F48*15)-G48-I48)/2</f>
        <v>0</v>
      </c>
      <c r="S48" s="12"/>
      <c r="T48" s="12"/>
      <c r="U48" s="223"/>
      <c r="V48" s="12"/>
      <c r="W48" s="12">
        <f t="shared" si="3"/>
        <v>0</v>
      </c>
      <c r="X48" s="224"/>
      <c r="Y48" s="154"/>
      <c r="Z48" s="122">
        <f t="shared" si="4"/>
        <v>0</v>
      </c>
      <c r="AA48" s="122">
        <f t="shared" si="5"/>
        <v>0</v>
      </c>
      <c r="AB48" s="217"/>
      <c r="AC48" s="232"/>
    </row>
    <row r="49" spans="1:28" s="90" customFormat="1" x14ac:dyDescent="0.25">
      <c r="A49" s="405" t="s">
        <v>1488</v>
      </c>
      <c r="B49" s="407" t="s">
        <v>1726</v>
      </c>
      <c r="C49" s="173"/>
      <c r="D49" s="173"/>
      <c r="E49" s="173"/>
      <c r="F49" s="173">
        <v>0</v>
      </c>
      <c r="G49" s="54">
        <f>VLOOKUP(A49,'[1]yourspreadsheetname (1)'!$A$2:$C$968, 3, FALSE)</f>
        <v>139</v>
      </c>
      <c r="H49" s="257">
        <v>150</v>
      </c>
      <c r="I49" s="76"/>
      <c r="J49" s="76"/>
      <c r="K49" s="54"/>
      <c r="L49" s="173"/>
      <c r="M49" s="173"/>
      <c r="N49" s="64"/>
      <c r="O49" s="173"/>
      <c r="P49" s="12"/>
      <c r="Q49" s="76"/>
      <c r="R49" s="18">
        <v>0</v>
      </c>
      <c r="S49" s="76"/>
      <c r="T49" s="76"/>
      <c r="U49" s="31"/>
      <c r="V49" s="31"/>
      <c r="W49" s="12">
        <f t="shared" si="3"/>
        <v>0</v>
      </c>
      <c r="X49" s="151">
        <v>999.75</v>
      </c>
      <c r="Y49" s="151">
        <v>1198</v>
      </c>
      <c r="Z49" s="122">
        <f t="shared" si="4"/>
        <v>0</v>
      </c>
      <c r="AA49" s="122">
        <f t="shared" si="5"/>
        <v>0</v>
      </c>
      <c r="AB49" s="31"/>
    </row>
    <row r="50" spans="1:28" s="90" customFormat="1" x14ac:dyDescent="0.25">
      <c r="A50" s="126" t="s">
        <v>1491</v>
      </c>
      <c r="B50" s="409" t="s">
        <v>1727</v>
      </c>
      <c r="C50" s="173"/>
      <c r="D50" s="173"/>
      <c r="E50" s="173"/>
      <c r="F50" s="173">
        <v>0</v>
      </c>
      <c r="G50" s="54">
        <f>VLOOKUP(A50,'[1]yourspreadsheetname (1)'!$A$2:$C$968, 3, FALSE)</f>
        <v>40</v>
      </c>
      <c r="H50" s="257">
        <v>50</v>
      </c>
      <c r="I50" s="76"/>
      <c r="J50" s="76"/>
      <c r="K50" s="54"/>
      <c r="L50" s="173"/>
      <c r="M50" s="173"/>
      <c r="N50" s="64"/>
      <c r="O50" s="173"/>
      <c r="P50" s="76"/>
      <c r="Q50" s="76"/>
      <c r="R50" s="18">
        <v>0</v>
      </c>
      <c r="S50" s="76"/>
      <c r="T50" s="76"/>
      <c r="U50" s="31"/>
      <c r="V50" s="31"/>
      <c r="W50" s="12">
        <f t="shared" si="3"/>
        <v>0</v>
      </c>
      <c r="X50" s="151">
        <v>1640</v>
      </c>
      <c r="Y50" s="151">
        <v>1999</v>
      </c>
      <c r="Z50" s="122">
        <f t="shared" si="4"/>
        <v>0</v>
      </c>
      <c r="AA50" s="122">
        <f t="shared" si="5"/>
        <v>0</v>
      </c>
      <c r="AB50" s="31"/>
    </row>
    <row r="51" spans="1:28" s="73" customFormat="1" x14ac:dyDescent="0.25">
      <c r="A51" s="105" t="s">
        <v>1728</v>
      </c>
      <c r="B51" s="54" t="s">
        <v>1729</v>
      </c>
      <c r="C51" s="54"/>
      <c r="D51" s="54"/>
      <c r="E51" s="54">
        <v>10</v>
      </c>
      <c r="F51" s="54">
        <v>10</v>
      </c>
      <c r="G51" s="54">
        <f>VLOOKUP(A51,'[1]yourspreadsheetname (1)'!$A$2:$C$968, 3, FALSE)</f>
        <v>150</v>
      </c>
      <c r="H51" s="257">
        <v>60</v>
      </c>
      <c r="I51" s="92"/>
      <c r="J51" s="92"/>
      <c r="K51" s="54"/>
      <c r="L51" s="54"/>
      <c r="M51" s="64"/>
      <c r="N51" s="64"/>
      <c r="O51" s="54"/>
      <c r="P51" s="12"/>
      <c r="Q51" s="12"/>
      <c r="R51" s="18">
        <f>((F51*15)-G51-I51)/2</f>
        <v>0</v>
      </c>
      <c r="S51" s="223"/>
      <c r="T51" s="223"/>
      <c r="U51" s="223"/>
      <c r="V51" s="12"/>
      <c r="W51" s="12">
        <f t="shared" si="3"/>
        <v>0</v>
      </c>
      <c r="X51" s="144">
        <v>5833.8</v>
      </c>
      <c r="Y51" s="119">
        <v>6139.1</v>
      </c>
      <c r="Z51" s="122">
        <f t="shared" si="4"/>
        <v>0</v>
      </c>
      <c r="AA51" s="122">
        <f t="shared" si="5"/>
        <v>0</v>
      </c>
      <c r="AB51" s="217"/>
    </row>
    <row r="52" spans="1:28" s="90" customFormat="1" ht="26.25" customHeight="1" x14ac:dyDescent="0.25">
      <c r="A52" s="54" t="s">
        <v>1730</v>
      </c>
      <c r="B52" s="54" t="s">
        <v>1731</v>
      </c>
      <c r="C52" s="54"/>
      <c r="D52" s="54"/>
      <c r="E52" s="54">
        <v>0</v>
      </c>
      <c r="F52" s="54">
        <v>0</v>
      </c>
      <c r="G52" s="54">
        <v>0</v>
      </c>
      <c r="H52" s="257">
        <v>0</v>
      </c>
      <c r="I52" s="12"/>
      <c r="J52" s="12"/>
      <c r="K52" s="54"/>
      <c r="L52" s="54"/>
      <c r="M52" s="64"/>
      <c r="N52" s="64"/>
      <c r="O52" s="54"/>
      <c r="P52" s="12"/>
      <c r="Q52" s="12"/>
      <c r="R52" s="18">
        <f>((F52*15)-G52-I52)/2</f>
        <v>0</v>
      </c>
      <c r="S52" s="223"/>
      <c r="T52" s="223"/>
      <c r="U52" s="12"/>
      <c r="V52" s="12"/>
      <c r="W52" s="12">
        <f t="shared" si="3"/>
        <v>0</v>
      </c>
      <c r="X52" s="144"/>
      <c r="Y52" s="119"/>
      <c r="Z52" s="122">
        <f t="shared" si="4"/>
        <v>0</v>
      </c>
      <c r="AA52" s="122">
        <f t="shared" si="5"/>
        <v>0</v>
      </c>
      <c r="AB52" s="217"/>
    </row>
    <row r="53" spans="1:28" s="90" customFormat="1" x14ac:dyDescent="0.25">
      <c r="A53" s="64" t="s">
        <v>1732</v>
      </c>
      <c r="B53" s="64" t="s">
        <v>1733</v>
      </c>
      <c r="C53" s="54">
        <v>40</v>
      </c>
      <c r="D53" s="54">
        <v>35</v>
      </c>
      <c r="E53" s="54">
        <v>0</v>
      </c>
      <c r="F53" s="54">
        <v>0</v>
      </c>
      <c r="G53" s="236">
        <f>VLOOKUP(A53,'[1]yourspreadsheetname (1)'!$A$2:$C$968, 3, FALSE)</f>
        <v>396</v>
      </c>
      <c r="H53" s="257">
        <v>0</v>
      </c>
      <c r="I53" s="12"/>
      <c r="J53" s="12"/>
      <c r="K53" s="54"/>
      <c r="L53" s="54"/>
      <c r="M53" s="54"/>
      <c r="N53" s="64"/>
      <c r="O53" s="54"/>
      <c r="P53" s="12"/>
      <c r="Q53" s="12"/>
      <c r="R53" s="18">
        <v>0</v>
      </c>
      <c r="S53" s="223"/>
      <c r="T53" s="223"/>
      <c r="U53" s="12"/>
      <c r="V53" s="12"/>
      <c r="W53" s="12">
        <f t="shared" si="3"/>
        <v>0</v>
      </c>
      <c r="X53" s="144"/>
      <c r="Y53" s="119"/>
      <c r="Z53" s="122">
        <f t="shared" si="4"/>
        <v>0</v>
      </c>
      <c r="AA53" s="122">
        <f t="shared" si="5"/>
        <v>0</v>
      </c>
      <c r="AB53" s="12"/>
    </row>
    <row r="54" spans="1:28" s="73" customFormat="1" x14ac:dyDescent="0.25">
      <c r="A54" s="54" t="s">
        <v>1734</v>
      </c>
      <c r="B54" s="54" t="s">
        <v>1735</v>
      </c>
      <c r="C54" s="54"/>
      <c r="D54" s="54">
        <v>140</v>
      </c>
      <c r="E54" s="54">
        <v>140</v>
      </c>
      <c r="F54" s="54">
        <v>0</v>
      </c>
      <c r="G54" s="54">
        <v>0</v>
      </c>
      <c r="H54" s="257">
        <v>0</v>
      </c>
      <c r="I54" s="12"/>
      <c r="J54" s="12"/>
      <c r="K54" s="54"/>
      <c r="L54" s="54"/>
      <c r="M54" s="54"/>
      <c r="N54" s="64"/>
      <c r="O54" s="54"/>
      <c r="P54" s="12"/>
      <c r="Q54" s="12"/>
      <c r="R54" s="18">
        <f>((F54*15)-G54-I54)/2</f>
        <v>0</v>
      </c>
      <c r="S54" s="12"/>
      <c r="T54" s="12"/>
      <c r="U54" s="12"/>
      <c r="V54" s="12"/>
      <c r="W54" s="12">
        <f t="shared" si="3"/>
        <v>0</v>
      </c>
      <c r="X54" s="154">
        <v>5133.57</v>
      </c>
      <c r="Y54" s="119"/>
      <c r="Z54" s="122">
        <f t="shared" si="4"/>
        <v>0</v>
      </c>
      <c r="AA54" s="122">
        <f t="shared" si="5"/>
        <v>0</v>
      </c>
      <c r="AB54" s="12"/>
    </row>
    <row r="55" spans="1:28" s="73" customFormat="1" x14ac:dyDescent="0.25">
      <c r="A55" s="54" t="s">
        <v>1505</v>
      </c>
      <c r="B55" s="54" t="s">
        <v>1736</v>
      </c>
      <c r="C55" s="54">
        <v>100</v>
      </c>
      <c r="D55" s="54">
        <v>30</v>
      </c>
      <c r="E55" s="54">
        <v>20</v>
      </c>
      <c r="F55" s="54">
        <v>30</v>
      </c>
      <c r="G55" s="54">
        <f>VLOOKUP(A55,'[1]yourspreadsheetname (1)'!$A$2:$C$968, 3, FALSE)</f>
        <v>1485</v>
      </c>
      <c r="H55" s="257">
        <v>120</v>
      </c>
      <c r="I55" s="92"/>
      <c r="J55" s="92"/>
      <c r="K55" s="54"/>
      <c r="L55" s="54"/>
      <c r="M55" s="54"/>
      <c r="N55" s="64"/>
      <c r="O55" s="54"/>
      <c r="P55" s="29"/>
      <c r="Q55" s="12"/>
      <c r="R55" s="18">
        <v>0</v>
      </c>
      <c r="S55" s="223"/>
      <c r="T55" s="223"/>
      <c r="U55" s="223"/>
      <c r="V55" s="12"/>
      <c r="W55" s="12">
        <f t="shared" si="3"/>
        <v>0</v>
      </c>
      <c r="X55" s="144">
        <v>735.25</v>
      </c>
      <c r="Y55" s="119">
        <v>704.87</v>
      </c>
      <c r="Z55" s="122">
        <f t="shared" si="4"/>
        <v>0</v>
      </c>
      <c r="AA55" s="122">
        <f t="shared" si="5"/>
        <v>0</v>
      </c>
      <c r="AB55" s="12"/>
    </row>
    <row r="56" spans="1:28" s="90" customFormat="1" x14ac:dyDescent="0.25">
      <c r="A56" s="236" t="s">
        <v>1737</v>
      </c>
      <c r="B56" s="54" t="s">
        <v>1738</v>
      </c>
      <c r="C56" s="54"/>
      <c r="D56" s="54">
        <v>12</v>
      </c>
      <c r="E56" s="54">
        <v>10</v>
      </c>
      <c r="F56" s="54">
        <v>5</v>
      </c>
      <c r="G56" s="54">
        <v>76</v>
      </c>
      <c r="H56" s="257">
        <v>120</v>
      </c>
      <c r="I56" s="12"/>
      <c r="J56" s="12"/>
      <c r="K56" s="54"/>
      <c r="L56" s="54"/>
      <c r="M56" s="64"/>
      <c r="N56" s="64"/>
      <c r="O56" s="54"/>
      <c r="P56" s="12"/>
      <c r="Q56" s="12"/>
      <c r="R56" s="18">
        <v>0</v>
      </c>
      <c r="S56" s="223"/>
      <c r="T56" s="223"/>
      <c r="U56" s="223"/>
      <c r="V56" s="12"/>
      <c r="W56" s="12">
        <f t="shared" si="3"/>
        <v>0</v>
      </c>
      <c r="X56" s="144">
        <v>11970</v>
      </c>
      <c r="Y56" s="119">
        <v>12171.9</v>
      </c>
      <c r="Z56" s="122">
        <f t="shared" si="4"/>
        <v>0</v>
      </c>
      <c r="AA56" s="122">
        <f t="shared" si="5"/>
        <v>0</v>
      </c>
      <c r="AB56" s="217"/>
    </row>
    <row r="57" spans="1:28" s="90" customFormat="1" x14ac:dyDescent="0.25">
      <c r="A57" s="372" t="s">
        <v>1015</v>
      </c>
      <c r="B57" s="64" t="s">
        <v>1016</v>
      </c>
      <c r="C57" s="64" t="s">
        <v>1017</v>
      </c>
      <c r="D57" s="54"/>
      <c r="E57" s="54">
        <v>20</v>
      </c>
      <c r="F57" s="54">
        <v>20</v>
      </c>
      <c r="G57" s="54">
        <f>VLOOKUP(A57,'[1]yourspreadsheetname (1)'!$A$2:$C$968, 3, FALSE)</f>
        <v>263</v>
      </c>
      <c r="H57" s="257">
        <v>120</v>
      </c>
      <c r="I57" s="12"/>
      <c r="J57" s="12"/>
      <c r="K57" s="54"/>
      <c r="L57" s="54"/>
      <c r="M57" s="54"/>
      <c r="N57" s="64"/>
      <c r="O57" s="54"/>
      <c r="P57" s="12"/>
      <c r="Q57" s="12"/>
      <c r="R57" s="18">
        <v>0</v>
      </c>
      <c r="S57" s="223"/>
      <c r="T57" s="223"/>
      <c r="U57" s="223"/>
      <c r="V57" s="12"/>
      <c r="W57" s="12">
        <f t="shared" si="3"/>
        <v>0</v>
      </c>
      <c r="X57" s="144">
        <v>6874.2</v>
      </c>
      <c r="Y57" s="119">
        <v>6755</v>
      </c>
      <c r="Z57" s="122">
        <f t="shared" si="4"/>
        <v>0</v>
      </c>
      <c r="AA57" s="122">
        <f t="shared" si="5"/>
        <v>0</v>
      </c>
      <c r="AB57" s="12"/>
    </row>
    <row r="58" spans="1:28" s="4" customFormat="1" x14ac:dyDescent="0.25">
      <c r="A58" s="54" t="s">
        <v>1739</v>
      </c>
      <c r="B58" s="54" t="s">
        <v>1740</v>
      </c>
      <c r="C58" s="54">
        <v>254</v>
      </c>
      <c r="D58" s="410">
        <v>120</v>
      </c>
      <c r="E58" s="410">
        <v>0</v>
      </c>
      <c r="F58" s="410">
        <v>0</v>
      </c>
      <c r="G58" s="54">
        <f>VLOOKUP(A58,'[1]yourspreadsheetname (1)'!$A$2:$C$968, 3, FALSE)</f>
        <v>0</v>
      </c>
      <c r="H58" s="257">
        <v>0</v>
      </c>
      <c r="I58" s="12"/>
      <c r="J58" s="228" t="s">
        <v>1741</v>
      </c>
      <c r="K58" s="54"/>
      <c r="L58" s="54"/>
      <c r="M58" s="54"/>
      <c r="N58" s="64"/>
      <c r="O58" s="54"/>
      <c r="P58" s="29"/>
      <c r="Q58" s="12"/>
      <c r="R58" s="18">
        <f>((F58*15)-G58-I58)/2</f>
        <v>0</v>
      </c>
      <c r="S58" s="223"/>
      <c r="T58" s="223"/>
      <c r="U58" s="12"/>
      <c r="V58" s="12"/>
      <c r="W58" s="12">
        <f t="shared" si="3"/>
        <v>0</v>
      </c>
      <c r="X58" s="144"/>
      <c r="Y58" s="119"/>
      <c r="Z58" s="122">
        <f t="shared" si="4"/>
        <v>0</v>
      </c>
      <c r="AA58" s="122">
        <f t="shared" si="5"/>
        <v>0</v>
      </c>
      <c r="AB58" s="122">
        <f>W58*Y58</f>
        <v>0</v>
      </c>
    </row>
    <row r="59" spans="1:28" s="4" customFormat="1" x14ac:dyDescent="0.25">
      <c r="A59" s="54" t="s">
        <v>1742</v>
      </c>
      <c r="B59" s="54" t="s">
        <v>1743</v>
      </c>
      <c r="C59" s="54">
        <v>20</v>
      </c>
      <c r="D59" s="54"/>
      <c r="E59" s="54">
        <v>0</v>
      </c>
      <c r="F59" s="54">
        <v>0</v>
      </c>
      <c r="G59" s="54">
        <f>VLOOKUP(A59,'[1]yourspreadsheetname (1)'!$A$2:$C$968, 3, FALSE)</f>
        <v>0</v>
      </c>
      <c r="H59" s="257">
        <v>0</v>
      </c>
      <c r="I59" s="12"/>
      <c r="J59" s="12"/>
      <c r="K59" s="54"/>
      <c r="L59" s="54"/>
      <c r="M59" s="54"/>
      <c r="N59" s="64"/>
      <c r="O59" s="54"/>
      <c r="P59" s="12"/>
      <c r="Q59" s="12"/>
      <c r="R59" s="18">
        <f>((F59*15)-G59-I59)/2</f>
        <v>0</v>
      </c>
      <c r="S59" s="223"/>
      <c r="T59" s="223"/>
      <c r="U59" s="12"/>
      <c r="V59" s="12"/>
      <c r="W59" s="12">
        <f t="shared" si="3"/>
        <v>0</v>
      </c>
      <c r="X59" s="144">
        <v>19980</v>
      </c>
      <c r="Y59" s="119">
        <v>14850</v>
      </c>
      <c r="Z59" s="122">
        <f t="shared" si="4"/>
        <v>0</v>
      </c>
      <c r="AA59" s="122">
        <f t="shared" si="5"/>
        <v>0</v>
      </c>
      <c r="AB59" s="12"/>
    </row>
    <row r="60" spans="1:28" s="4" customFormat="1" x14ac:dyDescent="0.25">
      <c r="A60" s="486" t="s">
        <v>319</v>
      </c>
      <c r="B60" s="92" t="s">
        <v>320</v>
      </c>
      <c r="C60" s="92">
        <v>20</v>
      </c>
      <c r="D60" s="92">
        <v>40</v>
      </c>
      <c r="E60" s="92">
        <v>10</v>
      </c>
      <c r="F60" s="92">
        <v>10</v>
      </c>
      <c r="G60" s="92">
        <f>VLOOKUP(A60,'[1]yourspreadsheetname (1)'!$A$2:$C$968, 3, FALSE)</f>
        <v>30</v>
      </c>
      <c r="H60" s="257">
        <v>90</v>
      </c>
      <c r="I60" s="92"/>
      <c r="J60" s="92"/>
      <c r="K60" s="92"/>
      <c r="L60" s="92"/>
      <c r="M60" s="294"/>
      <c r="N60" s="64"/>
      <c r="O60" s="54"/>
      <c r="P60" s="29"/>
      <c r="Q60" s="12"/>
      <c r="R60" s="18">
        <f>((F60*15)-G60-I60)/2</f>
        <v>60</v>
      </c>
      <c r="S60" s="223"/>
      <c r="T60" s="223"/>
      <c r="U60" s="223"/>
      <c r="V60" s="12"/>
      <c r="W60" s="12">
        <f t="shared" si="3"/>
        <v>0</v>
      </c>
      <c r="X60" s="225">
        <v>3573</v>
      </c>
      <c r="Y60" s="119"/>
      <c r="Z60" s="122">
        <f t="shared" si="4"/>
        <v>214380</v>
      </c>
      <c r="AA60" s="122">
        <f t="shared" si="5"/>
        <v>0</v>
      </c>
      <c r="AB60" s="217"/>
    </row>
    <row r="61" spans="1:28" s="4" customFormat="1" ht="26.25" customHeight="1" x14ac:dyDescent="0.25">
      <c r="A61" s="54" t="s">
        <v>1744</v>
      </c>
      <c r="B61" s="54" t="s">
        <v>1745</v>
      </c>
      <c r="C61" s="54"/>
      <c r="D61" s="54">
        <v>3</v>
      </c>
      <c r="E61" s="96">
        <v>3</v>
      </c>
      <c r="F61" s="96">
        <v>0</v>
      </c>
      <c r="G61" s="54">
        <v>0</v>
      </c>
      <c r="H61" s="257">
        <v>0</v>
      </c>
      <c r="I61" s="92"/>
      <c r="J61" s="92"/>
      <c r="K61" s="54"/>
      <c r="L61" s="54"/>
      <c r="M61" s="64"/>
      <c r="N61" s="64"/>
      <c r="O61" s="54"/>
      <c r="P61" s="29"/>
      <c r="Q61" s="12"/>
      <c r="R61" s="18">
        <f>((F61*15)-G61-I61)/2</f>
        <v>0</v>
      </c>
      <c r="S61" s="12"/>
      <c r="T61" s="12"/>
      <c r="U61" s="12"/>
      <c r="V61" s="12"/>
      <c r="W61" s="12">
        <f t="shared" si="3"/>
        <v>0</v>
      </c>
      <c r="X61" s="216">
        <v>106000</v>
      </c>
      <c r="Y61" s="122">
        <v>39237.5</v>
      </c>
      <c r="Z61" s="122">
        <f t="shared" si="4"/>
        <v>0</v>
      </c>
      <c r="AA61" s="122">
        <f t="shared" si="5"/>
        <v>0</v>
      </c>
      <c r="AB61" s="12"/>
    </row>
    <row r="62" spans="1:28" s="4" customFormat="1" ht="39.4" customHeight="1" x14ac:dyDescent="0.25">
      <c r="A62" s="54" t="s">
        <v>1746</v>
      </c>
      <c r="B62" s="54" t="s">
        <v>1747</v>
      </c>
      <c r="C62" s="54"/>
      <c r="D62" s="54">
        <v>3</v>
      </c>
      <c r="E62" s="96">
        <v>3</v>
      </c>
      <c r="F62" s="96">
        <v>0</v>
      </c>
      <c r="G62" s="54">
        <f>VLOOKUP(A62,'[1]yourspreadsheetname (1)'!$A$2:$C$968, 3, FALSE)</f>
        <v>17</v>
      </c>
      <c r="H62" s="257">
        <v>18</v>
      </c>
      <c r="I62" s="12"/>
      <c r="J62" s="12"/>
      <c r="K62" s="54"/>
      <c r="L62" s="54"/>
      <c r="M62" s="64"/>
      <c r="N62" s="64"/>
      <c r="O62" s="54"/>
      <c r="P62" s="29"/>
      <c r="Q62" s="12"/>
      <c r="R62" s="18">
        <v>0</v>
      </c>
      <c r="S62" s="12"/>
      <c r="T62" s="223"/>
      <c r="U62" s="12"/>
      <c r="V62" s="12"/>
      <c r="W62" s="12">
        <f t="shared" si="3"/>
        <v>0</v>
      </c>
      <c r="X62" s="216">
        <v>10567</v>
      </c>
      <c r="Y62" s="122">
        <v>39237.5</v>
      </c>
      <c r="Z62" s="122">
        <f t="shared" si="4"/>
        <v>0</v>
      </c>
      <c r="AA62" s="122">
        <f t="shared" si="5"/>
        <v>0</v>
      </c>
      <c r="AB62" s="12"/>
    </row>
    <row r="63" spans="1:28" s="4" customFormat="1" x14ac:dyDescent="0.25">
      <c r="A63" s="54" t="s">
        <v>236</v>
      </c>
      <c r="B63" s="92" t="s">
        <v>237</v>
      </c>
      <c r="C63" s="92"/>
      <c r="D63" s="92"/>
      <c r="E63" s="92">
        <v>5</v>
      </c>
      <c r="F63" s="92">
        <v>3</v>
      </c>
      <c r="G63" s="92" t="e">
        <f>VLOOKUP(A63,'[1]yourspreadsheetname (1)'!$A$2:$C$968, 3, FALSE)</f>
        <v>#N/A</v>
      </c>
      <c r="H63" s="257">
        <v>46</v>
      </c>
      <c r="I63" s="92"/>
      <c r="J63" s="92"/>
      <c r="K63" s="92"/>
      <c r="L63" s="92"/>
      <c r="M63" s="92"/>
      <c r="N63" s="64"/>
      <c r="O63" s="54"/>
      <c r="P63" s="12"/>
      <c r="Q63" s="29"/>
      <c r="R63" s="18" t="e">
        <f>((F63*15)-G63-I63)/2</f>
        <v>#N/A</v>
      </c>
      <c r="S63" s="12"/>
      <c r="T63" s="12"/>
      <c r="U63" s="12"/>
      <c r="V63" s="29"/>
      <c r="W63" s="12">
        <f t="shared" si="3"/>
        <v>0</v>
      </c>
      <c r="X63" s="144"/>
      <c r="Y63" s="119"/>
      <c r="Z63" s="122" t="e">
        <f t="shared" si="4"/>
        <v>#N/A</v>
      </c>
      <c r="AA63" s="122">
        <f t="shared" si="5"/>
        <v>0</v>
      </c>
      <c r="AB63" s="29"/>
    </row>
    <row r="64" spans="1:28" s="4" customFormat="1" x14ac:dyDescent="0.25">
      <c r="A64" s="404" t="s">
        <v>321</v>
      </c>
      <c r="B64" s="404" t="s">
        <v>322</v>
      </c>
      <c r="C64" s="250"/>
      <c r="D64" s="250"/>
      <c r="E64" s="250"/>
      <c r="F64" s="250">
        <v>60</v>
      </c>
      <c r="G64" s="92">
        <v>0</v>
      </c>
      <c r="H64" s="257">
        <v>0</v>
      </c>
      <c r="I64" s="250"/>
      <c r="J64" s="250"/>
      <c r="K64" s="250"/>
      <c r="L64" s="250"/>
      <c r="M64" s="250"/>
      <c r="N64" s="173"/>
      <c r="O64" s="173"/>
      <c r="P64" s="76"/>
      <c r="Q64" s="76"/>
      <c r="R64" s="18">
        <f>((F64*15)-G64-I64)/2</f>
        <v>450</v>
      </c>
      <c r="S64" s="76"/>
      <c r="T64" s="76"/>
      <c r="U64" s="31"/>
      <c r="V64" s="31"/>
      <c r="W64" s="12">
        <f t="shared" si="3"/>
        <v>0</v>
      </c>
      <c r="X64" s="151">
        <v>3081</v>
      </c>
      <c r="Y64" s="151"/>
      <c r="Z64" s="122">
        <f t="shared" si="4"/>
        <v>1386450</v>
      </c>
      <c r="AA64" s="122">
        <f t="shared" si="5"/>
        <v>0</v>
      </c>
      <c r="AB64" s="31"/>
    </row>
    <row r="65" spans="1:28" s="4" customFormat="1" x14ac:dyDescent="0.25">
      <c r="A65" s="92" t="s">
        <v>323</v>
      </c>
      <c r="B65" s="92" t="s">
        <v>324</v>
      </c>
      <c r="C65" s="92"/>
      <c r="D65" s="259"/>
      <c r="E65" s="259">
        <v>20</v>
      </c>
      <c r="F65" s="259">
        <v>10</v>
      </c>
      <c r="G65" s="92">
        <f>VLOOKUP(A65,'[1]yourspreadsheetname (1)'!$A$2:$C$968, 3, FALSE)</f>
        <v>101</v>
      </c>
      <c r="H65" s="257">
        <v>155</v>
      </c>
      <c r="I65" s="259"/>
      <c r="J65" s="259"/>
      <c r="K65" s="92"/>
      <c r="L65" s="92"/>
      <c r="M65" s="259"/>
      <c r="N65" s="64"/>
      <c r="O65" s="54"/>
      <c r="P65" s="12"/>
      <c r="Q65" s="12"/>
      <c r="R65" s="18">
        <v>25</v>
      </c>
      <c r="S65" s="223"/>
      <c r="T65" s="223"/>
      <c r="U65" s="223"/>
      <c r="V65" s="12"/>
      <c r="W65" s="12">
        <f t="shared" si="3"/>
        <v>0</v>
      </c>
      <c r="X65" s="226">
        <v>2340</v>
      </c>
      <c r="Y65" s="227">
        <v>2685</v>
      </c>
      <c r="Z65" s="122">
        <f t="shared" si="4"/>
        <v>58500</v>
      </c>
      <c r="AA65" s="122">
        <f t="shared" si="5"/>
        <v>0</v>
      </c>
      <c r="AB65" s="217"/>
    </row>
    <row r="66" spans="1:28" s="4" customFormat="1" x14ac:dyDescent="0.25">
      <c r="A66" s="509" t="s">
        <v>325</v>
      </c>
      <c r="B66" s="92" t="s">
        <v>326</v>
      </c>
      <c r="C66" s="92"/>
      <c r="D66" s="92"/>
      <c r="E66" s="92">
        <v>20</v>
      </c>
      <c r="F66" s="92">
        <v>20</v>
      </c>
      <c r="G66" s="92">
        <f>VLOOKUP(A66,'[1]yourspreadsheetname (1)'!$A$2:$C$968, 3, FALSE)</f>
        <v>50</v>
      </c>
      <c r="H66" s="257">
        <v>240</v>
      </c>
      <c r="I66" s="92"/>
      <c r="J66" s="92"/>
      <c r="K66" s="92"/>
      <c r="L66" s="92"/>
      <c r="M66" s="92"/>
      <c r="N66" s="64"/>
      <c r="O66" s="54"/>
      <c r="P66" s="12"/>
      <c r="Q66" s="12"/>
      <c r="R66" s="18">
        <f>((F66*15)-G66-I66)/2</f>
        <v>125</v>
      </c>
      <c r="S66" s="223"/>
      <c r="T66" s="223"/>
      <c r="U66" s="223"/>
      <c r="V66" s="12"/>
      <c r="W66" s="12">
        <f t="shared" si="3"/>
        <v>0</v>
      </c>
      <c r="X66" s="144">
        <v>2170</v>
      </c>
      <c r="Y66" s="119">
        <v>28857.5</v>
      </c>
      <c r="Z66" s="122">
        <f t="shared" si="4"/>
        <v>271250</v>
      </c>
      <c r="AA66" s="122">
        <f t="shared" si="5"/>
        <v>0</v>
      </c>
      <c r="AB66" s="12"/>
    </row>
    <row r="67" spans="1:28" s="4" customFormat="1" x14ac:dyDescent="0.25">
      <c r="A67" s="54" t="s">
        <v>1748</v>
      </c>
      <c r="B67" s="54" t="s">
        <v>1749</v>
      </c>
      <c r="C67" s="54"/>
      <c r="D67" s="54"/>
      <c r="E67" s="54">
        <v>0</v>
      </c>
      <c r="F67" s="54">
        <v>0</v>
      </c>
      <c r="G67" s="54">
        <f>VLOOKUP(A67,'[1]yourspreadsheetname (1)'!$A$2:$C$968, 3, FALSE)</f>
        <v>0</v>
      </c>
      <c r="H67" s="257">
        <v>0</v>
      </c>
      <c r="I67" s="12"/>
      <c r="J67" s="12"/>
      <c r="K67" s="54"/>
      <c r="L67" s="54"/>
      <c r="M67" s="54"/>
      <c r="N67" s="64"/>
      <c r="O67" s="54"/>
      <c r="P67" s="29"/>
      <c r="Q67" s="12"/>
      <c r="R67" s="18">
        <f>((F67*15)-G67-I67)/2</f>
        <v>0</v>
      </c>
      <c r="S67" s="223"/>
      <c r="T67" s="223"/>
      <c r="U67" s="12"/>
      <c r="V67" s="12"/>
      <c r="W67" s="12">
        <f t="shared" ref="W67:W68" si="6">U67+V67</f>
        <v>0</v>
      </c>
      <c r="X67" s="144"/>
      <c r="Y67" s="119"/>
      <c r="Z67" s="122">
        <f t="shared" si="4"/>
        <v>0</v>
      </c>
      <c r="AA67" s="122">
        <f t="shared" si="5"/>
        <v>0</v>
      </c>
      <c r="AB67" s="12"/>
    </row>
    <row r="68" spans="1:28" s="4" customFormat="1" x14ac:dyDescent="0.25">
      <c r="A68" s="259" t="s">
        <v>221</v>
      </c>
      <c r="B68" s="404" t="s">
        <v>222</v>
      </c>
      <c r="C68" s="92"/>
      <c r="D68" s="92"/>
      <c r="E68" s="92">
        <v>1</v>
      </c>
      <c r="F68" s="92">
        <v>90</v>
      </c>
      <c r="G68" s="92" t="e">
        <f>VLOOKUP(A68,'[1]yourspreadsheetname (1)'!$A$2:$C$968, 3, FALSE)</f>
        <v>#N/A</v>
      </c>
      <c r="H68" s="257">
        <v>1</v>
      </c>
      <c r="I68" s="92"/>
      <c r="J68" s="92"/>
      <c r="K68" s="92"/>
      <c r="L68" s="92"/>
      <c r="M68" s="92"/>
      <c r="N68" s="64"/>
      <c r="O68" s="54"/>
      <c r="P68" s="29"/>
      <c r="Q68" s="12"/>
      <c r="R68" s="18">
        <v>600</v>
      </c>
      <c r="S68" s="223"/>
      <c r="T68" s="223"/>
      <c r="U68" s="12"/>
      <c r="V68" s="12"/>
      <c r="W68" s="12">
        <f t="shared" si="6"/>
        <v>0</v>
      </c>
      <c r="X68" s="144"/>
      <c r="Y68" s="119"/>
      <c r="Z68" s="122">
        <f t="shared" si="4"/>
        <v>0</v>
      </c>
      <c r="AA68" s="122">
        <f t="shared" si="5"/>
        <v>0</v>
      </c>
      <c r="AB68" s="12"/>
    </row>
    <row r="69" spans="1:28" x14ac:dyDescent="0.25">
      <c r="L69" s="188"/>
      <c r="Z69" s="598" t="e">
        <f>SUM(Z3:Z68)</f>
        <v>#N/A</v>
      </c>
      <c r="AA69" s="598">
        <f>SUM(AA3:AA68)</f>
        <v>41010673.850000009</v>
      </c>
    </row>
    <row r="70" spans="1:28" x14ac:dyDescent="0.25">
      <c r="L70" s="188"/>
    </row>
    <row r="71" spans="1:28" x14ac:dyDescent="0.25">
      <c r="L71" s="188"/>
    </row>
    <row r="72" spans="1:28" x14ac:dyDescent="0.25">
      <c r="L72" s="188"/>
    </row>
    <row r="156" spans="21:28" x14ac:dyDescent="0.25">
      <c r="U156" s="2"/>
      <c r="V156" s="2"/>
      <c r="W156" s="2"/>
      <c r="X156" s="142"/>
      <c r="Y156" s="142"/>
      <c r="AB156" s="2"/>
    </row>
    <row r="157" spans="21:28" x14ac:dyDescent="0.25">
      <c r="U157" s="2"/>
      <c r="V157" s="2"/>
      <c r="W157" s="2"/>
      <c r="X157" s="142"/>
      <c r="Y157" s="142"/>
      <c r="AB157" s="2"/>
    </row>
    <row r="158" spans="21:28" x14ac:dyDescent="0.25">
      <c r="U158" s="2"/>
      <c r="V158" s="2"/>
      <c r="W158" s="2"/>
      <c r="X158" s="142"/>
      <c r="Y158" s="142"/>
      <c r="AB158" s="2"/>
    </row>
    <row r="159" spans="21:28" x14ac:dyDescent="0.25">
      <c r="U159" s="2"/>
      <c r="V159" s="2"/>
      <c r="W159" s="2"/>
      <c r="X159" s="142"/>
      <c r="Y159" s="142"/>
      <c r="AB159" s="2"/>
    </row>
    <row r="160" spans="21:28" x14ac:dyDescent="0.25">
      <c r="U160" s="2"/>
      <c r="V160" s="2"/>
      <c r="W160" s="2"/>
      <c r="X160" s="142"/>
      <c r="Y160" s="142"/>
      <c r="AB160" s="2"/>
    </row>
    <row r="161" spans="21:28" x14ac:dyDescent="0.25">
      <c r="U161" s="2"/>
      <c r="V161" s="2"/>
      <c r="W161" s="2"/>
      <c r="X161" s="142"/>
      <c r="Y161" s="142"/>
      <c r="AB161" s="2"/>
    </row>
    <row r="162" spans="21:28" x14ac:dyDescent="0.25">
      <c r="U162" s="2"/>
      <c r="V162" s="2"/>
      <c r="W162" s="2"/>
      <c r="X162" s="142"/>
      <c r="Y162" s="142"/>
      <c r="AB162" s="2"/>
    </row>
    <row r="163" spans="21:28" x14ac:dyDescent="0.25">
      <c r="U163" s="2"/>
      <c r="V163" s="2"/>
      <c r="W163" s="2"/>
      <c r="X163" s="142"/>
      <c r="Y163" s="142"/>
      <c r="AB163" s="2"/>
    </row>
    <row r="164" spans="21:28" x14ac:dyDescent="0.25">
      <c r="U164" s="2"/>
      <c r="V164" s="2"/>
      <c r="W164" s="2"/>
      <c r="X164" s="142"/>
      <c r="Y164" s="142"/>
      <c r="AB164" s="2"/>
    </row>
    <row r="165" spans="21:28" x14ac:dyDescent="0.25">
      <c r="U165" s="2"/>
      <c r="V165" s="2"/>
      <c r="W165" s="2"/>
      <c r="X165" s="142"/>
      <c r="Y165" s="142"/>
      <c r="AB165" s="2"/>
    </row>
    <row r="166" spans="21:28" x14ac:dyDescent="0.25">
      <c r="U166" s="2"/>
      <c r="V166" s="2"/>
      <c r="W166" s="2"/>
      <c r="X166" s="142"/>
      <c r="Y166" s="142"/>
      <c r="AB166" s="2"/>
    </row>
    <row r="167" spans="21:28" x14ac:dyDescent="0.25">
      <c r="U167" s="2"/>
      <c r="V167" s="2"/>
      <c r="W167" s="2"/>
      <c r="X167" s="142"/>
      <c r="Y167" s="142"/>
      <c r="AB167" s="2"/>
    </row>
    <row r="168" spans="21:28" x14ac:dyDescent="0.25">
      <c r="U168" s="2"/>
      <c r="V168" s="2"/>
      <c r="W168" s="2"/>
      <c r="X168" s="142"/>
      <c r="Y168" s="142"/>
      <c r="AB168" s="2"/>
    </row>
    <row r="169" spans="21:28" x14ac:dyDescent="0.25">
      <c r="U169" s="2"/>
      <c r="V169" s="2"/>
      <c r="W169" s="2"/>
      <c r="X169" s="142"/>
      <c r="Y169" s="142"/>
      <c r="AB169" s="2"/>
    </row>
    <row r="170" spans="21:28" x14ac:dyDescent="0.25">
      <c r="U170" s="2"/>
      <c r="V170" s="2"/>
      <c r="W170" s="2"/>
      <c r="X170" s="142"/>
      <c r="Y170" s="142"/>
      <c r="AB170" s="2"/>
    </row>
    <row r="171" spans="21:28" x14ac:dyDescent="0.25">
      <c r="U171" s="2"/>
      <c r="V171" s="2"/>
      <c r="W171" s="2"/>
      <c r="X171" s="142"/>
      <c r="Y171" s="142"/>
      <c r="AB171" s="2"/>
    </row>
  </sheetData>
  <autoFilter ref="A2:AB55">
    <sortState ref="A4:AB68">
      <sortCondition ref="O2:O55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B122"/>
  <sheetViews>
    <sheetView topLeftCell="P1" zoomScaleNormal="100" workbookViewId="0">
      <pane ySplit="2" topLeftCell="A3" activePane="bottomLeft" state="frozen"/>
      <selection pane="bottomLeft" activeCell="S7" sqref="S7"/>
    </sheetView>
  </sheetViews>
  <sheetFormatPr baseColWidth="10" defaultColWidth="11.42578125" defaultRowHeight="15" x14ac:dyDescent="0.25"/>
  <cols>
    <col min="1" max="1" width="11.42578125" customWidth="1"/>
    <col min="2" max="2" width="62" customWidth="1"/>
    <col min="3" max="3" width="10" customWidth="1"/>
    <col min="4" max="6" width="9.5703125" customWidth="1"/>
    <col min="7" max="7" width="9.42578125" customWidth="1"/>
    <col min="8" max="8" width="11.5703125" customWidth="1"/>
    <col min="9" max="10" width="10.28515625" customWidth="1"/>
    <col min="11" max="11" width="7.85546875" customWidth="1"/>
    <col min="12" max="12" width="9.85546875" customWidth="1"/>
    <col min="13" max="13" width="14.28515625" customWidth="1"/>
    <col min="14" max="14" width="10.140625" customWidth="1"/>
    <col min="15" max="15" width="7.5703125" customWidth="1"/>
    <col min="16" max="16" width="9.85546875" customWidth="1"/>
    <col min="17" max="17" width="7.42578125" customWidth="1"/>
    <col min="18" max="20" width="16.85546875" customWidth="1"/>
    <col min="21" max="21" width="19.5703125" bestFit="1" customWidth="1"/>
    <col min="22" max="22" width="14.7109375" bestFit="1" customWidth="1"/>
    <col min="23" max="23" width="21.42578125" bestFit="1" customWidth="1"/>
    <col min="24" max="24" width="13.28515625" customWidth="1"/>
    <col min="25" max="25" width="16.5703125" customWidth="1"/>
    <col min="26" max="27" width="14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64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65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4" customFormat="1" ht="39.4" customHeight="1" x14ac:dyDescent="0.25">
      <c r="A3" s="55" t="s">
        <v>1750</v>
      </c>
      <c r="B3" s="92" t="s">
        <v>1751</v>
      </c>
      <c r="C3" s="55"/>
      <c r="D3" s="55"/>
      <c r="E3" s="55">
        <v>0.5</v>
      </c>
      <c r="F3" s="55">
        <v>0.5</v>
      </c>
      <c r="G3" s="92">
        <v>2</v>
      </c>
      <c r="H3" s="55">
        <v>3</v>
      </c>
      <c r="I3" s="55"/>
      <c r="J3" s="55"/>
      <c r="K3" s="55">
        <v>756480</v>
      </c>
      <c r="L3" s="55"/>
      <c r="M3" s="55" t="s">
        <v>285</v>
      </c>
      <c r="N3" s="64" t="s">
        <v>1752</v>
      </c>
      <c r="O3" s="66">
        <v>1</v>
      </c>
      <c r="P3" s="6"/>
      <c r="Q3" s="18"/>
      <c r="R3" s="18">
        <v>3</v>
      </c>
      <c r="S3" s="18"/>
      <c r="T3" s="18"/>
      <c r="U3" s="18"/>
      <c r="V3" s="18"/>
      <c r="W3" s="18">
        <f t="shared" ref="W3:W8" si="0">U3+V3</f>
        <v>0</v>
      </c>
      <c r="X3" s="47">
        <v>23400</v>
      </c>
      <c r="Y3" s="8">
        <v>184140</v>
      </c>
      <c r="Z3" s="8">
        <f t="shared" ref="Z3:Z9" si="1">R3*X3</f>
        <v>70200</v>
      </c>
      <c r="AA3" s="9">
        <f t="shared" ref="AA3:AA9" si="2">W3*Y3</f>
        <v>0</v>
      </c>
      <c r="AB3" s="6"/>
    </row>
    <row r="4" spans="1:28" s="4" customFormat="1" ht="25.5" customHeight="1" x14ac:dyDescent="0.25">
      <c r="A4" s="62" t="s">
        <v>1753</v>
      </c>
      <c r="B4" s="214" t="s">
        <v>1754</v>
      </c>
      <c r="C4" s="380">
        <v>300</v>
      </c>
      <c r="D4" s="260">
        <v>660</v>
      </c>
      <c r="E4" s="260">
        <v>600</v>
      </c>
      <c r="F4" s="260">
        <v>600</v>
      </c>
      <c r="G4" s="54">
        <v>0</v>
      </c>
      <c r="H4" s="62">
        <v>5400</v>
      </c>
      <c r="I4" s="382">
        <v>4800</v>
      </c>
      <c r="J4" s="62"/>
      <c r="K4" s="66">
        <v>756480</v>
      </c>
      <c r="L4" s="62"/>
      <c r="M4" s="66" t="s">
        <v>1755</v>
      </c>
      <c r="N4" s="64" t="s">
        <v>1752</v>
      </c>
      <c r="O4" s="62">
        <v>2</v>
      </c>
      <c r="P4" s="7" t="s">
        <v>1756</v>
      </c>
      <c r="Q4" s="7" t="s">
        <v>2013</v>
      </c>
      <c r="R4" s="18">
        <v>2500</v>
      </c>
      <c r="S4" s="175"/>
      <c r="T4" s="175"/>
      <c r="U4" s="7">
        <v>2500</v>
      </c>
      <c r="V4" s="7">
        <v>500</v>
      </c>
      <c r="W4" s="7">
        <f t="shared" si="0"/>
        <v>3000</v>
      </c>
      <c r="X4" s="46">
        <v>14998</v>
      </c>
      <c r="Y4" s="9">
        <v>17085</v>
      </c>
      <c r="Z4" s="9">
        <f t="shared" si="1"/>
        <v>37495000</v>
      </c>
      <c r="AA4" s="9">
        <f t="shared" si="2"/>
        <v>51255000</v>
      </c>
      <c r="AB4" s="7"/>
    </row>
    <row r="5" spans="1:28" s="4" customFormat="1" ht="25.5" customHeight="1" x14ac:dyDescent="0.25">
      <c r="A5" s="258" t="s">
        <v>1757</v>
      </c>
      <c r="B5" s="258" t="s">
        <v>1758</v>
      </c>
      <c r="C5" s="258"/>
      <c r="D5" s="381">
        <v>450</v>
      </c>
      <c r="E5" s="381">
        <v>450</v>
      </c>
      <c r="F5" s="381">
        <v>450</v>
      </c>
      <c r="G5" s="54">
        <v>0</v>
      </c>
      <c r="H5" s="62">
        <v>5400</v>
      </c>
      <c r="I5" s="383">
        <v>4200</v>
      </c>
      <c r="J5" s="381"/>
      <c r="K5" s="66">
        <v>756480</v>
      </c>
      <c r="L5" s="62"/>
      <c r="M5" s="66" t="s">
        <v>1759</v>
      </c>
      <c r="N5" s="64" t="s">
        <v>1752</v>
      </c>
      <c r="O5" s="258">
        <v>3</v>
      </c>
      <c r="P5" s="7" t="s">
        <v>1760</v>
      </c>
      <c r="Q5" s="18"/>
      <c r="R5" s="18">
        <v>1600</v>
      </c>
      <c r="S5" s="20"/>
      <c r="T5" s="20"/>
      <c r="U5" s="20">
        <v>1600</v>
      </c>
      <c r="V5" s="20"/>
      <c r="W5" s="28">
        <f t="shared" si="0"/>
        <v>1600</v>
      </c>
      <c r="X5" s="114">
        <v>26954.55</v>
      </c>
      <c r="Y5" s="43">
        <v>25395.200000000001</v>
      </c>
      <c r="Z5" s="8">
        <f t="shared" si="1"/>
        <v>43127280</v>
      </c>
      <c r="AA5" s="8">
        <f t="shared" si="2"/>
        <v>40632320</v>
      </c>
      <c r="AB5" s="113"/>
    </row>
    <row r="6" spans="1:28" s="4" customFormat="1" ht="25.5" customHeight="1" x14ac:dyDescent="0.25">
      <c r="A6" s="66" t="s">
        <v>1761</v>
      </c>
      <c r="B6" s="66" t="s">
        <v>1762</v>
      </c>
      <c r="C6" s="66"/>
      <c r="D6" s="66">
        <v>150</v>
      </c>
      <c r="E6" s="66">
        <v>150</v>
      </c>
      <c r="F6" s="66">
        <v>150</v>
      </c>
      <c r="G6" s="54">
        <v>0</v>
      </c>
      <c r="H6" s="62">
        <v>1350</v>
      </c>
      <c r="I6" s="57">
        <v>1350</v>
      </c>
      <c r="J6" s="66"/>
      <c r="K6" s="66">
        <v>756480</v>
      </c>
      <c r="L6" s="66"/>
      <c r="M6" s="66" t="s">
        <v>1755</v>
      </c>
      <c r="N6" s="64" t="s">
        <v>1752</v>
      </c>
      <c r="O6" s="66">
        <v>4</v>
      </c>
      <c r="P6" s="7" t="s">
        <v>1756</v>
      </c>
      <c r="Q6" s="18"/>
      <c r="R6" s="18">
        <v>500</v>
      </c>
      <c r="S6" s="18"/>
      <c r="T6" s="18"/>
      <c r="U6" s="18">
        <v>500</v>
      </c>
      <c r="V6" s="18"/>
      <c r="W6" s="18">
        <f t="shared" si="0"/>
        <v>500</v>
      </c>
      <c r="X6" s="8">
        <v>18630.5</v>
      </c>
      <c r="Y6" s="8">
        <v>19415</v>
      </c>
      <c r="Z6" s="8">
        <f t="shared" si="1"/>
        <v>9315250</v>
      </c>
      <c r="AA6" s="9">
        <f t="shared" si="2"/>
        <v>9707500</v>
      </c>
      <c r="AB6" s="32"/>
    </row>
    <row r="7" spans="1:28" s="4" customFormat="1" ht="26.25" customHeight="1" x14ac:dyDescent="0.25">
      <c r="A7" s="66" t="s">
        <v>1763</v>
      </c>
      <c r="B7" s="54" t="s">
        <v>1764</v>
      </c>
      <c r="C7" s="276"/>
      <c r="D7" s="63">
        <v>12</v>
      </c>
      <c r="E7" s="63">
        <v>12</v>
      </c>
      <c r="F7" s="63">
        <v>10</v>
      </c>
      <c r="G7" s="54">
        <f>VLOOKUP(A7,'[1]yourspreadsheetname (1)'!$A$2:$C$968, 3, FALSE)</f>
        <v>27</v>
      </c>
      <c r="H7" s="62">
        <v>144</v>
      </c>
      <c r="I7" s="66">
        <v>42</v>
      </c>
      <c r="J7" s="66"/>
      <c r="K7" s="66">
        <v>756480</v>
      </c>
      <c r="L7" s="66"/>
      <c r="M7" s="66" t="s">
        <v>1759</v>
      </c>
      <c r="N7" s="64" t="s">
        <v>1752</v>
      </c>
      <c r="O7" s="66">
        <v>5</v>
      </c>
      <c r="P7" s="18" t="s">
        <v>1760</v>
      </c>
      <c r="Q7" s="18"/>
      <c r="R7" s="18">
        <v>42</v>
      </c>
      <c r="S7" s="18"/>
      <c r="T7" s="18"/>
      <c r="U7" s="18">
        <v>42</v>
      </c>
      <c r="V7" s="18"/>
      <c r="W7" s="18">
        <f t="shared" si="0"/>
        <v>42</v>
      </c>
      <c r="X7" s="47">
        <v>68570.5</v>
      </c>
      <c r="Y7" s="8">
        <v>44444.800000000003</v>
      </c>
      <c r="Z7" s="8">
        <f t="shared" si="1"/>
        <v>2879961</v>
      </c>
      <c r="AA7" s="9">
        <f t="shared" si="2"/>
        <v>1866681.6</v>
      </c>
      <c r="AB7" s="22"/>
    </row>
    <row r="8" spans="1:28" s="4" customFormat="1" ht="25.5" customHeight="1" x14ac:dyDescent="0.25">
      <c r="A8" s="18" t="s">
        <v>1765</v>
      </c>
      <c r="B8" s="12" t="s">
        <v>1766</v>
      </c>
      <c r="C8" s="36"/>
      <c r="D8" s="36"/>
      <c r="E8" s="1">
        <v>2</v>
      </c>
      <c r="F8" s="1"/>
      <c r="G8" s="54">
        <f>VLOOKUP(A8,'[1]yourspreadsheetname (1)'!$A$2:$C$968, 3, FALSE)</f>
        <v>12</v>
      </c>
      <c r="H8" s="18">
        <v>12</v>
      </c>
      <c r="I8" s="18"/>
      <c r="J8" s="18"/>
      <c r="K8" s="18"/>
      <c r="L8" s="18"/>
      <c r="M8" s="18"/>
      <c r="N8" s="13"/>
      <c r="O8" s="18"/>
      <c r="P8" s="6"/>
      <c r="Q8" s="18"/>
      <c r="R8" s="18">
        <v>0</v>
      </c>
      <c r="S8" s="18"/>
      <c r="T8" s="18"/>
      <c r="U8" s="18"/>
      <c r="V8" s="18"/>
      <c r="W8" s="18">
        <f t="shared" si="0"/>
        <v>0</v>
      </c>
      <c r="X8" s="47">
        <v>13976</v>
      </c>
      <c r="Y8" s="8">
        <v>88880</v>
      </c>
      <c r="Z8" s="8">
        <f t="shared" si="1"/>
        <v>0</v>
      </c>
      <c r="AA8" s="8">
        <f t="shared" si="2"/>
        <v>0</v>
      </c>
      <c r="AB8" s="6"/>
    </row>
    <row r="9" spans="1:28" s="4" customFormat="1" ht="23.25" customHeight="1" x14ac:dyDescent="0.25">
      <c r="A9" s="18"/>
      <c r="B9" s="12" t="s">
        <v>1767</v>
      </c>
      <c r="C9" s="18"/>
      <c r="D9" s="18"/>
      <c r="E9" s="18"/>
      <c r="F9" s="18"/>
      <c r="G9" s="54">
        <v>0</v>
      </c>
      <c r="H9" s="18"/>
      <c r="I9" s="18"/>
      <c r="J9" s="18"/>
      <c r="K9" s="18"/>
      <c r="L9" s="18"/>
      <c r="M9" s="18"/>
      <c r="N9" s="13"/>
      <c r="O9" s="18"/>
      <c r="P9" s="6"/>
      <c r="Q9" s="18"/>
      <c r="R9" s="18">
        <f>((F9*15)-G9-I9)/2</f>
        <v>0</v>
      </c>
      <c r="S9" s="18"/>
      <c r="T9" s="18"/>
      <c r="U9" s="18"/>
      <c r="V9" s="18"/>
      <c r="W9" s="18"/>
      <c r="X9" s="47"/>
      <c r="Y9" s="8"/>
      <c r="Z9" s="8">
        <f t="shared" si="1"/>
        <v>0</v>
      </c>
      <c r="AA9" s="8">
        <f t="shared" si="2"/>
        <v>0</v>
      </c>
      <c r="AB9" s="38"/>
    </row>
    <row r="10" spans="1:28" s="4" customFormat="1" ht="25.5" customHeight="1" x14ac:dyDescent="0.25">
      <c r="A10" s="14"/>
      <c r="B10" s="4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42"/>
      <c r="O10" s="22"/>
      <c r="P10" s="32"/>
      <c r="Q10" s="22"/>
      <c r="R10" s="22"/>
      <c r="S10" s="22"/>
      <c r="T10" s="22"/>
      <c r="U10" s="22"/>
      <c r="V10" s="22"/>
      <c r="W10" s="22"/>
      <c r="X10" s="30"/>
      <c r="Y10" s="30"/>
      <c r="Z10" s="30">
        <f>SUM(Z4:Z8)</f>
        <v>92817491</v>
      </c>
      <c r="AA10" s="30">
        <f>SUM(AA3:AA9)</f>
        <v>103461501.59999999</v>
      </c>
      <c r="AB10" s="32"/>
    </row>
    <row r="11" spans="1:28" s="4" customFormat="1" x14ac:dyDescent="0.25">
      <c r="A11" s="680"/>
      <c r="B11" s="88" t="s">
        <v>1768</v>
      </c>
      <c r="C11" s="88"/>
      <c r="D11" s="88"/>
      <c r="E11" s="88"/>
      <c r="F11" s="88"/>
      <c r="G11" s="88"/>
      <c r="H11" s="88"/>
      <c r="I11" s="88"/>
      <c r="J11" s="88"/>
      <c r="K11" s="88"/>
      <c r="L11" s="22"/>
      <c r="M11" s="680"/>
      <c r="N11" s="680"/>
      <c r="O11" s="680"/>
      <c r="P11" s="680"/>
      <c r="Q11" s="680"/>
      <c r="R11" s="680"/>
      <c r="S11" s="680"/>
      <c r="T11" s="680"/>
      <c r="U11" s="680"/>
      <c r="V11" s="680"/>
      <c r="W11" s="680"/>
      <c r="X11" s="680"/>
      <c r="Y11" s="680"/>
      <c r="Z11" s="680"/>
      <c r="AA11" s="680"/>
      <c r="AB11" s="680"/>
    </row>
    <row r="12" spans="1:28" s="4" customFormat="1" x14ac:dyDescent="0.25">
      <c r="A12" s="680"/>
      <c r="B12" s="680"/>
      <c r="C12" s="680"/>
      <c r="D12" s="680"/>
      <c r="E12" s="680"/>
      <c r="F12" s="680"/>
      <c r="G12" s="680"/>
      <c r="H12" s="680"/>
      <c r="I12" s="680"/>
      <c r="J12" s="680"/>
      <c r="K12" s="680"/>
      <c r="L12" s="22"/>
      <c r="M12" s="680"/>
      <c r="N12" s="680"/>
      <c r="O12" s="680"/>
      <c r="P12" s="680"/>
      <c r="Q12" s="680"/>
      <c r="R12" s="680"/>
      <c r="S12" s="680"/>
      <c r="T12" s="680"/>
      <c r="U12" s="680"/>
      <c r="V12" s="680"/>
      <c r="W12" s="680"/>
      <c r="X12" s="680"/>
      <c r="Y12" s="680"/>
      <c r="Z12" s="680"/>
      <c r="AA12" s="680"/>
      <c r="AB12" s="680"/>
    </row>
    <row r="13" spans="1:28" s="4" customFormat="1" x14ac:dyDescent="0.25">
      <c r="A13" s="680"/>
      <c r="B13" s="680" t="s">
        <v>1769</v>
      </c>
      <c r="C13" s="680"/>
      <c r="D13" s="680"/>
      <c r="E13" s="680"/>
      <c r="F13" s="680"/>
      <c r="G13" s="680"/>
      <c r="H13" s="680"/>
      <c r="I13" s="680"/>
      <c r="J13" s="680"/>
      <c r="K13" s="680"/>
      <c r="L13" s="22"/>
      <c r="M13" s="680"/>
      <c r="N13" s="680"/>
      <c r="O13" s="680"/>
      <c r="P13" s="680"/>
      <c r="Q13" s="680"/>
      <c r="R13" s="680"/>
      <c r="S13" s="680"/>
      <c r="T13" s="680"/>
      <c r="U13" s="680"/>
      <c r="V13" s="680"/>
      <c r="W13" s="680"/>
      <c r="X13" s="680"/>
      <c r="Y13" s="680"/>
      <c r="Z13" s="680"/>
      <c r="AA13" s="680"/>
      <c r="AB13" s="680"/>
    </row>
    <row r="14" spans="1:28" s="4" customFormat="1" x14ac:dyDescent="0.25">
      <c r="A14" s="680"/>
      <c r="B14" s="680" t="s">
        <v>1770</v>
      </c>
      <c r="C14" s="680"/>
      <c r="D14" s="680"/>
      <c r="E14" s="680"/>
      <c r="F14" s="680"/>
      <c r="G14" s="680"/>
      <c r="H14" s="680"/>
      <c r="I14" s="680"/>
      <c r="J14" s="680"/>
      <c r="K14" s="680"/>
      <c r="L14" s="22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W14" s="680"/>
      <c r="X14" s="680"/>
      <c r="Y14" s="680"/>
      <c r="Z14" s="680"/>
      <c r="AA14" s="680"/>
      <c r="AB14" s="680"/>
    </row>
    <row r="15" spans="1:28" s="4" customFormat="1" x14ac:dyDescent="0.25">
      <c r="A15" s="680"/>
      <c r="B15" s="680" t="s">
        <v>1771</v>
      </c>
      <c r="C15" s="680"/>
      <c r="D15" s="680"/>
      <c r="E15" s="680"/>
      <c r="F15" s="680"/>
      <c r="G15" s="680"/>
      <c r="H15" s="261">
        <v>45717</v>
      </c>
      <c r="I15" s="680" t="s">
        <v>1772</v>
      </c>
      <c r="J15" s="680"/>
      <c r="K15" s="680"/>
      <c r="L15" s="22"/>
      <c r="M15" s="680"/>
      <c r="N15" s="680"/>
      <c r="O15" s="680"/>
      <c r="P15" s="116"/>
      <c r="Q15" s="116"/>
      <c r="R15" s="116"/>
      <c r="S15" s="116"/>
      <c r="T15" s="116"/>
      <c r="U15" s="116"/>
      <c r="V15" s="116"/>
      <c r="W15" s="116"/>
      <c r="X15" s="116"/>
      <c r="Y15" s="680"/>
      <c r="Z15" s="680"/>
      <c r="AA15" s="680"/>
      <c r="AB15" s="680"/>
    </row>
    <row r="16" spans="1:28" s="4" customFormat="1" x14ac:dyDescent="0.25">
      <c r="A16" s="680"/>
      <c r="B16" s="680"/>
      <c r="C16" s="680"/>
      <c r="D16" s="680"/>
      <c r="E16" s="680"/>
      <c r="F16" s="680"/>
      <c r="G16" s="680"/>
      <c r="H16" s="680"/>
      <c r="I16" s="680"/>
      <c r="J16" s="680"/>
      <c r="K16" s="680"/>
      <c r="L16" s="22"/>
      <c r="M16" s="680"/>
      <c r="N16" s="680"/>
      <c r="O16" s="680"/>
      <c r="P16" s="680"/>
      <c r="Q16" s="680"/>
      <c r="R16" s="680"/>
      <c r="S16" s="680"/>
      <c r="T16" s="680"/>
      <c r="U16" s="680"/>
      <c r="V16" s="680"/>
      <c r="W16" s="680"/>
      <c r="X16" s="680"/>
      <c r="Y16" s="680"/>
      <c r="Z16" s="680"/>
      <c r="AA16" s="680"/>
      <c r="AB16" s="680"/>
    </row>
    <row r="17" spans="2:12" s="4" customFormat="1" x14ac:dyDescent="0.25">
      <c r="B17" s="680" t="s">
        <v>1773</v>
      </c>
      <c r="C17" s="680"/>
      <c r="D17" s="680"/>
      <c r="E17" s="680"/>
      <c r="F17" s="680"/>
      <c r="G17" s="680"/>
      <c r="H17" s="680"/>
      <c r="I17" s="680"/>
      <c r="J17" s="680"/>
      <c r="K17" s="680"/>
      <c r="L17" s="22"/>
    </row>
    <row r="18" spans="2:12" s="4" customFormat="1" x14ac:dyDescent="0.25">
      <c r="B18" s="680"/>
      <c r="C18" s="680"/>
      <c r="D18" s="680"/>
      <c r="E18" s="680"/>
      <c r="F18" s="680"/>
      <c r="G18" s="680"/>
      <c r="H18" s="680"/>
      <c r="I18" s="680"/>
      <c r="J18" s="680"/>
      <c r="K18" s="680"/>
      <c r="L18" s="22"/>
    </row>
    <row r="19" spans="2:12" s="4" customFormat="1" ht="27.75" customHeight="1" x14ac:dyDescent="0.25">
      <c r="B19" s="801" t="s">
        <v>1774</v>
      </c>
      <c r="C19" s="802"/>
      <c r="D19" s="802"/>
      <c r="E19" s="802"/>
      <c r="F19" s="802"/>
      <c r="G19" s="802"/>
      <c r="H19" s="802"/>
      <c r="I19" s="802"/>
      <c r="J19" s="802"/>
      <c r="K19" s="680"/>
      <c r="L19" s="22"/>
    </row>
    <row r="20" spans="2:12" x14ac:dyDescent="0.25">
      <c r="L20" s="22"/>
    </row>
    <row r="21" spans="2:12" x14ac:dyDescent="0.25">
      <c r="B21" t="s">
        <v>1775</v>
      </c>
      <c r="L21" s="22"/>
    </row>
    <row r="22" spans="2:12" x14ac:dyDescent="0.25">
      <c r="L22" s="22"/>
    </row>
    <row r="23" spans="2:12" x14ac:dyDescent="0.25">
      <c r="B23" t="s">
        <v>1776</v>
      </c>
      <c r="L23" s="22"/>
    </row>
    <row r="24" spans="2:12" x14ac:dyDescent="0.25">
      <c r="L24" s="22"/>
    </row>
    <row r="25" spans="2:12" x14ac:dyDescent="0.25">
      <c r="B25" t="s">
        <v>1777</v>
      </c>
      <c r="L25" s="22"/>
    </row>
    <row r="26" spans="2:12" x14ac:dyDescent="0.25">
      <c r="L26" s="22"/>
    </row>
    <row r="27" spans="2:12" ht="26.25" customHeight="1" x14ac:dyDescent="0.25">
      <c r="B27" s="214" t="s">
        <v>1778</v>
      </c>
      <c r="L27" s="22"/>
    </row>
    <row r="28" spans="2:12" x14ac:dyDescent="0.25">
      <c r="L28" s="22"/>
    </row>
    <row r="29" spans="2:12" x14ac:dyDescent="0.25">
      <c r="L29" s="22"/>
    </row>
    <row r="30" spans="2:12" x14ac:dyDescent="0.25">
      <c r="L30" s="22"/>
    </row>
    <row r="31" spans="2:12" x14ac:dyDescent="0.25">
      <c r="L31" s="22"/>
    </row>
    <row r="32" spans="2:12" x14ac:dyDescent="0.25">
      <c r="L32" s="22"/>
    </row>
    <row r="33" spans="12:12" x14ac:dyDescent="0.25">
      <c r="L33" s="22"/>
    </row>
    <row r="34" spans="12:12" x14ac:dyDescent="0.25">
      <c r="L34" s="22"/>
    </row>
    <row r="35" spans="12:12" x14ac:dyDescent="0.25">
      <c r="L35" s="22"/>
    </row>
    <row r="36" spans="12:12" x14ac:dyDescent="0.25">
      <c r="L36" s="22"/>
    </row>
    <row r="37" spans="12:12" x14ac:dyDescent="0.25">
      <c r="L37" s="22"/>
    </row>
    <row r="38" spans="12:12" x14ac:dyDescent="0.25">
      <c r="L38" s="70"/>
    </row>
    <row r="39" spans="12:12" x14ac:dyDescent="0.25">
      <c r="L39" s="70"/>
    </row>
    <row r="40" spans="12:12" x14ac:dyDescent="0.25">
      <c r="L40" s="70"/>
    </row>
    <row r="41" spans="12:12" x14ac:dyDescent="0.25">
      <c r="L41" s="70"/>
    </row>
    <row r="42" spans="12:12" x14ac:dyDescent="0.25">
      <c r="L42" s="70"/>
    </row>
    <row r="43" spans="12:12" x14ac:dyDescent="0.25">
      <c r="L43" s="70"/>
    </row>
    <row r="44" spans="12:12" x14ac:dyDescent="0.25">
      <c r="L44" s="70"/>
    </row>
    <row r="45" spans="12:12" x14ac:dyDescent="0.25">
      <c r="L45" s="70"/>
    </row>
    <row r="46" spans="12:12" x14ac:dyDescent="0.25">
      <c r="L46" s="70"/>
    </row>
    <row r="47" spans="12:12" x14ac:dyDescent="0.25">
      <c r="L47" s="70"/>
    </row>
    <row r="48" spans="12:12" x14ac:dyDescent="0.25">
      <c r="L48" s="70"/>
    </row>
    <row r="49" spans="12:12" x14ac:dyDescent="0.25">
      <c r="L49" s="22"/>
    </row>
    <row r="50" spans="12:12" x14ac:dyDescent="0.25">
      <c r="L50" s="680"/>
    </row>
    <row r="51" spans="12:12" x14ac:dyDescent="0.25">
      <c r="L51" s="680"/>
    </row>
    <row r="52" spans="12:12" x14ac:dyDescent="0.25">
      <c r="L52" s="680"/>
    </row>
    <row r="53" spans="12:12" x14ac:dyDescent="0.25">
      <c r="L53" s="680"/>
    </row>
    <row r="54" spans="12:12" x14ac:dyDescent="0.25">
      <c r="L54" s="680"/>
    </row>
    <row r="55" spans="12:12" x14ac:dyDescent="0.25">
      <c r="L55" s="680"/>
    </row>
    <row r="56" spans="12:12" x14ac:dyDescent="0.25">
      <c r="L56" s="680"/>
    </row>
    <row r="57" spans="12:12" x14ac:dyDescent="0.25">
      <c r="L57" s="680"/>
    </row>
    <row r="58" spans="12:12" x14ac:dyDescent="0.25">
      <c r="L58" s="680"/>
    </row>
    <row r="59" spans="12:12" x14ac:dyDescent="0.25">
      <c r="L59" s="680"/>
    </row>
    <row r="60" spans="12:12" x14ac:dyDescent="0.25">
      <c r="L60" s="680"/>
    </row>
    <row r="61" spans="12:12" x14ac:dyDescent="0.25">
      <c r="L61" s="680"/>
    </row>
    <row r="62" spans="12:12" x14ac:dyDescent="0.25">
      <c r="L62" s="680"/>
    </row>
    <row r="107" spans="13:28" x14ac:dyDescent="0.25"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AB107" s="2"/>
    </row>
    <row r="108" spans="13:28" x14ac:dyDescent="0.25"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AB108" s="2"/>
    </row>
    <row r="109" spans="13:28" x14ac:dyDescent="0.25"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AB109" s="2"/>
    </row>
    <row r="110" spans="13:28" x14ac:dyDescent="0.25"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AB110" s="2"/>
    </row>
    <row r="111" spans="13:28" x14ac:dyDescent="0.25"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AB111" s="2"/>
    </row>
    <row r="112" spans="13:28" x14ac:dyDescent="0.25"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AB112" s="2"/>
    </row>
    <row r="113" spans="13:28" x14ac:dyDescent="0.25"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AB113" s="2"/>
    </row>
    <row r="114" spans="13:28" x14ac:dyDescent="0.25"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AB114" s="2"/>
    </row>
    <row r="115" spans="13:28" x14ac:dyDescent="0.25"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AB115" s="2"/>
    </row>
    <row r="116" spans="13:28" x14ac:dyDescent="0.25"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AB116" s="2"/>
    </row>
    <row r="117" spans="13:28" x14ac:dyDescent="0.25"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AB117" s="2"/>
    </row>
    <row r="118" spans="13:28" x14ac:dyDescent="0.25"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B118" s="2"/>
    </row>
    <row r="119" spans="13:28" x14ac:dyDescent="0.25"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B119" s="2"/>
    </row>
    <row r="120" spans="13:28" x14ac:dyDescent="0.25"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B120" s="2"/>
    </row>
    <row r="121" spans="13:28" x14ac:dyDescent="0.25"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B121" s="2"/>
    </row>
    <row r="122" spans="13:28" x14ac:dyDescent="0.25"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B122" s="2"/>
    </row>
  </sheetData>
  <autoFilter ref="A2:AB8">
    <sortState ref="A4:Z14">
      <sortCondition ref="O2:O8"/>
    </sortState>
  </autoFilter>
  <mergeCells count="28"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X1:X2"/>
    <mergeCell ref="Z1:Z2"/>
    <mergeCell ref="U1:V1"/>
    <mergeCell ref="T1:T2"/>
    <mergeCell ref="G1:G2"/>
    <mergeCell ref="I1:I2"/>
    <mergeCell ref="S1:S2"/>
    <mergeCell ref="D1:D2"/>
    <mergeCell ref="R1:R2"/>
    <mergeCell ref="F1:F2"/>
    <mergeCell ref="H1:H2"/>
    <mergeCell ref="J1:J2"/>
    <mergeCell ref="P1:P2"/>
    <mergeCell ref="A1:A2"/>
    <mergeCell ref="B19:J19"/>
    <mergeCell ref="B1:B2"/>
    <mergeCell ref="L1:L2"/>
    <mergeCell ref="N1:N2"/>
  </mergeCells>
  <pageMargins left="0.7" right="0.7" top="0.75" bottom="0.75" header="0.3" footer="0.3"/>
  <pageSetup orientation="portrait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</sheetPr>
  <dimension ref="A1:AB1048576"/>
  <sheetViews>
    <sheetView topLeftCell="M1" zoomScale="90" zoomScaleNormal="90" workbookViewId="0">
      <pane ySplit="2" topLeftCell="A3" activePane="bottomLeft" state="frozen"/>
      <selection pane="bottomLeft" activeCell="V10" sqref="V10"/>
    </sheetView>
  </sheetViews>
  <sheetFormatPr baseColWidth="10" defaultColWidth="11.42578125" defaultRowHeight="15" x14ac:dyDescent="0.25"/>
  <cols>
    <col min="1" max="1" width="12.28515625" customWidth="1"/>
    <col min="2" max="2" width="66.5703125" customWidth="1"/>
    <col min="3" max="3" width="11" customWidth="1"/>
    <col min="4" max="6" width="11.140625" customWidth="1"/>
    <col min="7" max="7" width="10" customWidth="1"/>
    <col min="8" max="8" width="11.140625" customWidth="1"/>
    <col min="9" max="9" width="11.28515625" customWidth="1"/>
    <col min="10" max="10" width="12" customWidth="1"/>
    <col min="11" max="11" width="12.28515625" customWidth="1"/>
    <col min="12" max="12" width="9.85546875" hidden="1" customWidth="1"/>
    <col min="13" max="13" width="14.7109375" customWidth="1"/>
    <col min="14" max="14" width="7.28515625" customWidth="1"/>
    <col min="15" max="15" width="7.5703125" customWidth="1"/>
    <col min="16" max="16" width="9.85546875" customWidth="1"/>
    <col min="17" max="17" width="7.42578125" customWidth="1"/>
    <col min="18" max="18" width="16.85546875" style="416" customWidth="1"/>
    <col min="19" max="20" width="16.85546875" hidden="1" customWidth="1"/>
    <col min="21" max="21" width="19.5703125" customWidth="1"/>
    <col min="22" max="22" width="14.7109375" customWidth="1"/>
    <col min="23" max="23" width="24.85546875" customWidth="1"/>
    <col min="24" max="24" width="12.28515625" customWidth="1"/>
    <col min="25" max="25" width="16.5703125" customWidth="1"/>
    <col min="26" max="27" width="14.85546875" customWidth="1"/>
    <col min="28" max="28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81</v>
      </c>
      <c r="H1" s="782" t="s">
        <v>82</v>
      </c>
      <c r="I1" s="764" t="s">
        <v>83</v>
      </c>
      <c r="J1" s="764" t="s">
        <v>84</v>
      </c>
      <c r="K1" s="757" t="s">
        <v>85</v>
      </c>
      <c r="L1" s="766" t="s">
        <v>86</v>
      </c>
      <c r="M1" s="762" t="s">
        <v>87</v>
      </c>
      <c r="N1" s="768" t="s">
        <v>88</v>
      </c>
      <c r="O1" s="762" t="s">
        <v>89</v>
      </c>
      <c r="P1" s="764" t="s">
        <v>90</v>
      </c>
      <c r="Q1" s="764" t="s">
        <v>91</v>
      </c>
      <c r="R1" s="803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8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4" customFormat="1" ht="45" customHeight="1" x14ac:dyDescent="0.25">
      <c r="A3" s="327" t="s">
        <v>1779</v>
      </c>
      <c r="B3" s="236" t="s">
        <v>1780</v>
      </c>
      <c r="C3" s="12">
        <v>160</v>
      </c>
      <c r="D3" s="18">
        <v>200</v>
      </c>
      <c r="E3" s="18">
        <v>320</v>
      </c>
      <c r="F3" s="18">
        <v>150</v>
      </c>
      <c r="G3" s="54">
        <v>900</v>
      </c>
      <c r="H3" s="66">
        <v>1620</v>
      </c>
      <c r="I3" s="18"/>
      <c r="J3" s="7"/>
      <c r="K3" s="40">
        <v>756524</v>
      </c>
      <c r="L3" s="7"/>
      <c r="M3" s="40" t="s">
        <v>1346</v>
      </c>
      <c r="N3" s="59" t="s">
        <v>1781</v>
      </c>
      <c r="O3" s="18">
        <v>1</v>
      </c>
      <c r="P3" s="7" t="s">
        <v>338</v>
      </c>
      <c r="Q3" s="18"/>
      <c r="R3" s="237">
        <v>600</v>
      </c>
      <c r="S3" s="18"/>
      <c r="T3" s="18"/>
      <c r="U3" s="18">
        <v>600</v>
      </c>
      <c r="V3" s="18"/>
      <c r="W3" s="18">
        <f t="shared" ref="W3:W16" si="0">U3+V3</f>
        <v>600</v>
      </c>
      <c r="X3" s="47">
        <v>43754</v>
      </c>
      <c r="Y3" s="8">
        <v>39600</v>
      </c>
      <c r="Z3" s="9">
        <f t="shared" ref="Z3:Z16" si="1">R3*X3</f>
        <v>26252400</v>
      </c>
      <c r="AA3" s="9">
        <f t="shared" ref="AA3:AA16" si="2">W3*Y3</f>
        <v>23760000</v>
      </c>
      <c r="AB3" s="18"/>
    </row>
    <row r="4" spans="1:28" s="4" customFormat="1" ht="45.75" customHeight="1" x14ac:dyDescent="0.25">
      <c r="A4" s="327" t="s">
        <v>1782</v>
      </c>
      <c r="B4" s="236" t="s">
        <v>1783</v>
      </c>
      <c r="C4" s="12">
        <v>80</v>
      </c>
      <c r="D4" s="18">
        <v>250</v>
      </c>
      <c r="E4" s="18">
        <v>300</v>
      </c>
      <c r="F4" s="18">
        <v>80</v>
      </c>
      <c r="G4" s="54">
        <v>0</v>
      </c>
      <c r="H4" s="66">
        <v>1300</v>
      </c>
      <c r="I4" s="18"/>
      <c r="J4" s="7"/>
      <c r="K4" s="40">
        <v>756524</v>
      </c>
      <c r="L4" s="7"/>
      <c r="M4" s="40" t="s">
        <v>1346</v>
      </c>
      <c r="N4" s="59" t="s">
        <v>1781</v>
      </c>
      <c r="O4" s="18">
        <v>2</v>
      </c>
      <c r="P4" s="7" t="s">
        <v>338</v>
      </c>
      <c r="Q4" s="18"/>
      <c r="R4" s="237">
        <f>((F4*15)-G4-I4)/2</f>
        <v>600</v>
      </c>
      <c r="S4" s="18"/>
      <c r="T4" s="18"/>
      <c r="U4" s="18">
        <v>600</v>
      </c>
      <c r="V4" s="18"/>
      <c r="W4" s="18">
        <f t="shared" si="0"/>
        <v>600</v>
      </c>
      <c r="X4" s="47">
        <v>59150</v>
      </c>
      <c r="Y4" s="8">
        <v>69341.740000000005</v>
      </c>
      <c r="Z4" s="9">
        <f t="shared" si="1"/>
        <v>35490000</v>
      </c>
      <c r="AA4" s="9">
        <f t="shared" si="2"/>
        <v>41605044</v>
      </c>
      <c r="AB4" s="18"/>
    </row>
    <row r="5" spans="1:28" s="4" customFormat="1" ht="64.5" customHeight="1" x14ac:dyDescent="0.25">
      <c r="A5" s="479" t="s">
        <v>1784</v>
      </c>
      <c r="B5" s="253" t="s">
        <v>1785</v>
      </c>
      <c r="C5" s="255">
        <v>160</v>
      </c>
      <c r="D5" s="18">
        <v>0</v>
      </c>
      <c r="E5" s="18">
        <v>0</v>
      </c>
      <c r="F5" s="18">
        <v>120</v>
      </c>
      <c r="G5" s="54">
        <f>VLOOKUP(A5,'[1]yourspreadsheetname (1)'!$A$2:$C$968, 3, FALSE)</f>
        <v>160</v>
      </c>
      <c r="H5" s="66">
        <v>300</v>
      </c>
      <c r="I5" s="18"/>
      <c r="J5" s="7"/>
      <c r="K5" s="40">
        <v>756524</v>
      </c>
      <c r="L5" s="7"/>
      <c r="M5" s="5" t="s">
        <v>1786</v>
      </c>
      <c r="N5" s="59" t="s">
        <v>1781</v>
      </c>
      <c r="O5" s="18">
        <v>3</v>
      </c>
      <c r="P5" s="24" t="s">
        <v>1787</v>
      </c>
      <c r="Q5" s="6"/>
      <c r="R5" s="237">
        <v>800</v>
      </c>
      <c r="S5" s="18"/>
      <c r="T5" s="18"/>
      <c r="U5" s="18">
        <v>800</v>
      </c>
      <c r="V5" s="6"/>
      <c r="W5" s="18">
        <f t="shared" si="0"/>
        <v>800</v>
      </c>
      <c r="X5" s="47">
        <v>220380</v>
      </c>
      <c r="Y5" s="8">
        <v>168839</v>
      </c>
      <c r="Z5" s="9">
        <f t="shared" si="1"/>
        <v>176304000</v>
      </c>
      <c r="AA5" s="9">
        <f t="shared" si="2"/>
        <v>135071200</v>
      </c>
      <c r="AB5" s="6"/>
    </row>
    <row r="6" spans="1:28" s="4" customFormat="1" ht="45" customHeight="1" x14ac:dyDescent="0.25">
      <c r="A6" s="271" t="s">
        <v>421</v>
      </c>
      <c r="B6" s="271" t="s">
        <v>422</v>
      </c>
      <c r="C6" s="254"/>
      <c r="D6" s="18"/>
      <c r="E6" s="18">
        <v>4</v>
      </c>
      <c r="F6" s="18">
        <v>4</v>
      </c>
      <c r="G6" s="54">
        <f>VLOOKUP(A6,'[1]yourspreadsheetname (1)'!$A$2:$C$968, 3, FALSE)</f>
        <v>0</v>
      </c>
      <c r="H6" s="66">
        <v>12</v>
      </c>
      <c r="I6" s="18"/>
      <c r="J6" s="7"/>
      <c r="K6" s="214">
        <v>756673</v>
      </c>
      <c r="L6" s="62"/>
      <c r="M6" s="60" t="s">
        <v>1788</v>
      </c>
      <c r="N6" s="215" t="s">
        <v>1789</v>
      </c>
      <c r="O6" s="66">
        <v>1</v>
      </c>
      <c r="P6" s="270"/>
      <c r="Q6" s="6"/>
      <c r="R6" s="237">
        <v>24</v>
      </c>
      <c r="S6" s="18"/>
      <c r="T6" s="18"/>
      <c r="U6" s="18"/>
      <c r="V6" s="6"/>
      <c r="W6" s="18">
        <f t="shared" si="0"/>
        <v>0</v>
      </c>
      <c r="X6" s="47">
        <v>14520</v>
      </c>
      <c r="Y6" s="8">
        <v>31400.77</v>
      </c>
      <c r="Z6" s="9">
        <f t="shared" si="1"/>
        <v>348480</v>
      </c>
      <c r="AA6" s="9">
        <f t="shared" si="2"/>
        <v>0</v>
      </c>
      <c r="AB6" s="6"/>
    </row>
    <row r="7" spans="1:28" s="4" customFormat="1" ht="45" customHeight="1" x14ac:dyDescent="0.25">
      <c r="A7" s="239" t="s">
        <v>1790</v>
      </c>
      <c r="B7" s="240" t="s">
        <v>1791</v>
      </c>
      <c r="C7" s="12"/>
      <c r="D7" s="18"/>
      <c r="E7" s="18">
        <v>2</v>
      </c>
      <c r="F7" s="18">
        <v>2</v>
      </c>
      <c r="G7" s="54">
        <f>VLOOKUP(A7,'[1]yourspreadsheetname (1)'!$A$2:$C$968, 3, FALSE)</f>
        <v>5</v>
      </c>
      <c r="H7" s="66">
        <v>12</v>
      </c>
      <c r="I7" s="18"/>
      <c r="J7" s="7"/>
      <c r="K7" s="214">
        <v>756673</v>
      </c>
      <c r="L7" s="62"/>
      <c r="M7" s="96" t="s">
        <v>1788</v>
      </c>
      <c r="N7" s="215" t="s">
        <v>1789</v>
      </c>
      <c r="O7" s="66">
        <v>2</v>
      </c>
      <c r="P7" s="270" t="s">
        <v>1792</v>
      </c>
      <c r="Q7" s="6" t="s">
        <v>2001</v>
      </c>
      <c r="R7" s="237">
        <v>12</v>
      </c>
      <c r="S7" s="18"/>
      <c r="T7" s="18"/>
      <c r="U7" s="18">
        <v>12</v>
      </c>
      <c r="V7" s="6">
        <v>6</v>
      </c>
      <c r="W7" s="18">
        <f t="shared" si="0"/>
        <v>18</v>
      </c>
      <c r="X7" s="47">
        <v>116919.88</v>
      </c>
      <c r="Y7" s="8">
        <v>123291.35</v>
      </c>
      <c r="Z7" s="9">
        <f t="shared" si="1"/>
        <v>1403038.56</v>
      </c>
      <c r="AA7" s="9">
        <f t="shared" si="2"/>
        <v>2219244.3000000003</v>
      </c>
      <c r="AB7" s="6"/>
    </row>
    <row r="8" spans="1:28" s="4" customFormat="1" ht="49.5" customHeight="1" x14ac:dyDescent="0.25">
      <c r="A8" s="239" t="s">
        <v>1793</v>
      </c>
      <c r="B8" s="240" t="s">
        <v>1794</v>
      </c>
      <c r="C8" s="12">
        <v>40</v>
      </c>
      <c r="D8" s="18">
        <v>10</v>
      </c>
      <c r="E8" s="18">
        <v>40</v>
      </c>
      <c r="F8" s="18">
        <v>25</v>
      </c>
      <c r="G8" s="54">
        <f>VLOOKUP(A8,'[1]yourspreadsheetname (1)'!$A$2:$C$968, 3, FALSE)</f>
        <v>240</v>
      </c>
      <c r="H8" s="66">
        <v>240</v>
      </c>
      <c r="I8" s="18"/>
      <c r="J8" s="7"/>
      <c r="K8" s="214">
        <v>756673</v>
      </c>
      <c r="L8" s="66"/>
      <c r="M8" s="62" t="s">
        <v>259</v>
      </c>
      <c r="N8" s="215" t="s">
        <v>1789</v>
      </c>
      <c r="O8" s="66">
        <v>3</v>
      </c>
      <c r="P8" s="7" t="s">
        <v>1795</v>
      </c>
      <c r="Q8" s="18" t="s">
        <v>2002</v>
      </c>
      <c r="R8" s="237">
        <v>100</v>
      </c>
      <c r="S8" s="18"/>
      <c r="T8" s="18"/>
      <c r="U8" s="18">
        <v>100</v>
      </c>
      <c r="V8" s="18">
        <v>100</v>
      </c>
      <c r="W8" s="18">
        <f t="shared" si="0"/>
        <v>200</v>
      </c>
      <c r="X8" s="47">
        <v>77064</v>
      </c>
      <c r="Y8" s="8">
        <v>78638.7</v>
      </c>
      <c r="Z8" s="9">
        <f t="shared" si="1"/>
        <v>7706400</v>
      </c>
      <c r="AA8" s="9">
        <f t="shared" si="2"/>
        <v>15727740</v>
      </c>
      <c r="AB8" s="112" t="s">
        <v>1796</v>
      </c>
    </row>
    <row r="9" spans="1:28" s="4" customFormat="1" ht="55.5" customHeight="1" x14ac:dyDescent="0.25">
      <c r="A9" s="239" t="s">
        <v>1797</v>
      </c>
      <c r="B9" s="241" t="s">
        <v>1798</v>
      </c>
      <c r="C9" s="29">
        <v>80</v>
      </c>
      <c r="D9" s="29">
        <v>20</v>
      </c>
      <c r="E9" s="29">
        <v>40</v>
      </c>
      <c r="F9" s="29">
        <v>50</v>
      </c>
      <c r="G9" s="54">
        <f>VLOOKUP(A9,'[1]yourspreadsheetname (1)'!$A$2:$C$968, 3, FALSE)</f>
        <v>23</v>
      </c>
      <c r="H9" s="66">
        <v>0</v>
      </c>
      <c r="I9" s="18"/>
      <c r="J9" s="39"/>
      <c r="K9" s="214">
        <v>756673</v>
      </c>
      <c r="L9" s="62"/>
      <c r="M9" s="62" t="s">
        <v>259</v>
      </c>
      <c r="N9" s="215" t="s">
        <v>1789</v>
      </c>
      <c r="O9" s="66">
        <v>4</v>
      </c>
      <c r="P9" s="18" t="s">
        <v>1795</v>
      </c>
      <c r="Q9" s="18" t="s">
        <v>2002</v>
      </c>
      <c r="R9" s="237">
        <v>300</v>
      </c>
      <c r="S9" s="18"/>
      <c r="T9" s="18"/>
      <c r="U9" s="18">
        <v>300</v>
      </c>
      <c r="V9" s="18">
        <v>150</v>
      </c>
      <c r="W9" s="18">
        <f t="shared" si="0"/>
        <v>450</v>
      </c>
      <c r="X9" s="47">
        <v>34560</v>
      </c>
      <c r="Y9" s="8">
        <v>45124.33</v>
      </c>
      <c r="Z9" s="9">
        <f t="shared" si="1"/>
        <v>10368000</v>
      </c>
      <c r="AA9" s="9">
        <f t="shared" si="2"/>
        <v>20305948.5</v>
      </c>
      <c r="AB9" s="112" t="s">
        <v>1799</v>
      </c>
    </row>
    <row r="10" spans="1:28" s="4" customFormat="1" ht="45.75" customHeight="1" x14ac:dyDescent="0.25">
      <c r="A10" s="237" t="s">
        <v>1790</v>
      </c>
      <c r="B10" s="238" t="s">
        <v>1800</v>
      </c>
      <c r="C10" s="12"/>
      <c r="D10" s="18"/>
      <c r="E10" s="18">
        <v>10</v>
      </c>
      <c r="F10" s="18">
        <v>0</v>
      </c>
      <c r="G10" s="54">
        <f>VLOOKUP(A10,'[1]yourspreadsheetname (1)'!$A$2:$C$968, 3, FALSE)</f>
        <v>5</v>
      </c>
      <c r="H10" s="66">
        <v>60</v>
      </c>
      <c r="I10" s="18"/>
      <c r="J10" s="7"/>
      <c r="K10" s="214">
        <v>756673</v>
      </c>
      <c r="L10" s="62"/>
      <c r="M10" s="96" t="s">
        <v>1788</v>
      </c>
      <c r="N10" s="215" t="s">
        <v>1789</v>
      </c>
      <c r="O10" s="66">
        <v>5</v>
      </c>
      <c r="P10" s="270" t="s">
        <v>1792</v>
      </c>
      <c r="Q10" s="6" t="s">
        <v>2001</v>
      </c>
      <c r="R10" s="237">
        <v>10</v>
      </c>
      <c r="S10" s="18"/>
      <c r="T10" s="18"/>
      <c r="U10" s="18">
        <v>10</v>
      </c>
      <c r="V10" s="6">
        <v>5</v>
      </c>
      <c r="W10" s="18">
        <f t="shared" si="0"/>
        <v>15</v>
      </c>
      <c r="X10" s="47">
        <v>116919.88</v>
      </c>
      <c r="Y10" s="8">
        <v>123291.35</v>
      </c>
      <c r="Z10" s="9">
        <f t="shared" si="1"/>
        <v>1169198.8</v>
      </c>
      <c r="AA10" s="9">
        <f t="shared" si="2"/>
        <v>1849370.25</v>
      </c>
      <c r="AB10" s="6"/>
    </row>
    <row r="11" spans="1:28" s="4" customFormat="1" ht="45" customHeight="1" x14ac:dyDescent="0.25">
      <c r="A11" s="237" t="s">
        <v>423</v>
      </c>
      <c r="B11" s="238" t="s">
        <v>424</v>
      </c>
      <c r="C11" s="12"/>
      <c r="D11" s="18"/>
      <c r="E11" s="18">
        <v>100</v>
      </c>
      <c r="F11" s="18">
        <v>100</v>
      </c>
      <c r="G11" s="54">
        <v>0</v>
      </c>
      <c r="H11" s="66">
        <v>600</v>
      </c>
      <c r="I11" s="18"/>
      <c r="J11" s="7"/>
      <c r="K11" s="214">
        <v>756673</v>
      </c>
      <c r="L11" s="62"/>
      <c r="M11" s="60" t="s">
        <v>1788</v>
      </c>
      <c r="N11" s="215" t="s">
        <v>1789</v>
      </c>
      <c r="O11" s="66">
        <v>6</v>
      </c>
      <c r="P11" s="270"/>
      <c r="Q11" s="6"/>
      <c r="R11" s="237">
        <v>600</v>
      </c>
      <c r="S11" s="18"/>
      <c r="T11" s="18"/>
      <c r="U11" s="18"/>
      <c r="V11" s="6"/>
      <c r="W11" s="18">
        <f t="shared" si="0"/>
        <v>0</v>
      </c>
      <c r="X11" s="47">
        <v>7603.7</v>
      </c>
      <c r="Y11" s="8">
        <v>15909.2</v>
      </c>
      <c r="Z11" s="9">
        <f t="shared" si="1"/>
        <v>4562220</v>
      </c>
      <c r="AA11" s="9">
        <f t="shared" si="2"/>
        <v>0</v>
      </c>
      <c r="AB11" s="6"/>
    </row>
    <row r="12" spans="1:28" s="4" customFormat="1" ht="48" customHeight="1" x14ac:dyDescent="0.25">
      <c r="A12" s="18" t="s">
        <v>1801</v>
      </c>
      <c r="B12" s="12" t="s">
        <v>1802</v>
      </c>
      <c r="C12" s="12">
        <v>3</v>
      </c>
      <c r="D12" s="18">
        <v>0</v>
      </c>
      <c r="E12" s="18">
        <v>5</v>
      </c>
      <c r="F12" s="18">
        <v>2</v>
      </c>
      <c r="G12" s="54">
        <f>VLOOKUP(A12,'[1]yourspreadsheetname (1)'!$A$2:$C$968, 3, FALSE)</f>
        <v>10</v>
      </c>
      <c r="H12" s="66">
        <v>0</v>
      </c>
      <c r="I12" s="18"/>
      <c r="J12" s="7"/>
      <c r="K12" s="214">
        <v>756673</v>
      </c>
      <c r="L12" s="66"/>
      <c r="M12" s="66" t="s">
        <v>259</v>
      </c>
      <c r="N12" s="215" t="s">
        <v>1789</v>
      </c>
      <c r="O12" s="66">
        <v>7</v>
      </c>
      <c r="P12" s="18" t="s">
        <v>1795</v>
      </c>
      <c r="Q12" s="18"/>
      <c r="R12" s="237">
        <f>((F12*15)-G12-I12)/2</f>
        <v>10</v>
      </c>
      <c r="S12" s="18"/>
      <c r="T12" s="18"/>
      <c r="U12" s="18">
        <v>10</v>
      </c>
      <c r="V12" s="18"/>
      <c r="W12" s="18">
        <f t="shared" si="0"/>
        <v>10</v>
      </c>
      <c r="X12" s="45">
        <v>40489</v>
      </c>
      <c r="Y12" s="8">
        <v>47938.8</v>
      </c>
      <c r="Z12" s="9">
        <f t="shared" si="1"/>
        <v>404890</v>
      </c>
      <c r="AA12" s="9">
        <f t="shared" si="2"/>
        <v>479388</v>
      </c>
      <c r="AB12" s="18"/>
    </row>
    <row r="13" spans="1:28" s="4" customFormat="1" ht="30.75" customHeight="1" x14ac:dyDescent="0.25">
      <c r="A13" s="235" t="s">
        <v>1803</v>
      </c>
      <c r="B13" s="235" t="s">
        <v>1804</v>
      </c>
      <c r="C13" s="54"/>
      <c r="D13" s="66">
        <v>400</v>
      </c>
      <c r="E13" s="66">
        <v>240</v>
      </c>
      <c r="F13" s="66">
        <v>240</v>
      </c>
      <c r="G13" s="54">
        <f>VLOOKUP(A13,'[1]yourspreadsheetname (1)'!$A$2:$C$968, 3, FALSE)</f>
        <v>1400</v>
      </c>
      <c r="H13" s="66">
        <v>1500</v>
      </c>
      <c r="I13" s="66"/>
      <c r="J13" s="62"/>
      <c r="K13" s="214"/>
      <c r="L13" s="62"/>
      <c r="M13" s="62"/>
      <c r="N13" s="215"/>
      <c r="O13" s="66"/>
      <c r="P13" s="270"/>
      <c r="Q13" s="63"/>
      <c r="R13" s="237">
        <v>0</v>
      </c>
      <c r="S13" s="66"/>
      <c r="T13" s="66"/>
      <c r="U13" s="18"/>
      <c r="V13" s="6"/>
      <c r="W13" s="18">
        <f t="shared" si="0"/>
        <v>0</v>
      </c>
      <c r="X13" s="47">
        <v>1700</v>
      </c>
      <c r="Y13" s="8">
        <v>7013.16</v>
      </c>
      <c r="Z13" s="9">
        <f t="shared" si="1"/>
        <v>0</v>
      </c>
      <c r="AA13" s="9">
        <f t="shared" si="2"/>
        <v>0</v>
      </c>
      <c r="AB13" s="6"/>
    </row>
    <row r="14" spans="1:28" s="4" customFormat="1" ht="49.5" customHeight="1" x14ac:dyDescent="0.25">
      <c r="A14" s="477" t="s">
        <v>1805</v>
      </c>
      <c r="B14" s="478" t="s">
        <v>1806</v>
      </c>
      <c r="C14" s="54"/>
      <c r="D14" s="66"/>
      <c r="E14" s="66">
        <v>60</v>
      </c>
      <c r="F14" s="66">
        <v>50</v>
      </c>
      <c r="G14" s="54">
        <f>VLOOKUP(A14,'[1]yourspreadsheetname (1)'!$A$2:$C$968, 3, FALSE)</f>
        <v>433</v>
      </c>
      <c r="H14" s="66">
        <v>486</v>
      </c>
      <c r="I14" s="66"/>
      <c r="J14" s="62"/>
      <c r="K14" s="214"/>
      <c r="L14" s="62"/>
      <c r="M14" s="66"/>
      <c r="N14" s="215"/>
      <c r="O14" s="66"/>
      <c r="P14" s="133"/>
      <c r="Q14" s="63"/>
      <c r="R14" s="237">
        <v>0</v>
      </c>
      <c r="S14" s="66"/>
      <c r="T14" s="66"/>
      <c r="U14" s="18"/>
      <c r="V14" s="6"/>
      <c r="W14" s="18">
        <f t="shared" si="0"/>
        <v>0</v>
      </c>
      <c r="X14" s="47">
        <v>14200.57</v>
      </c>
      <c r="Y14" s="8">
        <v>48000</v>
      </c>
      <c r="Z14" s="9">
        <f t="shared" si="1"/>
        <v>0</v>
      </c>
      <c r="AA14" s="9">
        <f t="shared" si="2"/>
        <v>0</v>
      </c>
      <c r="AB14" s="6"/>
    </row>
    <row r="15" spans="1:28" s="4" customFormat="1" ht="36" customHeight="1" x14ac:dyDescent="0.25">
      <c r="A15" s="237" t="s">
        <v>1807</v>
      </c>
      <c r="B15" s="238" t="s">
        <v>1808</v>
      </c>
      <c r="C15" s="12"/>
      <c r="D15" s="18"/>
      <c r="E15" s="18">
        <v>300</v>
      </c>
      <c r="F15" s="18">
        <v>200</v>
      </c>
      <c r="G15" s="54">
        <f>VLOOKUP(A15,'[1]yourspreadsheetname (1)'!$A$2:$C$968, 3, FALSE)</f>
        <v>2460</v>
      </c>
      <c r="H15" s="66">
        <v>1400</v>
      </c>
      <c r="I15" s="18"/>
      <c r="J15" s="7"/>
      <c r="K15" s="214"/>
      <c r="L15" s="7"/>
      <c r="M15" s="39"/>
      <c r="N15" s="215"/>
      <c r="O15" s="18"/>
      <c r="P15" s="270"/>
      <c r="Q15" s="6"/>
      <c r="R15" s="237">
        <v>0</v>
      </c>
      <c r="S15" s="18"/>
      <c r="T15" s="18"/>
      <c r="U15" s="18"/>
      <c r="V15" s="6"/>
      <c r="W15" s="18">
        <f t="shared" si="0"/>
        <v>0</v>
      </c>
      <c r="X15" s="47">
        <v>43530</v>
      </c>
      <c r="Y15" s="8">
        <v>29915</v>
      </c>
      <c r="Z15" s="9">
        <f t="shared" si="1"/>
        <v>0</v>
      </c>
      <c r="AA15" s="9">
        <f t="shared" si="2"/>
        <v>0</v>
      </c>
      <c r="AB15" s="6"/>
    </row>
    <row r="16" spans="1:28" s="4" customFormat="1" ht="24.75" customHeight="1" x14ac:dyDescent="0.25">
      <c r="A16" s="55" t="s">
        <v>1809</v>
      </c>
      <c r="B16" s="55" t="s">
        <v>1810</v>
      </c>
      <c r="C16" s="55"/>
      <c r="D16" s="55"/>
      <c r="E16" s="55"/>
      <c r="F16" s="55"/>
      <c r="G16" s="54">
        <f>VLOOKUP(A16,'[1]yourspreadsheetname (1)'!$A$2:$C$968, 3, FALSE)</f>
        <v>0</v>
      </c>
      <c r="H16" s="66">
        <v>0</v>
      </c>
      <c r="I16" s="18"/>
      <c r="J16" s="56"/>
      <c r="K16" s="39"/>
      <c r="L16" s="7"/>
      <c r="M16" s="6"/>
      <c r="N16" s="25"/>
      <c r="O16" s="18"/>
      <c r="P16" s="24"/>
      <c r="Q16" s="6"/>
      <c r="R16" s="237">
        <f>((F16*15)-G16-I16)/2</f>
        <v>0</v>
      </c>
      <c r="S16" s="18"/>
      <c r="T16" s="18"/>
      <c r="U16" s="18"/>
      <c r="V16" s="6"/>
      <c r="W16" s="18">
        <f t="shared" si="0"/>
        <v>0</v>
      </c>
      <c r="X16" s="47"/>
      <c r="Y16" s="8"/>
      <c r="Z16" s="9">
        <f t="shared" si="1"/>
        <v>0</v>
      </c>
      <c r="AA16" s="9">
        <f t="shared" si="2"/>
        <v>0</v>
      </c>
      <c r="AB16" s="6"/>
    </row>
    <row r="17" spans="1:28" s="4" customFormat="1" x14ac:dyDescent="0.25">
      <c r="A17" s="14"/>
      <c r="B17" s="10"/>
      <c r="C17" s="10"/>
      <c r="D17" s="14"/>
      <c r="E17" s="14"/>
      <c r="F17" s="14"/>
      <c r="G17" s="14"/>
      <c r="H17" s="14"/>
      <c r="I17" s="14"/>
      <c r="J17" s="14"/>
      <c r="K17" s="14"/>
      <c r="L17" s="22"/>
      <c r="M17" s="14"/>
      <c r="N17" s="14"/>
      <c r="O17" s="14"/>
      <c r="P17" s="14"/>
      <c r="Q17" s="14"/>
      <c r="R17" s="413"/>
      <c r="S17" s="11"/>
      <c r="T17" s="11"/>
      <c r="U17" s="14"/>
      <c r="V17" s="14"/>
      <c r="W17" s="14"/>
      <c r="X17" s="14"/>
      <c r="Y17" s="14"/>
      <c r="Z17" s="15">
        <f>SUM(Z3:Z16)</f>
        <v>264008627.36000001</v>
      </c>
      <c r="AA17" s="15">
        <f>SUM(AA3:AA16)</f>
        <v>241017935.05000001</v>
      </c>
      <c r="AB17" s="14"/>
    </row>
    <row r="18" spans="1:28" s="4" customFormat="1" ht="20.25" customHeight="1" x14ac:dyDescent="0.25">
      <c r="A18" s="14"/>
      <c r="B18" s="10"/>
      <c r="C18" s="10"/>
      <c r="D18" s="14"/>
      <c r="E18" s="14"/>
      <c r="F18" s="14"/>
      <c r="G18" s="14"/>
      <c r="H18" s="14"/>
      <c r="I18" s="14"/>
      <c r="J18" s="14"/>
      <c r="K18" s="14"/>
      <c r="L18" s="22"/>
      <c r="M18" s="14" t="s">
        <v>1811</v>
      </c>
      <c r="N18" s="14"/>
      <c r="O18" s="14"/>
      <c r="P18" s="14"/>
      <c r="Q18" s="14"/>
      <c r="R18" s="413"/>
      <c r="S18" s="11"/>
      <c r="T18" s="11"/>
      <c r="U18" s="14"/>
      <c r="V18" s="14"/>
      <c r="W18" s="14"/>
      <c r="X18" s="14"/>
      <c r="Y18" s="14"/>
      <c r="Z18" s="15"/>
      <c r="AA18" s="15"/>
      <c r="AB18" s="14"/>
    </row>
    <row r="19" spans="1:28" s="4" customFormat="1" ht="22.5" customHeight="1" x14ac:dyDescent="0.25">
      <c r="A19" s="14"/>
      <c r="B19" s="10"/>
      <c r="C19" s="10"/>
      <c r="D19" s="680"/>
      <c r="E19" s="680"/>
      <c r="F19" s="680"/>
      <c r="G19" s="680"/>
      <c r="H19" s="14" t="s">
        <v>1812</v>
      </c>
      <c r="I19" s="680"/>
      <c r="J19" s="680"/>
      <c r="K19" s="14"/>
      <c r="L19" s="22"/>
      <c r="M19" s="14"/>
      <c r="N19" s="14"/>
      <c r="O19" s="14"/>
      <c r="P19" s="14"/>
      <c r="Q19" s="14"/>
      <c r="R19" s="414"/>
      <c r="S19" s="14"/>
      <c r="T19" s="14"/>
      <c r="U19" s="680"/>
      <c r="V19" s="14"/>
      <c r="W19" s="14"/>
      <c r="X19" s="14"/>
      <c r="Y19" s="14"/>
      <c r="Z19" s="14"/>
      <c r="AA19" s="14"/>
      <c r="AB19" s="14"/>
    </row>
    <row r="20" spans="1:28" s="4" customFormat="1" ht="17.25" customHeight="1" x14ac:dyDescent="0.25">
      <c r="A20" s="680"/>
      <c r="B20" s="3" t="s">
        <v>1813</v>
      </c>
      <c r="C20" s="3"/>
      <c r="D20" s="680"/>
      <c r="E20" s="680"/>
      <c r="F20" s="680"/>
      <c r="G20" s="680"/>
      <c r="H20" s="680"/>
      <c r="I20" s="680"/>
      <c r="J20" s="680"/>
      <c r="K20" s="680"/>
      <c r="L20" s="22"/>
      <c r="M20" s="680"/>
      <c r="N20" s="680"/>
      <c r="O20" s="680"/>
      <c r="P20" s="680"/>
      <c r="Q20" s="680"/>
      <c r="R20" s="415"/>
      <c r="S20" s="680"/>
      <c r="T20" s="680"/>
      <c r="U20" s="680"/>
      <c r="V20" s="680"/>
      <c r="W20" s="680"/>
      <c r="X20" s="680"/>
      <c r="Y20" s="680"/>
      <c r="Z20" s="680"/>
      <c r="AA20" s="680"/>
      <c r="AB20" s="680"/>
    </row>
    <row r="21" spans="1:28" s="4" customFormat="1" x14ac:dyDescent="0.25">
      <c r="A21" s="680"/>
      <c r="B21" s="88" t="s">
        <v>1814</v>
      </c>
      <c r="C21" s="680"/>
      <c r="D21" s="680"/>
      <c r="E21" s="680"/>
      <c r="F21" s="680"/>
      <c r="G21" s="680"/>
      <c r="H21" s="680"/>
      <c r="I21" s="680"/>
      <c r="J21" s="680"/>
      <c r="K21" s="680"/>
      <c r="L21" s="22"/>
      <c r="M21" s="680"/>
      <c r="N21" s="680"/>
      <c r="O21" s="680"/>
      <c r="P21" s="680"/>
      <c r="Q21" s="680"/>
      <c r="R21" s="415"/>
      <c r="S21" s="680"/>
      <c r="T21" s="680"/>
      <c r="U21" s="680"/>
      <c r="V21" s="680"/>
      <c r="W21" s="680"/>
      <c r="X21" s="680"/>
      <c r="Y21" s="680"/>
      <c r="Z21" s="680"/>
      <c r="AA21" s="680"/>
      <c r="AB21" s="680"/>
    </row>
    <row r="22" spans="1:28" s="4" customFormat="1" x14ac:dyDescent="0.25">
      <c r="A22" s="680"/>
      <c r="B22" s="90"/>
      <c r="C22" s="680"/>
      <c r="D22" s="680"/>
      <c r="E22" s="680"/>
      <c r="F22" s="680"/>
      <c r="G22" s="680"/>
      <c r="H22" s="680"/>
      <c r="I22" s="680"/>
      <c r="J22" s="680"/>
      <c r="K22" s="680"/>
      <c r="L22" s="22"/>
      <c r="M22" s="680"/>
      <c r="N22" s="680"/>
      <c r="O22" s="680"/>
      <c r="P22" s="680"/>
      <c r="Q22" s="680"/>
      <c r="R22" s="415"/>
      <c r="S22" s="680"/>
      <c r="T22" s="680"/>
      <c r="U22" s="680"/>
      <c r="V22" s="680"/>
      <c r="W22" s="680"/>
      <c r="X22" s="680"/>
      <c r="Y22" s="680"/>
      <c r="Z22" s="680"/>
      <c r="AA22" s="680"/>
      <c r="AB22" s="680"/>
    </row>
    <row r="23" spans="1:28" s="4" customFormat="1" ht="54" customHeight="1" x14ac:dyDescent="0.25">
      <c r="A23" s="680"/>
      <c r="B23" s="89" t="s">
        <v>1815</v>
      </c>
      <c r="C23" s="91"/>
      <c r="D23" s="91"/>
      <c r="E23" s="203" t="s">
        <v>1816</v>
      </c>
      <c r="F23" s="203"/>
      <c r="G23" s="91"/>
      <c r="H23" s="91"/>
      <c r="I23" s="680"/>
      <c r="J23" s="680"/>
      <c r="K23" s="680"/>
      <c r="L23" s="22"/>
      <c r="M23" s="680"/>
      <c r="N23" s="680"/>
      <c r="O23" s="680"/>
      <c r="P23" s="680"/>
      <c r="Q23" s="680"/>
      <c r="R23" s="415"/>
      <c r="S23" s="680"/>
      <c r="T23" s="680"/>
      <c r="U23" s="94" t="s">
        <v>1817</v>
      </c>
      <c r="V23" s="94"/>
      <c r="W23" s="94"/>
      <c r="X23" s="680"/>
      <c r="Y23" s="680"/>
      <c r="Z23" s="680"/>
      <c r="AA23" s="680"/>
      <c r="AB23" s="680"/>
    </row>
    <row r="24" spans="1:28" s="4" customFormat="1" ht="27.75" customHeight="1" x14ac:dyDescent="0.25">
      <c r="A24" s="680"/>
      <c r="B24" s="80" t="s">
        <v>1799</v>
      </c>
      <c r="C24" s="73"/>
      <c r="D24" s="73"/>
      <c r="E24" s="204" t="s">
        <v>1818</v>
      </c>
      <c r="F24" s="204"/>
      <c r="G24" s="73"/>
      <c r="H24" s="73"/>
      <c r="I24" s="680"/>
      <c r="J24" s="680"/>
      <c r="K24" s="680"/>
      <c r="L24" s="22"/>
      <c r="M24" s="680" t="s">
        <v>1819</v>
      </c>
      <c r="N24" s="680"/>
      <c r="O24" s="680"/>
      <c r="P24" s="680"/>
      <c r="Q24" s="680"/>
      <c r="R24" s="415"/>
      <c r="S24" s="680"/>
      <c r="T24" s="680"/>
      <c r="U24" s="680"/>
      <c r="V24" s="680"/>
      <c r="W24" s="680"/>
      <c r="X24" s="680"/>
      <c r="Y24" s="680"/>
      <c r="Z24" s="680"/>
      <c r="AA24" s="680"/>
      <c r="AB24" s="680"/>
    </row>
    <row r="25" spans="1:28" s="4" customFormat="1" ht="24" customHeight="1" x14ac:dyDescent="0.25">
      <c r="A25" s="680"/>
      <c r="B25" s="680"/>
      <c r="C25" s="680"/>
      <c r="D25" s="680"/>
      <c r="E25" s="205" t="s">
        <v>1820</v>
      </c>
      <c r="F25" s="205"/>
      <c r="G25" s="680"/>
      <c r="H25" s="680"/>
      <c r="I25" s="680"/>
      <c r="J25" s="680"/>
      <c r="K25" s="680"/>
      <c r="L25" s="22"/>
      <c r="M25" s="680" t="s">
        <v>1821</v>
      </c>
      <c r="N25" s="680"/>
      <c r="O25" s="680"/>
      <c r="P25" s="680"/>
      <c r="Q25" s="680"/>
      <c r="R25" s="415"/>
      <c r="S25" s="680"/>
      <c r="T25" s="680"/>
      <c r="U25" s="680"/>
      <c r="V25" s="680"/>
      <c r="W25" s="680"/>
      <c r="X25" s="680"/>
      <c r="Y25" s="680"/>
      <c r="Z25" s="680"/>
      <c r="AA25" s="680"/>
      <c r="AB25" s="680"/>
    </row>
    <row r="26" spans="1:28" s="4" customFormat="1" ht="30" customHeight="1" x14ac:dyDescent="0.25">
      <c r="A26" s="1" t="s">
        <v>1822</v>
      </c>
      <c r="B26" s="26" t="s">
        <v>1823</v>
      </c>
      <c r="C26" s="78"/>
      <c r="D26" s="680"/>
      <c r="E26" s="204"/>
      <c r="F26" s="204"/>
      <c r="G26" s="680"/>
      <c r="H26" s="680"/>
      <c r="I26" s="680"/>
      <c r="J26" s="680"/>
      <c r="K26" s="680"/>
      <c r="L26" s="22"/>
      <c r="M26" s="680" t="s">
        <v>1824</v>
      </c>
      <c r="N26" s="680"/>
      <c r="O26" s="680"/>
      <c r="P26" s="680"/>
      <c r="Q26" s="680"/>
      <c r="R26" s="415"/>
      <c r="S26" s="680"/>
      <c r="T26" s="680"/>
      <c r="U26" s="680"/>
      <c r="V26" s="680"/>
      <c r="W26" s="680"/>
      <c r="X26" s="680"/>
      <c r="Y26" s="680"/>
      <c r="Z26" s="680"/>
      <c r="AA26" s="680"/>
      <c r="AB26" s="680"/>
    </row>
    <row r="27" spans="1:28" s="4" customFormat="1" ht="30" customHeight="1" x14ac:dyDescent="0.25">
      <c r="A27" s="1" t="s">
        <v>1784</v>
      </c>
      <c r="B27" s="26" t="s">
        <v>1825</v>
      </c>
      <c r="C27" s="78"/>
      <c r="D27" s="680"/>
      <c r="E27" s="205" t="s">
        <v>1826</v>
      </c>
      <c r="F27" s="205"/>
      <c r="G27" s="680"/>
      <c r="H27" s="680"/>
      <c r="I27" s="680"/>
      <c r="J27" s="680"/>
      <c r="K27" s="680"/>
      <c r="L27" s="22"/>
      <c r="M27" s="680"/>
      <c r="N27" s="680"/>
      <c r="O27" s="680"/>
      <c r="P27" s="680"/>
      <c r="Q27" s="680"/>
      <c r="R27" s="415"/>
      <c r="S27" s="680"/>
      <c r="T27" s="680"/>
      <c r="U27" s="680"/>
      <c r="V27" s="680"/>
      <c r="W27" s="680"/>
      <c r="X27" s="680"/>
      <c r="Y27" s="680"/>
      <c r="Z27" s="680"/>
      <c r="AA27" s="680"/>
      <c r="AB27" s="680"/>
    </row>
    <row r="28" spans="1:28" s="4" customFormat="1" ht="30" customHeight="1" x14ac:dyDescent="0.25">
      <c r="A28" s="1" t="s">
        <v>1827</v>
      </c>
      <c r="B28" s="26" t="s">
        <v>1828</v>
      </c>
      <c r="C28" s="78"/>
      <c r="D28" s="680"/>
      <c r="E28" s="205" t="s">
        <v>1829</v>
      </c>
      <c r="F28" s="205"/>
      <c r="G28" s="680"/>
      <c r="H28" s="680"/>
      <c r="I28" s="680"/>
      <c r="J28" s="680"/>
      <c r="K28" s="680"/>
      <c r="L28" s="22"/>
      <c r="M28" s="680"/>
      <c r="N28" s="680"/>
      <c r="O28" s="680"/>
      <c r="P28" s="680"/>
      <c r="Q28" s="680"/>
      <c r="R28" s="415"/>
      <c r="S28" s="680"/>
      <c r="T28" s="680"/>
      <c r="U28" s="680"/>
      <c r="V28" s="680"/>
      <c r="W28" s="680"/>
      <c r="X28" s="680"/>
      <c r="Y28" s="680"/>
      <c r="Z28" s="680"/>
      <c r="AA28" s="680"/>
      <c r="AB28" s="680"/>
    </row>
    <row r="29" spans="1:28" s="4" customFormat="1" ht="28.5" customHeight="1" x14ac:dyDescent="0.25">
      <c r="A29" s="19" t="s">
        <v>1830</v>
      </c>
      <c r="B29" s="27" t="s">
        <v>1831</v>
      </c>
      <c r="C29" s="79"/>
      <c r="D29" s="680"/>
      <c r="E29" s="204"/>
      <c r="F29" s="204"/>
      <c r="G29" s="680"/>
      <c r="H29" s="680"/>
      <c r="I29" s="680"/>
      <c r="J29" s="680"/>
      <c r="K29" s="680"/>
      <c r="L29" s="22"/>
      <c r="M29" s="680"/>
      <c r="N29" s="680"/>
      <c r="O29" s="680"/>
      <c r="P29" s="680"/>
      <c r="Q29" s="680"/>
      <c r="R29" s="415"/>
      <c r="S29" s="680"/>
      <c r="T29" s="680"/>
      <c r="U29" s="680"/>
      <c r="V29" s="680"/>
      <c r="W29" s="680"/>
      <c r="X29" s="680"/>
      <c r="Y29" s="680"/>
      <c r="Z29" s="680"/>
      <c r="AA29" s="680"/>
      <c r="AB29" s="680"/>
    </row>
    <row r="30" spans="1:28" s="4" customFormat="1" ht="15" customHeight="1" x14ac:dyDescent="0.25">
      <c r="A30" s="1" t="s">
        <v>1832</v>
      </c>
      <c r="B30" s="26" t="s">
        <v>1833</v>
      </c>
      <c r="C30" s="78"/>
      <c r="D30" s="680"/>
      <c r="E30" s="205" t="s">
        <v>1834</v>
      </c>
      <c r="F30" s="205"/>
      <c r="G30" s="680"/>
      <c r="H30" s="680"/>
      <c r="I30" s="680"/>
      <c r="J30" s="680"/>
      <c r="K30" s="680"/>
      <c r="L30" s="22"/>
      <c r="M30" s="680"/>
      <c r="N30" s="680"/>
      <c r="O30" s="680"/>
      <c r="P30" s="680"/>
      <c r="Q30" s="680"/>
      <c r="R30" s="415"/>
      <c r="S30" s="680"/>
      <c r="T30" s="680"/>
      <c r="U30" s="680"/>
      <c r="V30" s="680"/>
      <c r="W30" s="680"/>
      <c r="X30" s="680"/>
      <c r="Y30" s="680"/>
      <c r="Z30" s="680"/>
      <c r="AA30" s="680"/>
      <c r="AB30" s="680"/>
    </row>
    <row r="31" spans="1:28" s="4" customFormat="1" ht="15" customHeight="1" x14ac:dyDescent="0.25">
      <c r="A31" s="1" t="s">
        <v>1835</v>
      </c>
      <c r="B31" s="26" t="s">
        <v>1836</v>
      </c>
      <c r="C31" s="78"/>
      <c r="D31" s="680"/>
      <c r="E31" s="205" t="s">
        <v>1837</v>
      </c>
      <c r="F31" s="205"/>
      <c r="G31" s="680"/>
      <c r="H31" s="680"/>
      <c r="I31" s="680"/>
      <c r="J31" s="680"/>
      <c r="K31" s="680"/>
      <c r="L31" s="22"/>
      <c r="M31" s="680"/>
      <c r="N31" s="680"/>
      <c r="O31" s="680"/>
      <c r="P31" s="680"/>
      <c r="Q31" s="680"/>
      <c r="R31" s="415"/>
      <c r="S31" s="680"/>
      <c r="T31" s="680"/>
      <c r="U31" s="680"/>
      <c r="V31" s="680"/>
      <c r="W31" s="680"/>
      <c r="X31" s="680"/>
      <c r="Y31" s="680"/>
      <c r="Z31" s="680"/>
      <c r="AA31" s="680"/>
      <c r="AB31" s="680"/>
    </row>
    <row r="32" spans="1:28" s="4" customFormat="1" ht="15" customHeight="1" x14ac:dyDescent="0.25">
      <c r="A32" s="1" t="s">
        <v>1838</v>
      </c>
      <c r="B32" s="26" t="s">
        <v>1839</v>
      </c>
      <c r="C32" s="78"/>
      <c r="D32" s="680"/>
      <c r="E32" s="680"/>
      <c r="F32" s="680"/>
      <c r="G32" s="680"/>
      <c r="H32" s="680"/>
      <c r="I32" s="680"/>
      <c r="J32" s="680"/>
      <c r="K32" s="680"/>
      <c r="L32" s="22"/>
      <c r="M32" s="680"/>
      <c r="N32" s="680"/>
      <c r="O32" s="680"/>
      <c r="P32" s="680"/>
      <c r="Q32" s="680"/>
      <c r="R32" s="415"/>
      <c r="S32" s="680"/>
      <c r="T32" s="680"/>
      <c r="U32" s="680"/>
      <c r="V32" s="680"/>
      <c r="W32" s="680"/>
      <c r="X32" s="680"/>
      <c r="Y32" s="680"/>
      <c r="Z32" s="680"/>
      <c r="AA32" s="680"/>
      <c r="AB32" s="680"/>
    </row>
    <row r="33" spans="1:18" s="4" customFormat="1" ht="45" customHeight="1" x14ac:dyDescent="0.25">
      <c r="A33" s="1" t="s">
        <v>1840</v>
      </c>
      <c r="B33" s="26" t="s">
        <v>1841</v>
      </c>
      <c r="C33" s="78"/>
      <c r="D33" s="680"/>
      <c r="E33" s="680" t="s">
        <v>1842</v>
      </c>
      <c r="F33" s="680"/>
      <c r="G33" s="680"/>
      <c r="H33" s="680"/>
      <c r="I33" s="680"/>
      <c r="J33" s="680"/>
      <c r="K33" s="680"/>
      <c r="L33" s="22"/>
      <c r="M33" s="680"/>
      <c r="N33" s="680"/>
      <c r="O33" s="680"/>
      <c r="P33" s="680"/>
      <c r="Q33" s="680"/>
      <c r="R33" s="415"/>
    </row>
    <row r="34" spans="1:18" s="4" customFormat="1" x14ac:dyDescent="0.25">
      <c r="A34" s="680"/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22"/>
      <c r="M34" s="680"/>
      <c r="N34" s="680"/>
      <c r="O34" s="680"/>
      <c r="P34" s="680"/>
      <c r="Q34" s="680"/>
      <c r="R34" s="415"/>
    </row>
    <row r="35" spans="1:18" s="4" customFormat="1" ht="15" customHeight="1" x14ac:dyDescent="0.25">
      <c r="A35" s="680"/>
      <c r="B35" s="680"/>
      <c r="C35" s="680"/>
      <c r="D35" s="680"/>
      <c r="E35" s="680"/>
      <c r="F35" s="680"/>
      <c r="G35" s="680"/>
      <c r="H35" s="680"/>
      <c r="I35" s="680"/>
      <c r="J35" s="680"/>
      <c r="K35" s="680"/>
      <c r="L35" s="22"/>
      <c r="M35" s="680"/>
      <c r="N35" s="680"/>
      <c r="O35" s="680"/>
      <c r="P35" s="680"/>
      <c r="Q35" s="680"/>
      <c r="R35" s="415"/>
    </row>
    <row r="36" spans="1:18" ht="15" customHeight="1" x14ac:dyDescent="0.25">
      <c r="L36" s="22"/>
    </row>
    <row r="37" spans="1:18" x14ac:dyDescent="0.25">
      <c r="L37" s="22"/>
    </row>
    <row r="38" spans="1:18" x14ac:dyDescent="0.25">
      <c r="L38" s="22"/>
    </row>
    <row r="39" spans="1:18" x14ac:dyDescent="0.25">
      <c r="L39" s="22"/>
    </row>
    <row r="40" spans="1:18" x14ac:dyDescent="0.25">
      <c r="L40" s="22"/>
    </row>
    <row r="41" spans="1:18" x14ac:dyDescent="0.25">
      <c r="L41" s="22"/>
    </row>
    <row r="42" spans="1:18" x14ac:dyDescent="0.25">
      <c r="L42" s="22"/>
    </row>
    <row r="43" spans="1:18" x14ac:dyDescent="0.25">
      <c r="L43" s="22"/>
    </row>
    <row r="44" spans="1:18" x14ac:dyDescent="0.25">
      <c r="L44" s="22"/>
    </row>
    <row r="45" spans="1:18" x14ac:dyDescent="0.25">
      <c r="L45" s="22"/>
    </row>
    <row r="46" spans="1:18" x14ac:dyDescent="0.25">
      <c r="L46" s="22"/>
    </row>
    <row r="47" spans="1:18" x14ac:dyDescent="0.25">
      <c r="L47" s="22"/>
    </row>
    <row r="48" spans="1:18" x14ac:dyDescent="0.25">
      <c r="L48" s="22"/>
    </row>
    <row r="49" spans="12:12" x14ac:dyDescent="0.25">
      <c r="L49" s="22"/>
    </row>
    <row r="50" spans="12:12" x14ac:dyDescent="0.25">
      <c r="L50" s="70"/>
    </row>
    <row r="51" spans="12:12" x14ac:dyDescent="0.25">
      <c r="L51" s="70"/>
    </row>
    <row r="52" spans="12:12" x14ac:dyDescent="0.25">
      <c r="L52" s="70"/>
    </row>
    <row r="53" spans="12:12" x14ac:dyDescent="0.25">
      <c r="L53" s="70"/>
    </row>
    <row r="54" spans="12:12" x14ac:dyDescent="0.25">
      <c r="L54" s="70"/>
    </row>
    <row r="55" spans="12:12" x14ac:dyDescent="0.25">
      <c r="L55" s="70"/>
    </row>
    <row r="56" spans="12:12" x14ac:dyDescent="0.25">
      <c r="L56" s="70"/>
    </row>
    <row r="57" spans="12:12" x14ac:dyDescent="0.25">
      <c r="L57" s="70"/>
    </row>
    <row r="58" spans="12:12" x14ac:dyDescent="0.25">
      <c r="L58" s="70"/>
    </row>
    <row r="59" spans="12:12" x14ac:dyDescent="0.25">
      <c r="L59" s="70"/>
    </row>
    <row r="60" spans="12:12" x14ac:dyDescent="0.25">
      <c r="L60" s="70"/>
    </row>
    <row r="61" spans="12:12" x14ac:dyDescent="0.25">
      <c r="L61" s="22"/>
    </row>
    <row r="62" spans="12:12" x14ac:dyDescent="0.25">
      <c r="L62" s="680"/>
    </row>
    <row r="63" spans="12:12" x14ac:dyDescent="0.25">
      <c r="L63" s="680"/>
    </row>
    <row r="64" spans="12:12" x14ac:dyDescent="0.25">
      <c r="L64" s="680"/>
    </row>
    <row r="65" spans="12:12" x14ac:dyDescent="0.25">
      <c r="L65" s="680"/>
    </row>
    <row r="66" spans="12:12" x14ac:dyDescent="0.25">
      <c r="L66" s="680"/>
    </row>
    <row r="67" spans="12:12" x14ac:dyDescent="0.25">
      <c r="L67" s="680"/>
    </row>
    <row r="68" spans="12:12" x14ac:dyDescent="0.25">
      <c r="L68" s="680"/>
    </row>
    <row r="69" spans="12:12" x14ac:dyDescent="0.25">
      <c r="L69" s="680"/>
    </row>
    <row r="70" spans="12:12" x14ac:dyDescent="0.25">
      <c r="L70" s="680"/>
    </row>
    <row r="71" spans="12:12" x14ac:dyDescent="0.25">
      <c r="L71" s="680"/>
    </row>
    <row r="72" spans="12:12" x14ac:dyDescent="0.25">
      <c r="L72" s="680"/>
    </row>
    <row r="73" spans="12:12" x14ac:dyDescent="0.25">
      <c r="L73" s="680"/>
    </row>
    <row r="74" spans="12:12" x14ac:dyDescent="0.25">
      <c r="L74" s="680"/>
    </row>
    <row r="123" spans="13:28" x14ac:dyDescent="0.25">
      <c r="M123" s="2"/>
      <c r="N123" s="2"/>
      <c r="O123" s="2"/>
      <c r="P123" s="2"/>
      <c r="Q123" s="2"/>
      <c r="R123" s="417"/>
      <c r="S123" s="2"/>
      <c r="T123" s="2"/>
      <c r="U123" s="2"/>
      <c r="V123" s="2"/>
      <c r="W123" s="2"/>
      <c r="X123" s="2"/>
      <c r="Y123" s="2"/>
      <c r="AB123" s="2"/>
    </row>
    <row r="124" spans="13:28" x14ac:dyDescent="0.25">
      <c r="M124" s="2"/>
      <c r="N124" s="2"/>
      <c r="O124" s="2"/>
      <c r="P124" s="2"/>
      <c r="Q124" s="2"/>
      <c r="R124" s="417"/>
      <c r="S124" s="2"/>
      <c r="T124" s="2"/>
      <c r="U124" s="2"/>
      <c r="V124" s="2"/>
      <c r="W124" s="2"/>
      <c r="X124" s="2"/>
      <c r="Y124" s="2"/>
      <c r="AB124" s="2"/>
    </row>
    <row r="125" spans="13:28" x14ac:dyDescent="0.25">
      <c r="M125" s="2"/>
      <c r="N125" s="2"/>
      <c r="O125" s="2"/>
      <c r="P125" s="2"/>
      <c r="Q125" s="2"/>
      <c r="R125" s="417"/>
      <c r="S125" s="2"/>
      <c r="T125" s="2"/>
      <c r="U125" s="2"/>
      <c r="V125" s="2"/>
      <c r="W125" s="2"/>
      <c r="X125" s="2"/>
      <c r="Y125" s="2"/>
      <c r="AB125" s="2"/>
    </row>
    <row r="126" spans="13:28" x14ac:dyDescent="0.25">
      <c r="M126" s="2"/>
      <c r="N126" s="2"/>
      <c r="O126" s="2"/>
      <c r="P126" s="2"/>
      <c r="Q126" s="2"/>
      <c r="R126" s="417"/>
      <c r="S126" s="2"/>
      <c r="T126" s="2"/>
      <c r="U126" s="2"/>
      <c r="V126" s="2"/>
      <c r="W126" s="2"/>
      <c r="X126" s="2"/>
      <c r="Y126" s="2"/>
      <c r="AB126" s="2"/>
    </row>
    <row r="127" spans="13:28" x14ac:dyDescent="0.25">
      <c r="M127" s="2"/>
      <c r="N127" s="2"/>
      <c r="O127" s="2"/>
      <c r="P127" s="2"/>
      <c r="Q127" s="2"/>
      <c r="R127" s="417"/>
      <c r="S127" s="2"/>
      <c r="T127" s="2"/>
      <c r="U127" s="2"/>
      <c r="V127" s="2"/>
      <c r="W127" s="2"/>
      <c r="X127" s="2"/>
      <c r="Y127" s="2"/>
      <c r="AB127" s="2"/>
    </row>
    <row r="128" spans="13:28" x14ac:dyDescent="0.25">
      <c r="M128" s="2"/>
      <c r="N128" s="2"/>
      <c r="O128" s="2"/>
      <c r="P128" s="2"/>
      <c r="Q128" s="2"/>
      <c r="R128" s="417"/>
      <c r="S128" s="2"/>
      <c r="T128" s="2"/>
      <c r="U128" s="2"/>
      <c r="V128" s="2"/>
      <c r="W128" s="2"/>
      <c r="X128" s="2"/>
      <c r="Y128" s="2"/>
      <c r="AB128" s="2"/>
    </row>
    <row r="129" spans="13:28" x14ac:dyDescent="0.25">
      <c r="M129" s="2"/>
      <c r="N129" s="2"/>
      <c r="O129" s="2"/>
      <c r="P129" s="2"/>
      <c r="Q129" s="2"/>
      <c r="R129" s="417"/>
      <c r="S129" s="2"/>
      <c r="T129" s="2"/>
      <c r="U129" s="2"/>
      <c r="V129" s="2"/>
      <c r="W129" s="2"/>
      <c r="X129" s="2"/>
      <c r="Y129" s="2"/>
      <c r="AB129" s="2"/>
    </row>
    <row r="130" spans="13:28" x14ac:dyDescent="0.25">
      <c r="M130" s="2"/>
      <c r="N130" s="2"/>
      <c r="O130" s="2"/>
      <c r="P130" s="2"/>
      <c r="Q130" s="2"/>
      <c r="R130" s="417"/>
      <c r="S130" s="2"/>
      <c r="T130" s="2"/>
      <c r="U130" s="2"/>
      <c r="V130" s="2"/>
      <c r="W130" s="2"/>
      <c r="X130" s="2"/>
      <c r="Y130" s="2"/>
      <c r="AB130" s="2"/>
    </row>
    <row r="131" spans="13:28" x14ac:dyDescent="0.25">
      <c r="M131" s="2"/>
      <c r="N131" s="2"/>
      <c r="O131" s="2"/>
      <c r="P131" s="2"/>
      <c r="Q131" s="2"/>
      <c r="R131" s="417"/>
      <c r="S131" s="2"/>
      <c r="T131" s="2"/>
      <c r="U131" s="2"/>
      <c r="V131" s="2"/>
      <c r="W131" s="2"/>
      <c r="X131" s="2"/>
      <c r="Y131" s="2"/>
      <c r="AB131" s="2"/>
    </row>
    <row r="132" spans="13:28" x14ac:dyDescent="0.25">
      <c r="M132" s="2"/>
      <c r="N132" s="2"/>
      <c r="O132" s="2"/>
      <c r="P132" s="2"/>
      <c r="Q132" s="2"/>
      <c r="R132" s="417"/>
      <c r="S132" s="2"/>
      <c r="T132" s="2"/>
      <c r="U132" s="2"/>
      <c r="V132" s="2"/>
      <c r="W132" s="2"/>
      <c r="X132" s="2"/>
      <c r="Y132" s="2"/>
      <c r="AB132" s="2"/>
    </row>
    <row r="133" spans="13:28" x14ac:dyDescent="0.25">
      <c r="M133" s="2"/>
      <c r="N133" s="2"/>
      <c r="O133" s="2"/>
      <c r="P133" s="2"/>
      <c r="Q133" s="2"/>
      <c r="R133" s="417"/>
      <c r="S133" s="2"/>
      <c r="T133" s="2"/>
      <c r="U133" s="2"/>
      <c r="V133" s="2"/>
      <c r="W133" s="2"/>
      <c r="X133" s="2"/>
      <c r="Y133" s="2"/>
      <c r="AB133" s="2"/>
    </row>
    <row r="134" spans="13:28" x14ac:dyDescent="0.25">
      <c r="M134" s="2"/>
      <c r="N134" s="2"/>
      <c r="O134" s="2"/>
      <c r="P134" s="2"/>
      <c r="Q134" s="2"/>
      <c r="R134" s="417"/>
      <c r="S134" s="2"/>
      <c r="T134" s="2"/>
      <c r="U134" s="2"/>
      <c r="V134" s="2"/>
      <c r="W134" s="2"/>
      <c r="X134" s="2"/>
      <c r="Y134" s="2"/>
      <c r="AB134" s="2"/>
    </row>
    <row r="135" spans="13:28" x14ac:dyDescent="0.25">
      <c r="M135" s="2"/>
      <c r="N135" s="2"/>
      <c r="O135" s="2"/>
      <c r="P135" s="2"/>
      <c r="Q135" s="2"/>
      <c r="R135" s="417"/>
      <c r="S135" s="2"/>
      <c r="T135" s="2"/>
      <c r="U135" s="2"/>
      <c r="V135" s="2"/>
      <c r="W135" s="2"/>
      <c r="X135" s="2"/>
      <c r="Y135" s="2"/>
      <c r="AB135" s="2"/>
    </row>
    <row r="136" spans="13:28" x14ac:dyDescent="0.25">
      <c r="M136" s="2"/>
      <c r="N136" s="2"/>
      <c r="O136" s="2"/>
      <c r="P136" s="2"/>
      <c r="Q136" s="2"/>
      <c r="R136" s="417"/>
      <c r="S136" s="2"/>
      <c r="T136" s="2"/>
      <c r="U136" s="2"/>
      <c r="V136" s="2"/>
      <c r="W136" s="2"/>
      <c r="X136" s="2"/>
      <c r="Y136" s="2"/>
      <c r="AB136" s="2"/>
    </row>
    <row r="137" spans="13:28" x14ac:dyDescent="0.25">
      <c r="M137" s="2"/>
      <c r="N137" s="2"/>
      <c r="O137" s="2"/>
      <c r="P137" s="2"/>
      <c r="Q137" s="2"/>
      <c r="R137" s="417"/>
      <c r="S137" s="2"/>
      <c r="T137" s="2"/>
      <c r="U137" s="2"/>
      <c r="V137" s="2"/>
      <c r="W137" s="2"/>
      <c r="X137" s="2"/>
      <c r="Y137" s="2"/>
      <c r="AB137" s="2"/>
    </row>
    <row r="138" spans="13:28" x14ac:dyDescent="0.25">
      <c r="M138" s="2"/>
      <c r="N138" s="2"/>
      <c r="O138" s="2"/>
      <c r="P138" s="2"/>
      <c r="Q138" s="2"/>
      <c r="R138" s="417"/>
      <c r="S138" s="2"/>
      <c r="T138" s="2"/>
      <c r="U138" s="2"/>
      <c r="V138" s="2"/>
      <c r="W138" s="2"/>
      <c r="X138" s="2"/>
      <c r="Y138" s="2"/>
      <c r="AB138" s="2"/>
    </row>
    <row r="1048576" spans="14:14" x14ac:dyDescent="0.25">
      <c r="N1048576" s="215"/>
    </row>
  </sheetData>
  <autoFilter ref="A2:AB17">
    <sortState ref="A4:AB21">
      <sortCondition ref="K2:K17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A1:AB1048567"/>
  <sheetViews>
    <sheetView topLeftCell="K1" zoomScale="90" zoomScaleNormal="90" workbookViewId="0">
      <selection activeCell="K4" sqref="K4"/>
    </sheetView>
  </sheetViews>
  <sheetFormatPr baseColWidth="10" defaultColWidth="11.42578125" defaultRowHeight="15" x14ac:dyDescent="0.25"/>
  <cols>
    <col min="1" max="1" width="11.7109375" customWidth="1"/>
    <col min="2" max="2" width="59.42578125" customWidth="1"/>
    <col min="3" max="3" width="10.140625" hidden="1" customWidth="1"/>
    <col min="4" max="6" width="13.5703125" hidden="1" customWidth="1"/>
    <col min="7" max="7" width="10.7109375" hidden="1" customWidth="1"/>
    <col min="8" max="8" width="8.5703125" hidden="1" customWidth="1"/>
    <col min="9" max="10" width="15" hidden="1" customWidth="1"/>
    <col min="11" max="11" width="7.85546875" customWidth="1"/>
    <col min="12" max="12" width="9.85546875" hidden="1" customWidth="1"/>
    <col min="13" max="13" width="21.140625" customWidth="1"/>
    <col min="14" max="14" width="9" customWidth="1"/>
    <col min="15" max="15" width="7.5703125" customWidth="1"/>
    <col min="16" max="16" width="7.85546875" customWidth="1"/>
    <col min="17" max="17" width="7.42578125" customWidth="1"/>
    <col min="18" max="18" width="12.7109375" customWidth="1"/>
    <col min="19" max="20" width="14.7109375" customWidth="1"/>
    <col min="21" max="21" width="14.7109375" bestFit="1" customWidth="1"/>
    <col min="22" max="22" width="20.28515625" customWidth="1"/>
    <col min="23" max="23" width="15.7109375" style="143" customWidth="1"/>
    <col min="24" max="24" width="16.5703125" style="143" customWidth="1"/>
    <col min="25" max="25" width="14.85546875" customWidth="1"/>
    <col min="26" max="26" width="17.7109375" customWidth="1"/>
    <col min="27" max="27" width="60.7109375" customWidth="1"/>
  </cols>
  <sheetData>
    <row r="1" spans="1:28" ht="15" customHeight="1" x14ac:dyDescent="0.25">
      <c r="A1" s="799" t="s">
        <v>75</v>
      </c>
      <c r="B1" s="800" t="s">
        <v>76</v>
      </c>
      <c r="C1" s="804" t="s">
        <v>77</v>
      </c>
      <c r="D1" s="807" t="s">
        <v>78</v>
      </c>
      <c r="E1" s="805" t="s">
        <v>79</v>
      </c>
      <c r="F1" s="805" t="s">
        <v>80</v>
      </c>
      <c r="G1" s="811" t="s">
        <v>81</v>
      </c>
      <c r="H1" s="810" t="s">
        <v>573</v>
      </c>
      <c r="I1" s="796" t="s">
        <v>83</v>
      </c>
      <c r="J1" s="796" t="s">
        <v>84</v>
      </c>
      <c r="K1" s="806" t="s">
        <v>85</v>
      </c>
      <c r="L1" s="808" t="s">
        <v>86</v>
      </c>
      <c r="M1" s="800" t="s">
        <v>87</v>
      </c>
      <c r="N1" s="809" t="s">
        <v>88</v>
      </c>
      <c r="O1" s="762" t="s">
        <v>89</v>
      </c>
      <c r="P1" s="764" t="s">
        <v>90</v>
      </c>
      <c r="Q1" s="764" t="s">
        <v>91</v>
      </c>
      <c r="R1" s="759" t="s">
        <v>279</v>
      </c>
      <c r="S1" s="759" t="s">
        <v>93</v>
      </c>
      <c r="T1" s="759" t="s">
        <v>94</v>
      </c>
      <c r="U1" s="760" t="s">
        <v>95</v>
      </c>
      <c r="V1" s="761"/>
      <c r="W1" s="762" t="s">
        <v>96</v>
      </c>
      <c r="X1" s="762" t="s">
        <v>97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83"/>
      <c r="I2" s="765"/>
      <c r="J2" s="765"/>
      <c r="K2" s="758"/>
      <c r="L2" s="767"/>
      <c r="M2" s="753"/>
      <c r="N2" s="753"/>
      <c r="O2" s="753"/>
      <c r="P2" s="765"/>
      <c r="Q2" s="765"/>
      <c r="R2" s="753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s="4" customFormat="1" x14ac:dyDescent="0.25">
      <c r="A3" s="66" t="s">
        <v>1843</v>
      </c>
      <c r="B3" s="66" t="s">
        <v>1844</v>
      </c>
      <c r="C3" s="171"/>
      <c r="D3" s="171"/>
      <c r="E3" s="171">
        <v>300</v>
      </c>
      <c r="F3" s="171"/>
      <c r="G3" s="54">
        <f>VLOOKUP(A3,'[1]yourspreadsheetname (1)'!$A$2:$C$968, 3, FALSE)</f>
        <v>0</v>
      </c>
      <c r="H3" s="186">
        <v>2000</v>
      </c>
      <c r="I3" s="166"/>
      <c r="J3" s="170"/>
      <c r="K3" s="171">
        <v>756673</v>
      </c>
      <c r="L3" s="171"/>
      <c r="M3" s="64" t="s">
        <v>1788</v>
      </c>
      <c r="N3" s="64" t="s">
        <v>1845</v>
      </c>
      <c r="O3" s="18">
        <v>8</v>
      </c>
      <c r="P3" s="77" t="s">
        <v>1792</v>
      </c>
      <c r="Q3" s="77" t="s">
        <v>2001</v>
      </c>
      <c r="R3" s="18">
        <v>2000</v>
      </c>
      <c r="S3" s="74">
        <v>1800</v>
      </c>
      <c r="T3" s="77"/>
      <c r="U3" s="54">
        <v>1800</v>
      </c>
      <c r="V3" s="54">
        <v>1800</v>
      </c>
      <c r="W3" s="18">
        <f t="shared" ref="W3:W25" si="0">U3+V3</f>
        <v>3600</v>
      </c>
      <c r="X3" s="162">
        <v>80.900000000000006</v>
      </c>
      <c r="Y3" s="162">
        <v>75.3</v>
      </c>
      <c r="Z3" s="8">
        <f t="shared" ref="Z3:Z25" si="1">R3*X3</f>
        <v>161800</v>
      </c>
      <c r="AA3" s="480">
        <f t="shared" ref="AA3:AA25" si="2">W3*Y3</f>
        <v>271080</v>
      </c>
      <c r="AB3" s="680"/>
    </row>
    <row r="4" spans="1:28" s="4" customFormat="1" x14ac:dyDescent="0.25">
      <c r="A4" s="55" t="s">
        <v>376</v>
      </c>
      <c r="B4" s="55" t="s">
        <v>377</v>
      </c>
      <c r="C4" s="55"/>
      <c r="D4" s="429"/>
      <c r="E4" s="429"/>
      <c r="F4" s="429"/>
      <c r="G4" s="92" t="e">
        <f>VLOOKUP(A4,'[1]yourspreadsheetname (1)'!$A$2:$C$968, 3, FALSE)</f>
        <v>#N/A</v>
      </c>
      <c r="H4" s="526">
        <v>1</v>
      </c>
      <c r="I4" s="55"/>
      <c r="J4" s="55"/>
      <c r="K4" s="430">
        <v>756673</v>
      </c>
      <c r="L4" s="430"/>
      <c r="M4" s="93" t="s">
        <v>285</v>
      </c>
      <c r="N4" s="93" t="s">
        <v>1845</v>
      </c>
      <c r="O4" s="55">
        <v>9</v>
      </c>
      <c r="P4" s="66"/>
      <c r="Q4" s="66"/>
      <c r="R4" s="66">
        <v>1</v>
      </c>
      <c r="S4" s="68"/>
      <c r="T4" s="68"/>
      <c r="U4" s="84"/>
      <c r="V4" s="84"/>
      <c r="W4" s="18">
        <f t="shared" si="0"/>
        <v>0</v>
      </c>
      <c r="X4" s="67">
        <v>4995</v>
      </c>
      <c r="Y4" s="65">
        <v>11400</v>
      </c>
      <c r="Z4" s="8">
        <f t="shared" si="1"/>
        <v>4995</v>
      </c>
      <c r="AA4" s="480">
        <f t="shared" si="2"/>
        <v>0</v>
      </c>
      <c r="AB4" s="680"/>
    </row>
    <row r="5" spans="1:28" s="4" customFormat="1" x14ac:dyDescent="0.25">
      <c r="A5" s="68" t="s">
        <v>1846</v>
      </c>
      <c r="B5" s="134" t="s">
        <v>1847</v>
      </c>
      <c r="C5" s="134"/>
      <c r="D5" s="66"/>
      <c r="E5" s="66">
        <v>0.3</v>
      </c>
      <c r="F5" s="66"/>
      <c r="G5" s="54">
        <f>VLOOKUP(A5,'[1]yourspreadsheetname (1)'!$A$2:$C$968, 3, FALSE)</f>
        <v>0</v>
      </c>
      <c r="H5" s="186">
        <v>2</v>
      </c>
      <c r="I5" s="66"/>
      <c r="J5" s="66"/>
      <c r="K5" s="54"/>
      <c r="L5" s="66"/>
      <c r="M5" s="66"/>
      <c r="N5" s="64"/>
      <c r="O5" s="18"/>
      <c r="P5" s="18"/>
      <c r="Q5" s="18"/>
      <c r="R5" s="18">
        <v>0</v>
      </c>
      <c r="S5" s="52"/>
      <c r="T5" s="52"/>
      <c r="U5" s="54"/>
      <c r="V5" s="54"/>
      <c r="W5" s="18">
        <f t="shared" si="0"/>
        <v>0</v>
      </c>
      <c r="X5" s="118">
        <v>225.59</v>
      </c>
      <c r="Y5" s="117">
        <v>49990</v>
      </c>
      <c r="Z5" s="8">
        <f t="shared" si="1"/>
        <v>0</v>
      </c>
      <c r="AA5" s="480">
        <f t="shared" si="2"/>
        <v>0</v>
      </c>
      <c r="AB5" s="680"/>
    </row>
    <row r="6" spans="1:28" s="4" customFormat="1" ht="23.25" customHeight="1" x14ac:dyDescent="0.25">
      <c r="A6" s="66" t="s">
        <v>1848</v>
      </c>
      <c r="B6" s="54" t="s">
        <v>1849</v>
      </c>
      <c r="C6" s="66"/>
      <c r="D6" s="66"/>
      <c r="E6" s="66">
        <v>500</v>
      </c>
      <c r="F6" s="66"/>
      <c r="G6" s="54">
        <f>VLOOKUP(A6,'[1]yourspreadsheetname (1)'!$A$2:$C$968, 3, FALSE)</f>
        <v>3000</v>
      </c>
      <c r="H6" s="186">
        <v>9000</v>
      </c>
      <c r="I6" s="66"/>
      <c r="J6" s="66"/>
      <c r="K6" s="54"/>
      <c r="L6" s="66"/>
      <c r="M6" s="63"/>
      <c r="N6" s="64"/>
      <c r="O6" s="54"/>
      <c r="P6" s="18"/>
      <c r="Q6" s="6"/>
      <c r="R6" s="18">
        <v>0</v>
      </c>
      <c r="S6" s="18"/>
      <c r="T6" s="18"/>
      <c r="U6" s="54"/>
      <c r="V6" s="54"/>
      <c r="W6" s="18">
        <f t="shared" si="0"/>
        <v>0</v>
      </c>
      <c r="X6" s="47">
        <v>22.57</v>
      </c>
      <c r="Y6" s="8">
        <v>39.200000000000003</v>
      </c>
      <c r="Z6" s="8">
        <f t="shared" si="1"/>
        <v>0</v>
      </c>
      <c r="AA6" s="480">
        <f t="shared" si="2"/>
        <v>0</v>
      </c>
      <c r="AB6" s="680"/>
    </row>
    <row r="7" spans="1:28" s="4" customFormat="1" ht="17.25" customHeight="1" x14ac:dyDescent="0.25">
      <c r="A7" s="66" t="s">
        <v>1850</v>
      </c>
      <c r="B7" s="66" t="s">
        <v>1851</v>
      </c>
      <c r="C7" s="66"/>
      <c r="D7" s="169"/>
      <c r="E7" s="169">
        <v>0.2</v>
      </c>
      <c r="F7" s="169"/>
      <c r="G7" s="54">
        <f>VLOOKUP(A7,'[1]yourspreadsheetname (1)'!$A$2:$C$968, 3, FALSE)</f>
        <v>1</v>
      </c>
      <c r="H7" s="186">
        <v>3</v>
      </c>
      <c r="I7" s="66"/>
      <c r="J7" s="66"/>
      <c r="K7" s="54"/>
      <c r="L7" s="66"/>
      <c r="M7" s="64"/>
      <c r="N7" s="64"/>
      <c r="O7" s="18"/>
      <c r="P7" s="18"/>
      <c r="Q7" s="18"/>
      <c r="R7" s="18">
        <v>0</v>
      </c>
      <c r="S7" s="18"/>
      <c r="T7" s="18"/>
      <c r="U7" s="54"/>
      <c r="V7" s="54"/>
      <c r="W7" s="18">
        <f t="shared" si="0"/>
        <v>0</v>
      </c>
      <c r="X7" s="47">
        <v>13574</v>
      </c>
      <c r="Y7" s="8">
        <v>11500</v>
      </c>
      <c r="Z7" s="8">
        <f t="shared" si="1"/>
        <v>0</v>
      </c>
      <c r="AA7" s="480">
        <f t="shared" si="2"/>
        <v>0</v>
      </c>
      <c r="AB7" s="69"/>
    </row>
    <row r="8" spans="1:28" s="4" customFormat="1" x14ac:dyDescent="0.25">
      <c r="A8" s="66" t="s">
        <v>1852</v>
      </c>
      <c r="B8" s="66" t="s">
        <v>1853</v>
      </c>
      <c r="C8" s="66"/>
      <c r="D8" s="169"/>
      <c r="E8" s="169">
        <v>300</v>
      </c>
      <c r="F8" s="169"/>
      <c r="G8" s="54">
        <f>VLOOKUP(A8,'[1]yourspreadsheetname (1)'!$A$2:$C$968, 3, FALSE)</f>
        <v>2000</v>
      </c>
      <c r="H8" s="186">
        <v>6000</v>
      </c>
      <c r="I8" s="66"/>
      <c r="J8" s="66"/>
      <c r="K8" s="54"/>
      <c r="L8" s="66"/>
      <c r="M8" s="64"/>
      <c r="N8" s="64"/>
      <c r="O8" s="54"/>
      <c r="P8" s="18"/>
      <c r="Q8" s="18"/>
      <c r="R8" s="18">
        <v>0</v>
      </c>
      <c r="S8" s="18"/>
      <c r="T8" s="18"/>
      <c r="U8" s="54"/>
      <c r="V8" s="54"/>
      <c r="W8" s="18">
        <f t="shared" si="0"/>
        <v>0</v>
      </c>
      <c r="X8" s="153">
        <v>24.76</v>
      </c>
      <c r="Y8" s="117">
        <v>25.86</v>
      </c>
      <c r="Z8" s="8">
        <f t="shared" si="1"/>
        <v>0</v>
      </c>
      <c r="AA8" s="480">
        <f t="shared" si="2"/>
        <v>0</v>
      </c>
      <c r="AB8" s="680"/>
    </row>
    <row r="9" spans="1:28" s="4" customFormat="1" x14ac:dyDescent="0.25">
      <c r="A9" s="96" t="s">
        <v>1854</v>
      </c>
      <c r="B9" s="96" t="s">
        <v>1855</v>
      </c>
      <c r="C9" s="104"/>
      <c r="D9" s="210"/>
      <c r="E9" s="210">
        <v>16</v>
      </c>
      <c r="F9" s="210"/>
      <c r="G9" s="54" t="e">
        <f>VLOOKUP(A9,'[1]yourspreadsheetname (1)'!$A$2:$C$968, 3, FALSE)</f>
        <v>#N/A</v>
      </c>
      <c r="H9" s="186">
        <v>1000</v>
      </c>
      <c r="I9" s="54"/>
      <c r="J9" s="54"/>
      <c r="K9" s="54"/>
      <c r="L9" s="54"/>
      <c r="M9" s="54"/>
      <c r="N9" s="64"/>
      <c r="O9" s="54"/>
      <c r="P9" s="18"/>
      <c r="Q9" s="12"/>
      <c r="R9" s="18">
        <v>0</v>
      </c>
      <c r="S9" s="12"/>
      <c r="T9" s="12"/>
      <c r="U9" s="54"/>
      <c r="V9" s="54"/>
      <c r="W9" s="18">
        <f t="shared" si="0"/>
        <v>0</v>
      </c>
      <c r="X9" s="154">
        <v>81.03</v>
      </c>
      <c r="Y9" s="119">
        <v>81.099999999999994</v>
      </c>
      <c r="Z9" s="8">
        <f t="shared" si="1"/>
        <v>0</v>
      </c>
      <c r="AA9" s="480">
        <f t="shared" si="2"/>
        <v>0</v>
      </c>
      <c r="AB9" s="680"/>
    </row>
    <row r="10" spans="1:28" s="4" customFormat="1" x14ac:dyDescent="0.25">
      <c r="A10" s="54" t="s">
        <v>1856</v>
      </c>
      <c r="B10" s="54" t="s">
        <v>1857</v>
      </c>
      <c r="C10" s="54"/>
      <c r="D10" s="210"/>
      <c r="E10" s="210">
        <v>8</v>
      </c>
      <c r="F10" s="210"/>
      <c r="G10" s="54">
        <f>VLOOKUP(A10,'[1]yourspreadsheetname (1)'!$A$2:$C$968, 3, FALSE)</f>
        <v>0</v>
      </c>
      <c r="H10" s="186">
        <v>50</v>
      </c>
      <c r="I10" s="54"/>
      <c r="J10" s="54"/>
      <c r="K10" s="54"/>
      <c r="L10" s="54"/>
      <c r="M10" s="64"/>
      <c r="N10" s="64"/>
      <c r="O10" s="54"/>
      <c r="P10" s="54"/>
      <c r="Q10" s="54"/>
      <c r="R10" s="18">
        <v>0</v>
      </c>
      <c r="S10" s="54"/>
      <c r="T10" s="54"/>
      <c r="U10" s="54"/>
      <c r="V10" s="54"/>
      <c r="W10" s="18">
        <f t="shared" si="0"/>
        <v>0</v>
      </c>
      <c r="X10" s="144">
        <v>38229</v>
      </c>
      <c r="Y10" s="119">
        <v>29328.06</v>
      </c>
      <c r="Z10" s="8">
        <f t="shared" si="1"/>
        <v>0</v>
      </c>
      <c r="AA10" s="480">
        <f t="shared" si="2"/>
        <v>0</v>
      </c>
      <c r="AB10" s="680"/>
    </row>
    <row r="11" spans="1:28" s="4" customFormat="1" x14ac:dyDescent="0.25">
      <c r="A11" s="68" t="s">
        <v>1858</v>
      </c>
      <c r="B11" s="134" t="s">
        <v>1859</v>
      </c>
      <c r="C11" s="134"/>
      <c r="D11" s="169"/>
      <c r="E11" s="169">
        <v>0</v>
      </c>
      <c r="F11" s="169"/>
      <c r="G11" s="54" t="e">
        <f>VLOOKUP(A11,'[1]yourspreadsheetname (1)'!$A$2:$C$968, 3, FALSE)</f>
        <v>#N/A</v>
      </c>
      <c r="H11" s="186">
        <v>2000</v>
      </c>
      <c r="I11" s="66"/>
      <c r="J11" s="66"/>
      <c r="K11" s="54"/>
      <c r="L11" s="66"/>
      <c r="M11" s="64"/>
      <c r="N11" s="64"/>
      <c r="O11" s="18"/>
      <c r="P11" s="18"/>
      <c r="Q11" s="18"/>
      <c r="R11" s="18">
        <v>0</v>
      </c>
      <c r="S11" s="18"/>
      <c r="T11" s="18"/>
      <c r="U11" s="54"/>
      <c r="V11" s="54"/>
      <c r="W11" s="18">
        <f t="shared" si="0"/>
        <v>0</v>
      </c>
      <c r="X11" s="118"/>
      <c r="Y11" s="117"/>
      <c r="Z11" s="8">
        <f t="shared" si="1"/>
        <v>0</v>
      </c>
      <c r="AA11" s="480">
        <f t="shared" si="2"/>
        <v>0</v>
      </c>
      <c r="AB11" s="680"/>
    </row>
    <row r="12" spans="1:28" s="4" customFormat="1" x14ac:dyDescent="0.25">
      <c r="A12" s="83" t="s">
        <v>1860</v>
      </c>
      <c r="B12" s="66" t="s">
        <v>1861</v>
      </c>
      <c r="C12" s="66"/>
      <c r="D12" s="169"/>
      <c r="E12" s="169">
        <v>0</v>
      </c>
      <c r="F12" s="169"/>
      <c r="G12" s="54" t="e">
        <f>VLOOKUP(A12,'[1]yourspreadsheetname (1)'!$A$2:$C$968, 3, FALSE)</f>
        <v>#N/A</v>
      </c>
      <c r="H12" s="186">
        <v>100</v>
      </c>
      <c r="I12" s="66"/>
      <c r="J12" s="66"/>
      <c r="K12" s="54"/>
      <c r="L12" s="66"/>
      <c r="M12" s="133"/>
      <c r="N12" s="64"/>
      <c r="O12" s="54"/>
      <c r="P12" s="18"/>
      <c r="Q12" s="18"/>
      <c r="R12" s="18">
        <v>0</v>
      </c>
      <c r="S12" s="18"/>
      <c r="T12" s="18"/>
      <c r="U12" s="54"/>
      <c r="V12" s="54"/>
      <c r="W12" s="18">
        <f t="shared" si="0"/>
        <v>0</v>
      </c>
      <c r="X12" s="161"/>
      <c r="Y12" s="117"/>
      <c r="Z12" s="8">
        <f t="shared" si="1"/>
        <v>0</v>
      </c>
      <c r="AA12" s="480">
        <f t="shared" si="2"/>
        <v>0</v>
      </c>
      <c r="AB12" s="680"/>
    </row>
    <row r="13" spans="1:28" x14ac:dyDescent="0.25">
      <c r="A13" s="66" t="s">
        <v>1862</v>
      </c>
      <c r="B13" s="54" t="s">
        <v>1863</v>
      </c>
      <c r="C13" s="54"/>
      <c r="D13" s="66"/>
      <c r="E13" s="66">
        <v>0</v>
      </c>
      <c r="F13" s="66"/>
      <c r="G13" s="54">
        <f>VLOOKUP(A13,'[1]yourspreadsheetname (1)'!$A$2:$C$968, 3, FALSE)</f>
        <v>0</v>
      </c>
      <c r="H13" s="186">
        <v>0</v>
      </c>
      <c r="I13" s="66"/>
      <c r="J13" s="66"/>
      <c r="K13" s="54"/>
      <c r="L13" s="66"/>
      <c r="M13" s="66"/>
      <c r="N13" s="64"/>
      <c r="O13" s="18"/>
      <c r="P13" s="18"/>
      <c r="Q13" s="6"/>
      <c r="R13" s="18">
        <f>((G13*15)-H13-I13)/2</f>
        <v>0</v>
      </c>
      <c r="S13" s="18"/>
      <c r="T13" s="18"/>
      <c r="U13" s="54"/>
      <c r="V13" s="54"/>
      <c r="W13" s="18">
        <f t="shared" si="0"/>
        <v>0</v>
      </c>
      <c r="X13" s="118"/>
      <c r="Y13" s="117"/>
      <c r="Z13" s="8">
        <f t="shared" si="1"/>
        <v>0</v>
      </c>
      <c r="AA13" s="480">
        <f t="shared" si="2"/>
        <v>0</v>
      </c>
      <c r="AB13" s="103"/>
    </row>
    <row r="14" spans="1:28" x14ac:dyDescent="0.25">
      <c r="A14" s="242" t="s">
        <v>1864</v>
      </c>
      <c r="B14" s="66" t="s">
        <v>1865</v>
      </c>
      <c r="C14" s="66">
        <v>10</v>
      </c>
      <c r="D14" s="66"/>
      <c r="E14" s="66">
        <v>5</v>
      </c>
      <c r="F14" s="66"/>
      <c r="G14" s="54">
        <f>VLOOKUP(A14,'[1]yourspreadsheetname (1)'!$A$2:$C$968, 3, FALSE)</f>
        <v>20</v>
      </c>
      <c r="H14" s="186">
        <v>30</v>
      </c>
      <c r="I14" s="66"/>
      <c r="J14" s="66"/>
      <c r="K14" s="63"/>
      <c r="L14" s="66"/>
      <c r="M14" s="64"/>
      <c r="N14" s="64"/>
      <c r="O14" s="66"/>
      <c r="P14" s="66"/>
      <c r="Q14" s="66"/>
      <c r="R14" s="18">
        <v>0</v>
      </c>
      <c r="S14" s="52"/>
      <c r="T14" s="52"/>
      <c r="U14" s="18"/>
      <c r="V14" s="18"/>
      <c r="W14" s="18">
        <f t="shared" si="0"/>
        <v>0</v>
      </c>
      <c r="X14" s="47">
        <v>570.82000000000005</v>
      </c>
      <c r="Y14" s="8">
        <v>799</v>
      </c>
      <c r="Z14" s="8">
        <f t="shared" si="1"/>
        <v>0</v>
      </c>
      <c r="AA14" s="480">
        <f t="shared" si="2"/>
        <v>0</v>
      </c>
      <c r="AB14" s="103"/>
    </row>
    <row r="15" spans="1:28" x14ac:dyDescent="0.25">
      <c r="A15" s="66" t="s">
        <v>1866</v>
      </c>
      <c r="B15" s="66" t="s">
        <v>1867</v>
      </c>
      <c r="C15" s="66"/>
      <c r="D15" s="66"/>
      <c r="E15" s="66">
        <v>20</v>
      </c>
      <c r="F15" s="66"/>
      <c r="G15" s="54">
        <f>VLOOKUP(A15,'[1]yourspreadsheetname (1)'!$A$2:$C$968, 3, FALSE)</f>
        <v>100</v>
      </c>
      <c r="H15" s="186">
        <v>100</v>
      </c>
      <c r="I15" s="66"/>
      <c r="J15" s="66"/>
      <c r="K15" s="63"/>
      <c r="L15" s="66"/>
      <c r="M15" s="64"/>
      <c r="N15" s="64"/>
      <c r="O15" s="54"/>
      <c r="P15" s="66"/>
      <c r="Q15" s="66"/>
      <c r="R15" s="18">
        <v>0</v>
      </c>
      <c r="S15" s="52"/>
      <c r="T15" s="52"/>
      <c r="U15" s="18"/>
      <c r="V15" s="18"/>
      <c r="W15" s="18">
        <f t="shared" si="0"/>
        <v>0</v>
      </c>
      <c r="X15" s="47">
        <v>345</v>
      </c>
      <c r="Y15" s="8">
        <v>399</v>
      </c>
      <c r="Z15" s="8">
        <f t="shared" si="1"/>
        <v>0</v>
      </c>
      <c r="AA15" s="480">
        <f t="shared" si="2"/>
        <v>0</v>
      </c>
      <c r="AB15" s="103"/>
    </row>
    <row r="16" spans="1:28" x14ac:dyDescent="0.25">
      <c r="A16" s="66" t="s">
        <v>1868</v>
      </c>
      <c r="B16" s="66" t="s">
        <v>1869</v>
      </c>
      <c r="C16" s="66">
        <v>50</v>
      </c>
      <c r="D16" s="66"/>
      <c r="E16" s="66">
        <v>120</v>
      </c>
      <c r="F16" s="66"/>
      <c r="G16" s="54">
        <f>VLOOKUP(A16,'[1]yourspreadsheetname (1)'!$A$2:$C$968, 3, FALSE)</f>
        <v>650</v>
      </c>
      <c r="H16" s="186">
        <v>700</v>
      </c>
      <c r="I16" s="66"/>
      <c r="J16" s="66"/>
      <c r="K16" s="63"/>
      <c r="L16" s="66"/>
      <c r="M16" s="64"/>
      <c r="N16" s="64"/>
      <c r="O16" s="66"/>
      <c r="P16" s="66"/>
      <c r="Q16" s="66"/>
      <c r="R16" s="18">
        <v>0</v>
      </c>
      <c r="S16" s="52"/>
      <c r="T16" s="52"/>
      <c r="U16" s="18"/>
      <c r="V16" s="18"/>
      <c r="W16" s="18">
        <f t="shared" si="0"/>
        <v>0</v>
      </c>
      <c r="X16" s="47">
        <v>141</v>
      </c>
      <c r="Y16" s="8">
        <v>299</v>
      </c>
      <c r="Z16" s="8">
        <f t="shared" si="1"/>
        <v>0</v>
      </c>
      <c r="AA16" s="480">
        <f t="shared" si="2"/>
        <v>0</v>
      </c>
      <c r="AB16" s="165"/>
    </row>
    <row r="17" spans="1:28" s="132" customFormat="1" x14ac:dyDescent="0.25">
      <c r="A17" s="66" t="s">
        <v>1870</v>
      </c>
      <c r="B17" s="66" t="s">
        <v>1871</v>
      </c>
      <c r="C17" s="66"/>
      <c r="D17" s="66"/>
      <c r="E17" s="66">
        <v>0</v>
      </c>
      <c r="F17" s="66"/>
      <c r="G17" s="54">
        <f>VLOOKUP(A17,'[1]yourspreadsheetname (1)'!$A$2:$C$968, 3, FALSE)</f>
        <v>0</v>
      </c>
      <c r="H17" s="186">
        <v>1</v>
      </c>
      <c r="I17" s="66"/>
      <c r="J17" s="66"/>
      <c r="K17" s="63"/>
      <c r="L17" s="66"/>
      <c r="M17" s="64"/>
      <c r="N17" s="64"/>
      <c r="O17" s="66"/>
      <c r="P17" s="66"/>
      <c r="Q17" s="66"/>
      <c r="R17" s="18">
        <v>0</v>
      </c>
      <c r="S17" s="52"/>
      <c r="T17" s="52"/>
      <c r="U17" s="18"/>
      <c r="V17" s="18"/>
      <c r="W17" s="18">
        <f t="shared" si="0"/>
        <v>0</v>
      </c>
      <c r="X17" s="47">
        <v>97029</v>
      </c>
      <c r="Y17" s="8">
        <v>46583</v>
      </c>
      <c r="Z17" s="8">
        <f t="shared" si="1"/>
        <v>0</v>
      </c>
      <c r="AA17" s="480">
        <f t="shared" si="2"/>
        <v>0</v>
      </c>
      <c r="AB17" s="481"/>
    </row>
    <row r="18" spans="1:28" s="132" customFormat="1" x14ac:dyDescent="0.25">
      <c r="A18" s="66" t="s">
        <v>1872</v>
      </c>
      <c r="B18" s="66" t="s">
        <v>1873</v>
      </c>
      <c r="C18" s="66"/>
      <c r="D18" s="66"/>
      <c r="E18" s="66"/>
      <c r="F18" s="66"/>
      <c r="G18" s="54" t="e">
        <f>VLOOKUP(A18,'[1]yourspreadsheetname (1)'!$A$2:$C$968, 3, FALSE)</f>
        <v>#N/A</v>
      </c>
      <c r="H18" s="186">
        <v>100</v>
      </c>
      <c r="I18" s="66"/>
      <c r="J18" s="66"/>
      <c r="K18" s="66"/>
      <c r="L18" s="66"/>
      <c r="M18" s="66"/>
      <c r="N18" s="66"/>
      <c r="O18" s="66"/>
      <c r="P18" s="66"/>
      <c r="Q18" s="66"/>
      <c r="R18" s="66">
        <v>0</v>
      </c>
      <c r="S18" s="68"/>
      <c r="T18" s="68"/>
      <c r="U18" s="84"/>
      <c r="V18" s="84"/>
      <c r="W18" s="18">
        <f t="shared" si="0"/>
        <v>0</v>
      </c>
      <c r="X18" s="67"/>
      <c r="Y18" s="65"/>
      <c r="Z18" s="8">
        <f t="shared" si="1"/>
        <v>0</v>
      </c>
      <c r="AA18" s="480">
        <f t="shared" si="2"/>
        <v>0</v>
      </c>
      <c r="AB18" s="481"/>
    </row>
    <row r="19" spans="1:28" x14ac:dyDescent="0.25">
      <c r="A19" s="66" t="s">
        <v>1874</v>
      </c>
      <c r="B19" s="66" t="s">
        <v>1875</v>
      </c>
      <c r="C19" s="66"/>
      <c r="D19" s="66"/>
      <c r="E19" s="66">
        <v>0</v>
      </c>
      <c r="F19" s="66"/>
      <c r="G19" s="54" t="e">
        <f>VLOOKUP(A19,'[1]yourspreadsheetname (1)'!$A$2:$C$968, 3, FALSE)</f>
        <v>#N/A</v>
      </c>
      <c r="H19" s="186">
        <v>0</v>
      </c>
      <c r="I19" s="66"/>
      <c r="J19" s="66"/>
      <c r="K19" s="66"/>
      <c r="L19" s="66"/>
      <c r="M19" s="64"/>
      <c r="N19" s="64"/>
      <c r="O19" s="54"/>
      <c r="P19" s="66"/>
      <c r="Q19" s="66"/>
      <c r="R19" s="18">
        <v>0</v>
      </c>
      <c r="S19" s="6"/>
      <c r="T19" s="6"/>
      <c r="U19" s="18"/>
      <c r="V19" s="6"/>
      <c r="W19" s="18">
        <f t="shared" si="0"/>
        <v>0</v>
      </c>
      <c r="X19" s="47"/>
      <c r="Y19" s="8"/>
      <c r="Z19" s="8">
        <f t="shared" si="1"/>
        <v>0</v>
      </c>
      <c r="AA19" s="480">
        <f t="shared" si="2"/>
        <v>0</v>
      </c>
      <c r="AB19" s="103"/>
    </row>
    <row r="20" spans="1:28" x14ac:dyDescent="0.25">
      <c r="A20" s="66" t="s">
        <v>1876</v>
      </c>
      <c r="B20" s="66" t="s">
        <v>1877</v>
      </c>
      <c r="C20" s="66"/>
      <c r="D20" s="66"/>
      <c r="E20" s="66">
        <v>0</v>
      </c>
      <c r="F20" s="66"/>
      <c r="G20" s="54" t="e">
        <f>VLOOKUP(A20,'[1]yourspreadsheetname (1)'!$A$2:$C$968, 3, FALSE)</f>
        <v>#N/A</v>
      </c>
      <c r="H20" s="186">
        <v>0</v>
      </c>
      <c r="I20" s="66"/>
      <c r="J20" s="66"/>
      <c r="K20" s="66"/>
      <c r="L20" s="66"/>
      <c r="M20" s="66"/>
      <c r="N20" s="64"/>
      <c r="O20" s="54"/>
      <c r="P20" s="66"/>
      <c r="Q20" s="66"/>
      <c r="R20" s="18">
        <v>0</v>
      </c>
      <c r="S20" s="52"/>
      <c r="T20" s="52"/>
      <c r="U20" s="18"/>
      <c r="V20" s="18"/>
      <c r="W20" s="18">
        <f t="shared" si="0"/>
        <v>0</v>
      </c>
      <c r="X20" s="47"/>
      <c r="Y20" s="8"/>
      <c r="Z20" s="8">
        <f t="shared" si="1"/>
        <v>0</v>
      </c>
      <c r="AA20" s="480">
        <f t="shared" si="2"/>
        <v>0</v>
      </c>
      <c r="AB20" s="103"/>
    </row>
    <row r="21" spans="1:28" x14ac:dyDescent="0.25">
      <c r="A21" s="212" t="s">
        <v>1878</v>
      </c>
      <c r="B21" s="66" t="s">
        <v>1879</v>
      </c>
      <c r="C21" s="66"/>
      <c r="D21" s="66"/>
      <c r="E21" s="66">
        <v>0</v>
      </c>
      <c r="F21" s="66"/>
      <c r="G21" s="54">
        <f>VLOOKUP(A21,'[1]yourspreadsheetname (1)'!$A$2:$C$968, 3, FALSE)</f>
        <v>25</v>
      </c>
      <c r="H21" s="186">
        <v>0</v>
      </c>
      <c r="I21" s="66"/>
      <c r="J21" s="66"/>
      <c r="K21" s="66"/>
      <c r="L21" s="66"/>
      <c r="M21" s="66"/>
      <c r="N21" s="64"/>
      <c r="O21" s="54"/>
      <c r="P21" s="63"/>
      <c r="Q21" s="63"/>
      <c r="R21" s="18">
        <v>0</v>
      </c>
      <c r="S21" s="18"/>
      <c r="T21" s="18"/>
      <c r="U21" s="18"/>
      <c r="V21" s="18"/>
      <c r="W21" s="18">
        <f t="shared" si="0"/>
        <v>0</v>
      </c>
      <c r="X21" s="45"/>
      <c r="Y21" s="8"/>
      <c r="Z21" s="8">
        <f t="shared" si="1"/>
        <v>0</v>
      </c>
      <c r="AA21" s="480">
        <f t="shared" si="2"/>
        <v>0</v>
      </c>
      <c r="AB21" s="37"/>
    </row>
    <row r="22" spans="1:28" x14ac:dyDescent="0.25">
      <c r="A22" s="66" t="s">
        <v>1880</v>
      </c>
      <c r="B22" s="54" t="s">
        <v>1881</v>
      </c>
      <c r="C22" s="66"/>
      <c r="D22" s="66"/>
      <c r="E22" s="66">
        <v>0</v>
      </c>
      <c r="F22" s="66"/>
      <c r="G22" s="54">
        <f>VLOOKUP(A22,'[1]yourspreadsheetname (1)'!$A$2:$C$968, 3, FALSE)</f>
        <v>0</v>
      </c>
      <c r="H22" s="186">
        <v>0</v>
      </c>
      <c r="I22" s="66"/>
      <c r="J22" s="66"/>
      <c r="K22" s="66"/>
      <c r="L22" s="66"/>
      <c r="M22" s="66"/>
      <c r="N22" s="64"/>
      <c r="O22" s="66"/>
      <c r="P22" s="63"/>
      <c r="Q22" s="66"/>
      <c r="R22" s="18">
        <f>((G22*15)-H22-I22)/2</f>
        <v>0</v>
      </c>
      <c r="S22" s="18"/>
      <c r="T22" s="18"/>
      <c r="U22" s="18"/>
      <c r="V22" s="18"/>
      <c r="W22" s="18">
        <f t="shared" si="0"/>
        <v>0</v>
      </c>
      <c r="X22" s="47"/>
      <c r="Y22" s="8"/>
      <c r="Z22" s="8">
        <f t="shared" si="1"/>
        <v>0</v>
      </c>
      <c r="AA22" s="480">
        <f t="shared" si="2"/>
        <v>0</v>
      </c>
      <c r="AB22" s="38"/>
    </row>
    <row r="23" spans="1:28" x14ac:dyDescent="0.25">
      <c r="A23" s="66" t="s">
        <v>1882</v>
      </c>
      <c r="B23" s="54" t="s">
        <v>1883</v>
      </c>
      <c r="C23" s="66"/>
      <c r="D23" s="66"/>
      <c r="E23" s="66">
        <v>0</v>
      </c>
      <c r="F23" s="66"/>
      <c r="G23" s="54" t="e">
        <f>VLOOKUP(A23,'[1]yourspreadsheetname (1)'!$A$2:$C$968, 3, FALSE)</f>
        <v>#N/A</v>
      </c>
      <c r="H23" s="186">
        <v>0</v>
      </c>
      <c r="I23" s="66"/>
      <c r="J23" s="66"/>
      <c r="K23" s="66"/>
      <c r="L23" s="66"/>
      <c r="M23" s="66"/>
      <c r="N23" s="64"/>
      <c r="O23" s="66"/>
      <c r="P23" s="63"/>
      <c r="Q23" s="66"/>
      <c r="R23" s="18">
        <v>0</v>
      </c>
      <c r="S23" s="52"/>
      <c r="T23" s="52"/>
      <c r="U23" s="18"/>
      <c r="V23" s="18"/>
      <c r="W23" s="18">
        <f t="shared" si="0"/>
        <v>0</v>
      </c>
      <c r="X23" s="45"/>
      <c r="Y23" s="8"/>
      <c r="Z23" s="8">
        <f t="shared" si="1"/>
        <v>0</v>
      </c>
      <c r="AA23" s="480">
        <f t="shared" si="2"/>
        <v>0</v>
      </c>
      <c r="AB23" s="37"/>
    </row>
    <row r="24" spans="1:28" x14ac:dyDescent="0.25">
      <c r="A24" s="212" t="s">
        <v>1884</v>
      </c>
      <c r="B24" s="66" t="s">
        <v>1885</v>
      </c>
      <c r="C24" s="66"/>
      <c r="D24" s="66"/>
      <c r="E24" s="66">
        <v>0</v>
      </c>
      <c r="F24" s="66"/>
      <c r="G24" s="54">
        <f>VLOOKUP(A24,'[1]yourspreadsheetname (1)'!$A$2:$C$968, 3, FALSE)</f>
        <v>1500</v>
      </c>
      <c r="H24" s="186">
        <v>2000</v>
      </c>
      <c r="I24" s="66"/>
      <c r="J24" s="66"/>
      <c r="K24" s="66"/>
      <c r="L24" s="66"/>
      <c r="M24" s="66"/>
      <c r="N24" s="64"/>
      <c r="O24" s="54"/>
      <c r="P24" s="63"/>
      <c r="Q24" s="63"/>
      <c r="R24" s="418">
        <v>0</v>
      </c>
      <c r="S24" s="18"/>
      <c r="T24" s="18"/>
      <c r="U24" s="18"/>
      <c r="V24" s="18"/>
      <c r="W24" s="18">
        <f t="shared" si="0"/>
        <v>0</v>
      </c>
      <c r="X24" s="45">
        <v>5939</v>
      </c>
      <c r="Y24" s="8">
        <v>5650</v>
      </c>
      <c r="Z24" s="8">
        <f t="shared" si="1"/>
        <v>0</v>
      </c>
      <c r="AA24" s="480">
        <f t="shared" si="2"/>
        <v>0</v>
      </c>
      <c r="AB24" s="22"/>
    </row>
    <row r="25" spans="1:28" x14ac:dyDescent="0.25">
      <c r="A25" s="66" t="s">
        <v>1886</v>
      </c>
      <c r="B25" s="66" t="s">
        <v>1887</v>
      </c>
      <c r="C25" s="66"/>
      <c r="D25" s="66"/>
      <c r="E25" s="66">
        <v>0</v>
      </c>
      <c r="F25" s="66"/>
      <c r="G25" s="54" t="e">
        <f>VLOOKUP(A25,'[1]yourspreadsheetname (1)'!$A$2:$C$968, 3, FALSE)</f>
        <v>#N/A</v>
      </c>
      <c r="H25" s="186">
        <v>0</v>
      </c>
      <c r="I25" s="66"/>
      <c r="J25" s="66"/>
      <c r="K25" s="66"/>
      <c r="L25" s="66"/>
      <c r="M25" s="66"/>
      <c r="N25" s="64"/>
      <c r="O25" s="66"/>
      <c r="P25" s="66"/>
      <c r="Q25" s="66"/>
      <c r="R25" s="18">
        <v>0</v>
      </c>
      <c r="S25" s="52"/>
      <c r="T25" s="52"/>
      <c r="U25" s="18"/>
      <c r="V25" s="18"/>
      <c r="W25" s="18">
        <f t="shared" si="0"/>
        <v>0</v>
      </c>
      <c r="X25" s="47"/>
      <c r="Y25" s="8"/>
      <c r="Z25" s="8">
        <f t="shared" si="1"/>
        <v>0</v>
      </c>
      <c r="AA25" s="480">
        <f t="shared" si="2"/>
        <v>0</v>
      </c>
      <c r="AB25" s="680"/>
    </row>
    <row r="26" spans="1:28" x14ac:dyDescent="0.25">
      <c r="Z26" s="598">
        <f>SUM(Z3:Z25)</f>
        <v>166795</v>
      </c>
      <c r="AA26" s="598">
        <f>SUM(AA3:AA25)</f>
        <v>271080</v>
      </c>
    </row>
    <row r="27" spans="1:28" x14ac:dyDescent="0.25">
      <c r="B27" t="s">
        <v>1888</v>
      </c>
    </row>
    <row r="28" spans="1:28" x14ac:dyDescent="0.25">
      <c r="B28" t="s">
        <v>1889</v>
      </c>
    </row>
    <row r="29" spans="1:28" x14ac:dyDescent="0.25">
      <c r="B29" t="s">
        <v>1890</v>
      </c>
    </row>
    <row r="30" spans="1:28" x14ac:dyDescent="0.25">
      <c r="B30" t="s">
        <v>1891</v>
      </c>
    </row>
    <row r="31" spans="1:28" x14ac:dyDescent="0.25">
      <c r="B31" t="s">
        <v>1892</v>
      </c>
    </row>
    <row r="32" spans="1:28" x14ac:dyDescent="0.25">
      <c r="B32" t="s">
        <v>1893</v>
      </c>
    </row>
    <row r="45" spans="13:27" x14ac:dyDescent="0.25">
      <c r="M45" s="2"/>
      <c r="N45" s="2"/>
      <c r="O45" s="2"/>
      <c r="P45" s="2"/>
      <c r="Q45" s="2"/>
      <c r="R45" s="2"/>
      <c r="S45" s="2"/>
      <c r="T45" s="2"/>
      <c r="U45" s="2"/>
      <c r="V45" s="2"/>
      <c r="W45" s="142"/>
      <c r="X45" s="142"/>
      <c r="AA45" s="2"/>
    </row>
    <row r="46" spans="13:27" x14ac:dyDescent="0.25">
      <c r="M46" s="2"/>
      <c r="N46" s="2"/>
      <c r="O46" s="2"/>
      <c r="P46" s="2"/>
      <c r="Q46" s="2"/>
      <c r="R46" s="2"/>
      <c r="S46" s="2"/>
      <c r="T46" s="2"/>
      <c r="U46" s="2"/>
      <c r="V46" s="2"/>
      <c r="W46" s="142"/>
      <c r="X46" s="142"/>
      <c r="AA46" s="2"/>
    </row>
    <row r="47" spans="13:27" x14ac:dyDescent="0.25">
      <c r="M47" s="2"/>
      <c r="N47" s="2"/>
      <c r="O47" s="2"/>
      <c r="P47" s="2"/>
      <c r="Q47" s="2"/>
      <c r="R47" s="2"/>
      <c r="S47" s="2"/>
      <c r="T47" s="2"/>
      <c r="U47" s="2"/>
      <c r="V47" s="2"/>
      <c r="W47" s="142"/>
      <c r="X47" s="142"/>
      <c r="AA47" s="2"/>
    </row>
    <row r="48" spans="13:27" x14ac:dyDescent="0.25">
      <c r="M48" s="2"/>
      <c r="N48" s="2"/>
      <c r="O48" s="2"/>
      <c r="P48" s="2"/>
      <c r="Q48" s="2"/>
      <c r="R48" s="2"/>
      <c r="S48" s="2"/>
      <c r="T48" s="2"/>
      <c r="U48" s="2"/>
      <c r="V48" s="2"/>
      <c r="W48" s="142"/>
      <c r="X48" s="142"/>
      <c r="AA48" s="2"/>
    </row>
    <row r="49" spans="13:27" x14ac:dyDescent="0.25">
      <c r="M49" s="2"/>
      <c r="N49" s="2"/>
      <c r="O49" s="2"/>
      <c r="P49" s="2"/>
      <c r="Q49" s="2"/>
      <c r="R49" s="2"/>
      <c r="S49" s="2"/>
      <c r="T49" s="2"/>
      <c r="U49" s="2"/>
      <c r="V49" s="2"/>
      <c r="W49" s="142"/>
      <c r="X49" s="142"/>
      <c r="AA49" s="2"/>
    </row>
    <row r="50" spans="13:27" x14ac:dyDescent="0.25">
      <c r="M50" s="2"/>
      <c r="N50" s="2"/>
      <c r="O50" s="2"/>
      <c r="P50" s="2"/>
      <c r="Q50" s="2"/>
      <c r="R50" s="2"/>
      <c r="S50" s="2"/>
      <c r="T50" s="2"/>
      <c r="U50" s="2"/>
      <c r="V50" s="2"/>
      <c r="W50" s="142"/>
      <c r="X50" s="142"/>
      <c r="AA50" s="2"/>
    </row>
    <row r="51" spans="13:27" x14ac:dyDescent="0.25">
      <c r="M51" s="2"/>
      <c r="N51" s="2"/>
      <c r="O51" s="2"/>
      <c r="P51" s="2"/>
      <c r="Q51" s="2"/>
      <c r="R51" s="2"/>
      <c r="S51" s="2"/>
      <c r="T51" s="2"/>
      <c r="U51" s="2"/>
      <c r="V51" s="2"/>
      <c r="W51" s="142"/>
      <c r="X51" s="142"/>
      <c r="AA51" s="2"/>
    </row>
    <row r="52" spans="13:27" x14ac:dyDescent="0.25">
      <c r="M52" s="2"/>
      <c r="N52" s="2"/>
      <c r="O52" s="2"/>
      <c r="P52" s="2"/>
      <c r="Q52" s="2"/>
      <c r="R52" s="2"/>
      <c r="S52" s="2"/>
      <c r="T52" s="2"/>
      <c r="U52" s="2"/>
      <c r="V52" s="2"/>
      <c r="W52" s="142"/>
      <c r="X52" s="142"/>
      <c r="AA52" s="2"/>
    </row>
    <row r="53" spans="13:27" x14ac:dyDescent="0.25">
      <c r="M53" s="2"/>
      <c r="N53" s="2"/>
      <c r="O53" s="2"/>
      <c r="P53" s="2"/>
      <c r="Q53" s="2"/>
      <c r="R53" s="2"/>
      <c r="S53" s="2"/>
      <c r="T53" s="2"/>
      <c r="U53" s="2"/>
      <c r="V53" s="2"/>
      <c r="W53" s="142"/>
      <c r="X53" s="142"/>
      <c r="AA53" s="2"/>
    </row>
    <row r="54" spans="13:27" x14ac:dyDescent="0.25">
      <c r="M54" s="2"/>
      <c r="N54" s="2"/>
      <c r="O54" s="2"/>
      <c r="P54" s="2"/>
      <c r="Q54" s="2"/>
      <c r="R54" s="2"/>
      <c r="S54" s="2"/>
      <c r="T54" s="2"/>
      <c r="U54" s="2"/>
      <c r="V54" s="2"/>
      <c r="W54" s="142"/>
      <c r="X54" s="142"/>
      <c r="AA54" s="2"/>
    </row>
    <row r="55" spans="13:27" x14ac:dyDescent="0.25">
      <c r="M55" s="2"/>
      <c r="N55" s="2"/>
      <c r="O55" s="2"/>
      <c r="P55" s="2"/>
      <c r="Q55" s="2"/>
      <c r="R55" s="2"/>
      <c r="S55" s="2"/>
      <c r="T55" s="2"/>
      <c r="U55" s="2"/>
      <c r="V55" s="2"/>
      <c r="W55" s="142"/>
      <c r="X55" s="142"/>
      <c r="AA55" s="2"/>
    </row>
    <row r="56" spans="13:27" x14ac:dyDescent="0.25">
      <c r="M56" s="2"/>
      <c r="N56" s="2"/>
      <c r="O56" s="2"/>
      <c r="P56" s="2"/>
      <c r="Q56" s="2"/>
      <c r="R56" s="2"/>
      <c r="S56" s="2"/>
      <c r="T56" s="2"/>
      <c r="U56" s="2"/>
      <c r="V56" s="2"/>
      <c r="W56" s="142"/>
      <c r="X56" s="142"/>
      <c r="AA56" s="2"/>
    </row>
    <row r="57" spans="13:27" x14ac:dyDescent="0.25">
      <c r="M57" s="2"/>
      <c r="N57" s="2"/>
      <c r="O57" s="2"/>
      <c r="P57" s="2"/>
      <c r="Q57" s="2"/>
      <c r="R57" s="2"/>
      <c r="S57" s="2"/>
      <c r="T57" s="2"/>
      <c r="U57" s="2"/>
      <c r="V57" s="2"/>
      <c r="W57" s="142"/>
      <c r="X57" s="142"/>
      <c r="AA57" s="2"/>
    </row>
    <row r="58" spans="13:27" x14ac:dyDescent="0.25">
      <c r="M58" s="2"/>
      <c r="N58" s="2"/>
      <c r="O58" s="2"/>
      <c r="P58" s="2"/>
      <c r="Q58" s="2"/>
      <c r="R58" s="2"/>
      <c r="S58" s="2"/>
      <c r="T58" s="2"/>
      <c r="U58" s="2"/>
      <c r="V58" s="2"/>
      <c r="W58" s="142"/>
      <c r="X58" s="142"/>
      <c r="AA58" s="2"/>
    </row>
    <row r="59" spans="13:27" x14ac:dyDescent="0.25">
      <c r="M59" s="2"/>
      <c r="N59" s="2"/>
      <c r="O59" s="2"/>
      <c r="P59" s="2"/>
      <c r="Q59" s="2"/>
      <c r="R59" s="2"/>
      <c r="S59" s="2"/>
      <c r="T59" s="2"/>
      <c r="U59" s="2"/>
      <c r="V59" s="2"/>
      <c r="W59" s="142"/>
      <c r="X59" s="142"/>
      <c r="AA59" s="2"/>
    </row>
    <row r="60" spans="13:27" x14ac:dyDescent="0.25">
      <c r="M60" s="2"/>
      <c r="N60" s="2"/>
      <c r="O60" s="2"/>
      <c r="P60" s="2"/>
      <c r="Q60" s="2"/>
      <c r="R60" s="2"/>
      <c r="S60" s="2"/>
      <c r="T60" s="2"/>
      <c r="U60" s="2"/>
      <c r="V60" s="2"/>
      <c r="W60" s="142"/>
      <c r="X60" s="142"/>
      <c r="AA60" s="2"/>
    </row>
    <row r="1048567" spans="14:14" x14ac:dyDescent="0.25">
      <c r="N1048567" s="64"/>
    </row>
  </sheetData>
  <autoFilter ref="A2:AA3">
    <sortState ref="A4:AA25">
      <sortCondition ref="O2:O3"/>
    </sortState>
  </autoFilter>
  <mergeCells count="27">
    <mergeCell ref="U1:V1"/>
    <mergeCell ref="A1:A2"/>
    <mergeCell ref="B1:B2"/>
    <mergeCell ref="L1:L2"/>
    <mergeCell ref="N1:N2"/>
    <mergeCell ref="H1:H2"/>
    <mergeCell ref="J1:J2"/>
    <mergeCell ref="P1:P2"/>
    <mergeCell ref="G1:G2"/>
    <mergeCell ref="I1:I2"/>
    <mergeCell ref="S1:S2"/>
    <mergeCell ref="AB1:AB2"/>
    <mergeCell ref="C1:C2"/>
    <mergeCell ref="E1:E2"/>
    <mergeCell ref="K1:K2"/>
    <mergeCell ref="M1:M2"/>
    <mergeCell ref="O1:O2"/>
    <mergeCell ref="Q1:Q2"/>
    <mergeCell ref="W1:W2"/>
    <mergeCell ref="Y1:Y2"/>
    <mergeCell ref="AA1:AA2"/>
    <mergeCell ref="Z1:Z2"/>
    <mergeCell ref="X1:X2"/>
    <mergeCell ref="T1:T2"/>
    <mergeCell ref="D1:D2"/>
    <mergeCell ref="F1:F2"/>
    <mergeCell ref="R1:R2"/>
  </mergeCells>
  <pageMargins left="0.7" right="0.7" top="0.75" bottom="0.75" header="0.3" footer="0.3"/>
  <pageSetup orientation="portrait" verticalDpi="30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B120"/>
  <sheetViews>
    <sheetView zoomScale="90" zoomScaleNormal="90" workbookViewId="0">
      <pane ySplit="2" topLeftCell="A3" activePane="bottomLeft" state="frozen"/>
      <selection pane="bottomLeft" activeCell="L10" sqref="L10"/>
    </sheetView>
  </sheetViews>
  <sheetFormatPr baseColWidth="10" defaultColWidth="11.42578125" defaultRowHeight="15" x14ac:dyDescent="0.25"/>
  <cols>
    <col min="1" max="1" width="15" customWidth="1"/>
    <col min="2" max="2" width="61.85546875" customWidth="1"/>
    <col min="3" max="3" width="10.28515625" customWidth="1"/>
    <col min="4" max="6" width="11.140625" customWidth="1"/>
    <col min="7" max="7" width="9.7109375" customWidth="1"/>
    <col min="8" max="8" width="11.140625" customWidth="1"/>
    <col min="9" max="9" width="9.7109375" customWidth="1"/>
    <col min="10" max="11" width="11" customWidth="1"/>
    <col min="12" max="12" width="8.85546875" customWidth="1"/>
    <col min="13" max="13" width="10.28515625" customWidth="1"/>
    <col min="14" max="14" width="15.5703125" customWidth="1"/>
    <col min="15" max="15" width="10.140625" customWidth="1"/>
    <col min="16" max="16" width="9.42578125" customWidth="1"/>
    <col min="17" max="17" width="7.7109375" customWidth="1"/>
    <col min="18" max="18" width="8.85546875" customWidth="1"/>
    <col min="19" max="19" width="16.5703125" customWidth="1"/>
    <col min="20" max="20" width="19.5703125" hidden="1" customWidth="1"/>
    <col min="21" max="21" width="14.7109375" hidden="1" customWidth="1"/>
    <col min="22" max="22" width="20.5703125" hidden="1" customWidth="1"/>
    <col min="23" max="23" width="12.140625" customWidth="1"/>
    <col min="24" max="24" width="15" customWidth="1"/>
    <col min="25" max="26" width="14.85546875" customWidth="1"/>
    <col min="27" max="27" width="60.7109375" customWidth="1"/>
  </cols>
  <sheetData>
    <row r="1" spans="1:28" ht="15" customHeight="1" x14ac:dyDescent="0.25">
      <c r="A1" s="772" t="s">
        <v>75</v>
      </c>
      <c r="B1" s="762" t="s">
        <v>76</v>
      </c>
      <c r="C1" s="775" t="s">
        <v>77</v>
      </c>
      <c r="D1" s="777" t="s">
        <v>78</v>
      </c>
      <c r="E1" s="771" t="s">
        <v>79</v>
      </c>
      <c r="F1" s="771" t="s">
        <v>80</v>
      </c>
      <c r="G1" s="763" t="s">
        <v>1894</v>
      </c>
      <c r="H1" s="782" t="s">
        <v>573</v>
      </c>
      <c r="I1" s="764" t="s">
        <v>1895</v>
      </c>
      <c r="J1" s="764" t="s">
        <v>1522</v>
      </c>
      <c r="K1" s="764" t="s">
        <v>84</v>
      </c>
      <c r="L1" s="757" t="s">
        <v>85</v>
      </c>
      <c r="M1" s="766" t="s">
        <v>86</v>
      </c>
      <c r="N1" s="762" t="s">
        <v>87</v>
      </c>
      <c r="O1" s="768" t="s">
        <v>88</v>
      </c>
      <c r="P1" s="762" t="s">
        <v>89</v>
      </c>
      <c r="Q1" s="764" t="s">
        <v>90</v>
      </c>
      <c r="R1" s="764" t="s">
        <v>91</v>
      </c>
      <c r="S1" s="759" t="s">
        <v>279</v>
      </c>
      <c r="T1" s="759" t="s">
        <v>1896</v>
      </c>
      <c r="U1" s="762" t="s">
        <v>1897</v>
      </c>
      <c r="V1" s="812"/>
      <c r="W1" s="762" t="s">
        <v>96</v>
      </c>
      <c r="X1" s="762" t="s">
        <v>1898</v>
      </c>
      <c r="Y1" s="762" t="s">
        <v>98</v>
      </c>
      <c r="Z1" s="755" t="s">
        <v>99</v>
      </c>
      <c r="AA1" s="757" t="s">
        <v>100</v>
      </c>
      <c r="AB1" s="757" t="s">
        <v>101</v>
      </c>
    </row>
    <row r="2" spans="1:28" ht="38.25" customHeight="1" thickBot="1" x14ac:dyDescent="0.3">
      <c r="A2" s="773"/>
      <c r="B2" s="753"/>
      <c r="C2" s="776"/>
      <c r="D2" s="778"/>
      <c r="E2" s="753"/>
      <c r="F2" s="753"/>
      <c r="G2" s="753"/>
      <c r="H2" s="783"/>
      <c r="I2" s="765"/>
      <c r="J2" s="765"/>
      <c r="K2" s="765"/>
      <c r="L2" s="758"/>
      <c r="M2" s="767"/>
      <c r="N2" s="753"/>
      <c r="O2" s="753"/>
      <c r="P2" s="753"/>
      <c r="Q2" s="765"/>
      <c r="R2" s="765"/>
      <c r="S2" s="753"/>
      <c r="T2" s="753"/>
      <c r="U2" s="678" t="s">
        <v>102</v>
      </c>
      <c r="V2" s="678" t="s">
        <v>103</v>
      </c>
      <c r="W2" s="753"/>
      <c r="X2" s="753"/>
      <c r="Y2" s="753"/>
      <c r="Z2" s="756"/>
      <c r="AA2" s="758"/>
      <c r="AB2" s="758"/>
    </row>
    <row r="3" spans="1:28" ht="15" customHeight="1" x14ac:dyDescent="0.25">
      <c r="A3" s="18"/>
      <c r="B3" s="18" t="s">
        <v>1899</v>
      </c>
      <c r="D3" s="29"/>
      <c r="E3" s="29"/>
      <c r="F3" s="29"/>
      <c r="G3" s="18"/>
      <c r="H3" s="18"/>
      <c r="I3" s="18"/>
      <c r="J3" s="18"/>
      <c r="K3" s="18"/>
      <c r="L3" s="18">
        <v>649795</v>
      </c>
      <c r="M3" s="1"/>
      <c r="N3" s="115"/>
      <c r="O3" s="1"/>
      <c r="P3" s="1"/>
      <c r="Q3" s="115"/>
      <c r="R3" s="115"/>
      <c r="S3" s="115"/>
      <c r="T3" s="115"/>
      <c r="U3" s="115"/>
      <c r="V3" s="18">
        <f>T3+U3</f>
        <v>0</v>
      </c>
      <c r="W3" s="45"/>
      <c r="X3" s="8"/>
      <c r="Y3" s="8">
        <f>H3*W3</f>
        <v>0</v>
      </c>
      <c r="Z3" s="8">
        <f>V3*X3</f>
        <v>0</v>
      </c>
      <c r="AA3" s="69"/>
    </row>
    <row r="4" spans="1:28" s="4" customFormat="1" x14ac:dyDescent="0.25">
      <c r="A4" s="85"/>
      <c r="B4" s="135" t="s">
        <v>1900</v>
      </c>
      <c r="C4" s="18"/>
      <c r="D4" s="18"/>
      <c r="E4" s="18"/>
      <c r="F4" s="18"/>
      <c r="G4" s="18"/>
      <c r="H4" s="18"/>
      <c r="I4" s="18"/>
      <c r="J4" s="18"/>
      <c r="K4" s="18"/>
      <c r="L4" s="12"/>
      <c r="M4" s="18"/>
      <c r="N4" s="18"/>
      <c r="O4" s="13"/>
      <c r="P4" s="18"/>
      <c r="Q4" s="12"/>
      <c r="R4" s="18"/>
      <c r="S4" s="18"/>
      <c r="T4" s="18"/>
      <c r="U4" s="18"/>
      <c r="V4" s="18">
        <f>T4+U4</f>
        <v>0</v>
      </c>
      <c r="W4" s="45"/>
      <c r="X4" s="8"/>
      <c r="Y4" s="8">
        <f>H4*W4</f>
        <v>0</v>
      </c>
      <c r="Z4" s="8"/>
      <c r="AA4" s="18"/>
      <c r="AB4" s="680"/>
    </row>
    <row r="5" spans="1:28" s="4" customFormat="1" x14ac:dyDescent="0.25">
      <c r="A5" s="18"/>
      <c r="B5" s="18" t="s">
        <v>1901</v>
      </c>
      <c r="C5" s="6"/>
      <c r="D5" s="18"/>
      <c r="E5" s="18"/>
      <c r="F5" s="18"/>
      <c r="G5" s="18"/>
      <c r="H5" s="18"/>
      <c r="I5" s="18"/>
      <c r="J5" s="18"/>
      <c r="K5" s="18"/>
      <c r="L5" s="12"/>
      <c r="M5" s="18"/>
      <c r="N5" s="18"/>
      <c r="O5" s="13"/>
      <c r="P5" s="18"/>
      <c r="Q5" s="6"/>
      <c r="R5" s="6"/>
      <c r="S5" s="18"/>
      <c r="T5" s="18"/>
      <c r="U5" s="6"/>
      <c r="V5" s="18">
        <f>T5+U5</f>
        <v>0</v>
      </c>
      <c r="W5" s="47"/>
      <c r="X5" s="8"/>
      <c r="Y5" s="8">
        <f>H5*W5</f>
        <v>0</v>
      </c>
      <c r="Z5" s="8">
        <f>V5*X5</f>
        <v>0</v>
      </c>
      <c r="AA5" s="6"/>
      <c r="AB5" s="680"/>
    </row>
    <row r="6" spans="1:28" x14ac:dyDescent="0.25">
      <c r="B6" t="s">
        <v>1902</v>
      </c>
      <c r="L6">
        <v>722280</v>
      </c>
    </row>
    <row r="7" spans="1:28" s="4" customFormat="1" x14ac:dyDescent="0.25">
      <c r="A7" s="680"/>
      <c r="B7" s="680" t="s">
        <v>1903</v>
      </c>
      <c r="C7" s="680"/>
      <c r="D7" s="680"/>
      <c r="E7" s="680"/>
      <c r="F7" s="680"/>
      <c r="G7" s="680"/>
      <c r="H7" s="680"/>
      <c r="I7" s="680"/>
      <c r="J7" s="680"/>
      <c r="K7" s="680"/>
      <c r="L7" s="680">
        <v>724157</v>
      </c>
      <c r="M7" s="680"/>
      <c r="N7" s="680"/>
      <c r="O7" s="680"/>
      <c r="P7" s="680"/>
      <c r="Q7" s="680"/>
      <c r="R7" s="680"/>
      <c r="S7" s="680"/>
      <c r="T7" s="680"/>
      <c r="U7" s="680"/>
      <c r="V7" s="680"/>
      <c r="W7" s="680"/>
      <c r="X7" s="680"/>
      <c r="Y7" s="680"/>
      <c r="Z7" s="680"/>
      <c r="AA7" s="680"/>
      <c r="AB7" s="680"/>
    </row>
    <row r="8" spans="1:28" s="4" customFormat="1" x14ac:dyDescent="0.25">
      <c r="A8" s="680"/>
      <c r="B8" s="680" t="s">
        <v>1904</v>
      </c>
      <c r="C8" s="680"/>
      <c r="D8" s="680"/>
      <c r="E8" s="680"/>
      <c r="F8" s="680"/>
      <c r="G8" s="680"/>
      <c r="H8" s="680"/>
      <c r="I8" s="680"/>
      <c r="J8" s="680"/>
      <c r="K8" s="680"/>
      <c r="L8" s="680">
        <v>739896</v>
      </c>
      <c r="M8" s="680"/>
      <c r="N8" s="680"/>
      <c r="O8" s="680"/>
      <c r="P8" s="680"/>
      <c r="Q8" s="680"/>
      <c r="R8" s="680"/>
      <c r="S8" s="680"/>
      <c r="T8" s="680"/>
      <c r="U8" s="680"/>
      <c r="V8" s="680"/>
      <c r="W8" s="680"/>
      <c r="X8" s="680"/>
      <c r="Y8" s="680"/>
      <c r="Z8" s="680"/>
      <c r="AA8" s="680"/>
      <c r="AB8" s="680"/>
    </row>
    <row r="9" spans="1:28" s="4" customFormat="1" x14ac:dyDescent="0.25">
      <c r="A9" s="680"/>
      <c r="B9" s="680" t="s">
        <v>1905</v>
      </c>
      <c r="C9" s="680"/>
      <c r="D9" s="680"/>
      <c r="E9" s="680"/>
      <c r="F9" s="680"/>
      <c r="G9" s="680"/>
      <c r="H9" s="680"/>
      <c r="I9" s="680"/>
      <c r="J9" s="680"/>
      <c r="K9" s="680"/>
      <c r="L9" s="680">
        <v>749329</v>
      </c>
      <c r="M9" s="680"/>
      <c r="N9" s="680"/>
      <c r="O9" s="680"/>
      <c r="P9" s="680"/>
      <c r="Q9" s="680"/>
      <c r="R9" s="680"/>
      <c r="S9" s="680"/>
      <c r="T9" s="680"/>
      <c r="U9" s="680"/>
      <c r="V9" s="680"/>
      <c r="W9" s="680"/>
      <c r="X9" s="680"/>
      <c r="Y9" s="680"/>
      <c r="Z9" s="680"/>
      <c r="AA9" s="680"/>
      <c r="AB9" s="680"/>
    </row>
    <row r="10" spans="1:28" s="4" customFormat="1" x14ac:dyDescent="0.25">
      <c r="A10" s="680"/>
      <c r="B10" s="680" t="s">
        <v>1906</v>
      </c>
      <c r="C10" s="680"/>
      <c r="D10" s="680"/>
      <c r="E10" s="680"/>
      <c r="F10" s="680"/>
      <c r="G10" s="680"/>
      <c r="H10" s="680"/>
      <c r="I10" s="680"/>
      <c r="J10" s="680"/>
      <c r="K10" s="680"/>
      <c r="L10" s="680">
        <v>765880</v>
      </c>
      <c r="M10" s="680"/>
      <c r="N10" s="680"/>
      <c r="O10" s="680"/>
      <c r="P10" s="680"/>
      <c r="Q10" s="680"/>
      <c r="R10" s="680"/>
      <c r="S10" s="680"/>
      <c r="T10" s="680"/>
      <c r="U10" s="680"/>
      <c r="V10" s="680"/>
      <c r="W10" s="680"/>
      <c r="X10" s="680"/>
      <c r="Y10" s="680"/>
      <c r="Z10" s="680"/>
      <c r="AA10" s="680"/>
      <c r="AB10" s="680"/>
    </row>
    <row r="11" spans="1:28" s="4" customFormat="1" x14ac:dyDescent="0.25">
      <c r="A11" s="680"/>
      <c r="B11" s="680"/>
      <c r="C11" s="680"/>
      <c r="D11" s="680"/>
      <c r="E11" s="680"/>
      <c r="F11" s="680"/>
      <c r="G11" s="680"/>
      <c r="H11" s="680"/>
      <c r="I11" s="680"/>
      <c r="J11" s="680"/>
      <c r="K11" s="680"/>
      <c r="L11" s="680"/>
      <c r="M11" s="680"/>
      <c r="N11" s="680"/>
      <c r="O11" s="680"/>
      <c r="P11" s="680"/>
      <c r="Q11" s="680"/>
      <c r="R11" s="680"/>
      <c r="S11" s="680"/>
      <c r="T11" s="680"/>
      <c r="U11" s="680"/>
      <c r="V11" s="680"/>
      <c r="W11" s="680"/>
      <c r="X11" s="680"/>
      <c r="Y11" s="680"/>
      <c r="Z11" s="680"/>
      <c r="AA11" s="680"/>
      <c r="AB11" s="680"/>
    </row>
    <row r="12" spans="1:28" s="4" customFormat="1" x14ac:dyDescent="0.25">
      <c r="A12" s="680"/>
      <c r="B12" s="680"/>
      <c r="C12" s="680"/>
      <c r="D12" s="680"/>
      <c r="E12" s="680"/>
      <c r="F12" s="680"/>
      <c r="G12" s="680"/>
      <c r="H12" s="680"/>
      <c r="I12" s="680"/>
      <c r="J12" s="680"/>
      <c r="K12" s="680"/>
      <c r="L12" s="680"/>
      <c r="M12" s="680"/>
      <c r="N12" s="680"/>
      <c r="O12" s="680"/>
      <c r="P12" s="680"/>
      <c r="Q12" s="680"/>
      <c r="R12" s="680"/>
      <c r="S12" s="680"/>
      <c r="T12" s="680"/>
      <c r="U12" s="680"/>
      <c r="V12" s="680"/>
      <c r="W12" s="680"/>
      <c r="X12" s="680"/>
      <c r="Y12" s="680"/>
      <c r="Z12" s="680"/>
      <c r="AA12" s="680"/>
      <c r="AB12" s="680"/>
    </row>
    <row r="13" spans="1:28" s="4" customFormat="1" x14ac:dyDescent="0.25">
      <c r="A13" s="680"/>
      <c r="B13" s="680"/>
      <c r="C13" s="680"/>
      <c r="D13" s="680"/>
      <c r="E13" s="680"/>
      <c r="F13" s="680"/>
      <c r="G13" s="680"/>
      <c r="H13" s="680"/>
      <c r="I13" s="680"/>
      <c r="J13" s="680"/>
      <c r="K13" s="680"/>
      <c r="L13" s="680"/>
      <c r="M13" s="680"/>
      <c r="N13" s="680"/>
      <c r="O13" s="680"/>
      <c r="P13" s="680"/>
      <c r="Q13" s="680"/>
      <c r="R13" s="680"/>
      <c r="S13" s="680"/>
      <c r="T13" s="680"/>
      <c r="U13" s="680"/>
      <c r="V13" s="680"/>
      <c r="W13" s="680"/>
      <c r="X13" s="680"/>
      <c r="Y13" s="680"/>
      <c r="Z13" s="680"/>
      <c r="AA13" s="680"/>
      <c r="AB13" s="680"/>
    </row>
    <row r="14" spans="1:28" s="4" customFormat="1" x14ac:dyDescent="0.25">
      <c r="A14" s="680"/>
      <c r="B14" s="680"/>
      <c r="C14" s="680"/>
      <c r="D14" s="680"/>
      <c r="E14" s="680"/>
      <c r="F14" s="680"/>
      <c r="G14" s="680"/>
      <c r="H14" s="680"/>
      <c r="I14" s="680"/>
      <c r="J14" s="680"/>
      <c r="K14" s="68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W14" s="680"/>
      <c r="X14" s="680"/>
      <c r="Y14" s="680"/>
      <c r="Z14" s="680"/>
      <c r="AA14" s="680"/>
      <c r="AB14" s="680"/>
    </row>
    <row r="15" spans="1:28" s="4" customFormat="1" x14ac:dyDescent="0.25">
      <c r="A15" s="680"/>
      <c r="B15" s="680"/>
      <c r="C15" s="680"/>
      <c r="D15" s="680"/>
      <c r="E15" s="680"/>
      <c r="F15" s="680"/>
      <c r="G15" s="680"/>
      <c r="H15" s="680"/>
      <c r="I15" s="680"/>
      <c r="J15" s="680"/>
      <c r="K15" s="680"/>
      <c r="L15" s="680"/>
      <c r="M15" s="680"/>
      <c r="N15" s="680"/>
      <c r="O15" s="680"/>
      <c r="P15" s="680"/>
      <c r="Q15" s="680"/>
      <c r="R15" s="680"/>
      <c r="S15" s="680"/>
      <c r="T15" s="680"/>
      <c r="U15" s="680"/>
      <c r="V15" s="680"/>
      <c r="W15" s="680"/>
      <c r="X15" s="680"/>
      <c r="Y15" s="680"/>
      <c r="Z15" s="680"/>
      <c r="AA15" s="680"/>
      <c r="AB15" s="680"/>
    </row>
    <row r="16" spans="1:28" s="4" customFormat="1" x14ac:dyDescent="0.25">
      <c r="A16" s="680"/>
      <c r="B16" s="680"/>
      <c r="C16" s="680"/>
      <c r="D16" s="680"/>
      <c r="E16" s="680"/>
      <c r="F16" s="680"/>
      <c r="G16" s="680"/>
      <c r="H16" s="680"/>
      <c r="I16" s="680"/>
      <c r="J16" s="680"/>
      <c r="K16" s="680"/>
      <c r="L16" s="680"/>
      <c r="M16" s="680"/>
      <c r="N16" s="680"/>
      <c r="O16" s="680"/>
      <c r="P16" s="680"/>
      <c r="Q16" s="680"/>
      <c r="R16" s="680"/>
      <c r="S16" s="680"/>
      <c r="T16" s="680"/>
      <c r="U16" s="680"/>
      <c r="V16" s="680"/>
      <c r="W16" s="680"/>
      <c r="X16" s="680"/>
      <c r="Y16" s="680"/>
      <c r="Z16" s="680"/>
      <c r="AA16" s="680"/>
      <c r="AB16" s="680"/>
    </row>
    <row r="17" s="4" customFormat="1" x14ac:dyDescent="0.25"/>
    <row r="105" spans="8:27" x14ac:dyDescent="0.25">
      <c r="H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AA105" s="2"/>
    </row>
    <row r="106" spans="8:27" x14ac:dyDescent="0.25">
      <c r="H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AA106" s="2"/>
    </row>
    <row r="107" spans="8:27" x14ac:dyDescent="0.25">
      <c r="H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AA107" s="2"/>
    </row>
    <row r="108" spans="8:27" x14ac:dyDescent="0.25">
      <c r="H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AA108" s="2"/>
    </row>
    <row r="109" spans="8:27" x14ac:dyDescent="0.25">
      <c r="H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AA109" s="2"/>
    </row>
    <row r="110" spans="8:27" x14ac:dyDescent="0.25">
      <c r="H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AA110" s="2"/>
    </row>
    <row r="111" spans="8:27" x14ac:dyDescent="0.25">
      <c r="H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AA111" s="2"/>
    </row>
    <row r="112" spans="8:27" x14ac:dyDescent="0.25">
      <c r="H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AA112" s="2"/>
    </row>
    <row r="113" spans="8:27" x14ac:dyDescent="0.25">
      <c r="H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AA113" s="2"/>
    </row>
    <row r="114" spans="8:27" x14ac:dyDescent="0.25">
      <c r="H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AA114" s="2"/>
    </row>
    <row r="115" spans="8:27" x14ac:dyDescent="0.25">
      <c r="H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AA115" s="2"/>
    </row>
    <row r="116" spans="8:27" x14ac:dyDescent="0.25">
      <c r="H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AA116" s="2"/>
    </row>
    <row r="117" spans="8:27" x14ac:dyDescent="0.25">
      <c r="H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AA117" s="2"/>
    </row>
    <row r="118" spans="8:27" x14ac:dyDescent="0.25">
      <c r="H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AA118" s="2"/>
    </row>
    <row r="119" spans="8:27" x14ac:dyDescent="0.25">
      <c r="H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AA119" s="2"/>
    </row>
    <row r="120" spans="8:27" x14ac:dyDescent="0.25">
      <c r="H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AA120" s="2"/>
    </row>
  </sheetData>
  <autoFilter ref="A2:AA5">
    <sortState ref="A4:AA69">
      <sortCondition ref="P2:P69"/>
    </sortState>
  </autoFilter>
  <mergeCells count="27">
    <mergeCell ref="X1:X2"/>
    <mergeCell ref="Z1:Z2"/>
    <mergeCell ref="AB1:AB2"/>
    <mergeCell ref="B1:B2"/>
    <mergeCell ref="M1:M2"/>
    <mergeCell ref="O1:O2"/>
    <mergeCell ref="Y1:Y2"/>
    <mergeCell ref="U1:V1"/>
    <mergeCell ref="H1:H2"/>
    <mergeCell ref="J1:J2"/>
    <mergeCell ref="AA1:AA2"/>
    <mergeCell ref="C1:C2"/>
    <mergeCell ref="E1:E2"/>
    <mergeCell ref="L1:L2"/>
    <mergeCell ref="W1:W2"/>
    <mergeCell ref="N1:N2"/>
    <mergeCell ref="A1:A2"/>
    <mergeCell ref="T1:T2"/>
    <mergeCell ref="D1:D2"/>
    <mergeCell ref="G1:G2"/>
    <mergeCell ref="I1:I2"/>
    <mergeCell ref="K1:K2"/>
    <mergeCell ref="Q1:Q2"/>
    <mergeCell ref="S1:S2"/>
    <mergeCell ref="P1:P2"/>
    <mergeCell ref="R1:R2"/>
    <mergeCell ref="F1:F2"/>
  </mergeCells>
  <pageMargins left="0.7" right="0.7" top="0.75" bottom="0.75" header="0.3" footer="0.3"/>
  <pageSetup orientation="portrait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19" sqref="A19"/>
    </sheetView>
  </sheetViews>
  <sheetFormatPr baseColWidth="10" defaultColWidth="11.42578125" defaultRowHeight="15" x14ac:dyDescent="0.25"/>
  <cols>
    <col min="1" max="1" width="45.7109375" customWidth="1"/>
    <col min="2" max="2" width="15.5703125" customWidth="1"/>
    <col min="3" max="3" width="25" customWidth="1"/>
    <col min="4" max="4" width="30.28515625" customWidth="1"/>
  </cols>
  <sheetData>
    <row r="1" spans="1:4" x14ac:dyDescent="0.25">
      <c r="A1" s="16" t="s">
        <v>1907</v>
      </c>
      <c r="B1" s="16" t="s">
        <v>1908</v>
      </c>
      <c r="C1" s="16" t="s">
        <v>1909</v>
      </c>
      <c r="D1" s="16" t="s">
        <v>1910</v>
      </c>
    </row>
    <row r="2" spans="1:4" x14ac:dyDescent="0.25">
      <c r="A2" s="110" t="s">
        <v>1911</v>
      </c>
      <c r="B2" s="110"/>
      <c r="C2" s="109"/>
      <c r="D2" s="109"/>
    </row>
    <row r="3" spans="1:4" x14ac:dyDescent="0.25">
      <c r="A3" s="110" t="s">
        <v>1912</v>
      </c>
      <c r="B3" s="110"/>
      <c r="C3" s="109"/>
      <c r="D3" s="109"/>
    </row>
    <row r="4" spans="1:4" x14ac:dyDescent="0.25">
      <c r="A4" s="110" t="s">
        <v>1913</v>
      </c>
      <c r="B4" s="110"/>
      <c r="C4" s="109"/>
      <c r="D4" s="109"/>
    </row>
    <row r="5" spans="1:4" x14ac:dyDescent="0.25">
      <c r="A5" s="110" t="s">
        <v>1914</v>
      </c>
      <c r="B5" s="110"/>
      <c r="C5" s="109"/>
      <c r="D5" s="109"/>
    </row>
    <row r="6" spans="1:4" x14ac:dyDescent="0.25">
      <c r="A6" s="110" t="s">
        <v>1915</v>
      </c>
      <c r="B6" s="110"/>
      <c r="C6" s="109"/>
      <c r="D6" s="109"/>
    </row>
    <row r="7" spans="1:4" x14ac:dyDescent="0.25">
      <c r="A7" s="110" t="s">
        <v>1916</v>
      </c>
      <c r="B7" s="110"/>
      <c r="C7" s="109"/>
      <c r="D7" s="109"/>
    </row>
    <row r="8" spans="1:4" x14ac:dyDescent="0.25">
      <c r="A8" s="110" t="s">
        <v>1917</v>
      </c>
      <c r="B8" s="110"/>
      <c r="C8" s="109"/>
      <c r="D8" s="109"/>
    </row>
    <row r="9" spans="1:4" x14ac:dyDescent="0.25">
      <c r="A9" s="110" t="s">
        <v>1918</v>
      </c>
      <c r="B9" s="110"/>
      <c r="C9" s="109"/>
      <c r="D9" s="109"/>
    </row>
    <row r="10" spans="1:4" x14ac:dyDescent="0.25">
      <c r="A10" s="110" t="s">
        <v>1919</v>
      </c>
      <c r="B10" s="110"/>
      <c r="C10" s="109"/>
      <c r="D10" s="109"/>
    </row>
    <row r="11" spans="1:4" x14ac:dyDescent="0.25">
      <c r="A11" s="110" t="s">
        <v>1920</v>
      </c>
      <c r="B11" s="110"/>
      <c r="C11" s="109"/>
      <c r="D11" s="109"/>
    </row>
    <row r="12" spans="1:4" x14ac:dyDescent="0.25">
      <c r="A12" s="110" t="s">
        <v>1921</v>
      </c>
      <c r="B12" s="110"/>
      <c r="C12" s="109"/>
      <c r="D12" s="109"/>
    </row>
    <row r="13" spans="1:4" x14ac:dyDescent="0.25">
      <c r="A13" s="110" t="s">
        <v>1922</v>
      </c>
      <c r="B13" s="110"/>
      <c r="C13" s="109"/>
      <c r="D13" s="109"/>
    </row>
    <row r="14" spans="1:4" x14ac:dyDescent="0.25">
      <c r="A14" s="110" t="s">
        <v>1923</v>
      </c>
      <c r="B14" s="110"/>
      <c r="C14" s="109"/>
      <c r="D14" s="109"/>
    </row>
    <row r="15" spans="1:4" x14ac:dyDescent="0.25">
      <c r="A15" s="110" t="s">
        <v>1924</v>
      </c>
      <c r="B15" s="110"/>
      <c r="C15" s="109"/>
      <c r="D15" s="109"/>
    </row>
    <row r="16" spans="1:4" x14ac:dyDescent="0.25">
      <c r="A16" s="110" t="s">
        <v>1925</v>
      </c>
      <c r="B16" s="110"/>
      <c r="C16" s="109"/>
      <c r="D16" s="109"/>
    </row>
    <row r="17" spans="1:4" x14ac:dyDescent="0.25">
      <c r="A17" s="110" t="s">
        <v>1926</v>
      </c>
      <c r="B17" s="110"/>
      <c r="C17" s="109"/>
      <c r="D17" s="109"/>
    </row>
    <row r="18" spans="1:4" x14ac:dyDescent="0.25">
      <c r="A18" s="110" t="s">
        <v>1927</v>
      </c>
      <c r="B18" s="110"/>
      <c r="C18" s="109"/>
      <c r="D18" s="109"/>
    </row>
    <row r="19" spans="1:4" x14ac:dyDescent="0.25">
      <c r="A19" s="110" t="s">
        <v>1928</v>
      </c>
      <c r="B19" s="110"/>
      <c r="C19" s="101"/>
      <c r="D19" s="101"/>
    </row>
    <row r="20" spans="1:4" x14ac:dyDescent="0.25">
      <c r="A20" s="182" t="s">
        <v>1929</v>
      </c>
      <c r="B20" s="182"/>
      <c r="C20" s="17"/>
      <c r="D20" s="17"/>
    </row>
    <row r="21" spans="1:4" x14ac:dyDescent="0.25">
      <c r="A21" s="180" t="s">
        <v>1930</v>
      </c>
      <c r="B21" s="100"/>
      <c r="C21" s="181">
        <f>SUM(C2:C20)</f>
        <v>0</v>
      </c>
      <c r="D21" s="181">
        <f>SUM(D2:D19)</f>
        <v>0</v>
      </c>
    </row>
    <row r="22" spans="1:4" x14ac:dyDescent="0.25">
      <c r="C22" s="17"/>
      <c r="D22" s="17"/>
    </row>
  </sheetData>
  <autoFilter ref="A1:D1">
    <sortState ref="A2:D25">
      <sortCondition ref="A1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LISTADO CC (2)</vt:lpstr>
      <vt:lpstr>SEGUNDO SEMESTRE</vt:lpstr>
      <vt:lpstr>DESIERTOS</vt:lpstr>
      <vt:lpstr>ESTERILIZACION DESIERTOS</vt:lpstr>
      <vt:lpstr>ESTERILIZACION</vt:lpstr>
      <vt:lpstr>UTI</vt:lpstr>
      <vt:lpstr>ANESTESICOS</vt:lpstr>
      <vt:lpstr>COMPRIMIDOS</vt:lpstr>
      <vt:lpstr>ANTIBIOTICOS</vt:lpstr>
      <vt:lpstr>PSICOTROPICOS</vt:lpstr>
      <vt:lpstr>AMPOLLAS</vt:lpstr>
      <vt:lpstr>SUEROS</vt:lpstr>
      <vt:lpstr>DROGAS Y LIQUIDOS</vt:lpstr>
      <vt:lpstr>ALIMENTACION</vt:lpstr>
      <vt:lpstr>SIES SAT URS</vt:lpstr>
      <vt:lpstr>BAJO COSTO</vt:lpstr>
      <vt:lpstr>CREMAS GOTAS AEROSOLES</vt:lpstr>
      <vt:lpstr>DIALISIS</vt:lpstr>
      <vt:lpstr>RAYOS</vt:lpstr>
      <vt:lpstr>FORMULACION Y SEDRONAR</vt:lpstr>
      <vt:lpstr>VARIOS</vt:lpstr>
      <vt:lpstr>SALDO FINAL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Farmacia14</cp:lastModifiedBy>
  <cp:revision/>
  <dcterms:created xsi:type="dcterms:W3CDTF">2017-11-16T01:33:34Z</dcterms:created>
  <dcterms:modified xsi:type="dcterms:W3CDTF">2026-10-20T18:55:30Z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2e307446-9195-4b48-bb3a-d55a840dc9bb</vt:lpwstr>
  </property>
</Properties>
</file>